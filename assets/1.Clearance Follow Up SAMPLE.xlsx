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codeName="ThisWorkbook" defaultThemeVersion="166925"/>
  <mc:AlternateContent xmlns:mc="http://schemas.openxmlformats.org/markup-compatibility/2006">
    <mc:Choice Requires="x15">
      <x15ac:absPath xmlns:x15ac="http://schemas.microsoft.com/office/spreadsheetml/2010/11/ac" url="/Users/ramonoem/Downloads/"/>
    </mc:Choice>
  </mc:AlternateContent>
  <xr:revisionPtr revIDLastSave="0" documentId="13_ncr:1_{D73D9D68-AB12-7742-B1BB-B03C0FB4C41D}" xr6:coauthVersionLast="47" xr6:coauthVersionMax="47" xr10:uidLastSave="{00000000-0000-0000-0000-000000000000}"/>
  <bookViews>
    <workbookView xWindow="0" yWindow="760" windowWidth="24240" windowHeight="13020" activeTab="1" xr2:uid="{00000000-000D-0000-FFFF-FFFF00000000}"/>
  </bookViews>
  <sheets>
    <sheet name="FILE #" sheetId="11" r:id="rId1"/>
    <sheet name="DATA" sheetId="1" r:id="rId2"/>
    <sheet name="DATA INF" sheetId="15" r:id="rId3"/>
    <sheet name="SEAL STOCK" sheetId="17" r:id="rId4"/>
    <sheet name="SYSTEM" sheetId="6" r:id="rId5"/>
    <sheet name="Khmer_Lunar_2025" sheetId="20" r:id="rId6"/>
    <sheet name="Sheet1" sheetId="18" r:id="rId7"/>
    <sheet name="Sheet2" sheetId="19" r:id="rId8"/>
  </sheets>
  <definedNames>
    <definedName name="_xlnm._FilterDatabase" localSheetId="1" hidden="1">DATA!$A$2:$BD$2</definedName>
    <definedName name="_xlnm._FilterDatabase" localSheetId="2" hidden="1">'DATA INF'!$O$2:$Q$63</definedName>
    <definedName name="Khmer_Lunar_2025">_xlfn.LAMBDA(_xlpm.X,VLOOKUP(_xlpm.X,Khmer_Lunar_Table,2,FALSE))</definedName>
    <definedName name="Khmer_Lunar_Table">Khmer_Lunar_2025!$AI$2:$AJ$367</definedName>
    <definedName name="_xlnm.Print_Area" localSheetId="0">'FILE #'!$A$1:$F$21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D2275" i="1" l="1"/>
  <c r="C341" i="19"/>
  <c r="C342" i="19"/>
  <c r="C343" i="19"/>
  <c r="C344" i="19"/>
  <c r="C345" i="19"/>
  <c r="C346" i="19"/>
  <c r="C347" i="19"/>
  <c r="C348" i="19"/>
  <c r="C349" i="19"/>
  <c r="C350" i="19"/>
  <c r="C351" i="19"/>
  <c r="C352" i="19"/>
  <c r="C353" i="19"/>
  <c r="C354" i="19"/>
  <c r="C355" i="19"/>
  <c r="C356" i="19"/>
  <c r="C357" i="19"/>
  <c r="C358" i="19"/>
  <c r="C359" i="19"/>
  <c r="C360" i="19"/>
  <c r="C361" i="19"/>
  <c r="C362" i="19"/>
  <c r="C363" i="19"/>
  <c r="C364" i="19"/>
  <c r="C365" i="19"/>
  <c r="C366" i="19"/>
  <c r="C367" i="19"/>
  <c r="C368" i="19"/>
  <c r="C369" i="19"/>
  <c r="C370" i="19"/>
  <c r="C371" i="19"/>
  <c r="C322" i="19"/>
  <c r="C323" i="19"/>
  <c r="C324" i="19"/>
  <c r="C325" i="19"/>
  <c r="C326" i="19"/>
  <c r="C327" i="19"/>
  <c r="C328" i="19"/>
  <c r="C329" i="19"/>
  <c r="C330" i="19"/>
  <c r="C331" i="19"/>
  <c r="C332" i="19"/>
  <c r="C333" i="19"/>
  <c r="C334" i="19"/>
  <c r="C335" i="19"/>
  <c r="C336" i="19"/>
  <c r="C337" i="19"/>
  <c r="C338" i="19"/>
  <c r="C339" i="19"/>
  <c r="C340" i="19"/>
  <c r="C315" i="19"/>
  <c r="C316" i="19"/>
  <c r="C317" i="19"/>
  <c r="C318" i="19"/>
  <c r="C319" i="19"/>
  <c r="C320" i="19"/>
  <c r="C321" i="19"/>
  <c r="C290" i="19"/>
  <c r="C291" i="19"/>
  <c r="C292" i="19"/>
  <c r="C293" i="19"/>
  <c r="C294" i="19"/>
  <c r="C295" i="19"/>
  <c r="C296" i="19"/>
  <c r="C297" i="19"/>
  <c r="C298" i="19"/>
  <c r="C299" i="19"/>
  <c r="C300" i="19"/>
  <c r="C301" i="19"/>
  <c r="C302" i="19"/>
  <c r="C303" i="19"/>
  <c r="C304" i="19"/>
  <c r="C305" i="19"/>
  <c r="C306" i="19"/>
  <c r="C307" i="19"/>
  <c r="C308" i="19"/>
  <c r="C309" i="19"/>
  <c r="C310" i="19"/>
  <c r="C311" i="19"/>
  <c r="C312" i="19"/>
  <c r="C313" i="19"/>
  <c r="C314" i="19"/>
  <c r="C284" i="19"/>
  <c r="C285" i="19"/>
  <c r="C286" i="19"/>
  <c r="C287" i="19"/>
  <c r="C288" i="19"/>
  <c r="C289" i="19"/>
  <c r="C283" i="19"/>
  <c r="C224" i="19"/>
  <c r="C225" i="19"/>
  <c r="C226" i="19"/>
  <c r="C227" i="19"/>
  <c r="C228" i="19"/>
  <c r="C229" i="19"/>
  <c r="C230" i="19"/>
  <c r="C231" i="19"/>
  <c r="C232" i="19"/>
  <c r="C233" i="19"/>
  <c r="C234" i="19"/>
  <c r="C235" i="19"/>
  <c r="C236" i="19"/>
  <c r="C237" i="19"/>
  <c r="C238" i="19"/>
  <c r="C239" i="19"/>
  <c r="C240" i="19"/>
  <c r="C241" i="19"/>
  <c r="C242" i="19"/>
  <c r="C243" i="19"/>
  <c r="C244" i="19"/>
  <c r="C245" i="19"/>
  <c r="C246" i="19"/>
  <c r="C247" i="19"/>
  <c r="C248" i="19"/>
  <c r="C249" i="19"/>
  <c r="C250" i="19"/>
  <c r="C251" i="19"/>
  <c r="C252" i="19"/>
  <c r="C253" i="19"/>
  <c r="C254" i="19"/>
  <c r="C255" i="19"/>
  <c r="C256" i="19"/>
  <c r="C257" i="19"/>
  <c r="C258" i="19"/>
  <c r="C259" i="19"/>
  <c r="C260" i="19"/>
  <c r="C261" i="19"/>
  <c r="C262" i="19"/>
  <c r="C263" i="19"/>
  <c r="C264" i="19"/>
  <c r="C265" i="19"/>
  <c r="C266" i="19"/>
  <c r="C267" i="19"/>
  <c r="C268" i="19"/>
  <c r="C269" i="19"/>
  <c r="C270" i="19"/>
  <c r="C271" i="19"/>
  <c r="C272" i="19"/>
  <c r="C273" i="19"/>
  <c r="C274" i="19"/>
  <c r="C275" i="19"/>
  <c r="C276" i="19"/>
  <c r="C277" i="19"/>
  <c r="C278" i="19"/>
  <c r="C279" i="19"/>
  <c r="C280" i="19"/>
  <c r="C281" i="19"/>
  <c r="C282" i="19"/>
  <c r="C38" i="19"/>
  <c r="C39" i="19"/>
  <c r="C40" i="19"/>
  <c r="C41" i="19"/>
  <c r="C42" i="19"/>
  <c r="C43" i="19"/>
  <c r="C44" i="19"/>
  <c r="C45" i="19"/>
  <c r="C46" i="19"/>
  <c r="C47" i="19"/>
  <c r="C48" i="19"/>
  <c r="C49" i="19"/>
  <c r="C50" i="19"/>
  <c r="C51" i="19"/>
  <c r="C52" i="19"/>
  <c r="C53" i="19"/>
  <c r="C54" i="19"/>
  <c r="C55" i="19"/>
  <c r="C56" i="19"/>
  <c r="C57" i="19"/>
  <c r="C58" i="19"/>
  <c r="C59" i="19"/>
  <c r="C60" i="19"/>
  <c r="C61" i="19"/>
  <c r="C62" i="19"/>
  <c r="C63" i="19"/>
  <c r="C64" i="19"/>
  <c r="C65" i="19"/>
  <c r="C66" i="19"/>
  <c r="C67" i="19"/>
  <c r="C68" i="19"/>
  <c r="C69" i="19"/>
  <c r="C70" i="19"/>
  <c r="C71" i="19"/>
  <c r="C72" i="19"/>
  <c r="C73" i="19"/>
  <c r="C74" i="19"/>
  <c r="C75" i="19"/>
  <c r="C76" i="19"/>
  <c r="C77" i="19"/>
  <c r="C78" i="19"/>
  <c r="C79" i="19"/>
  <c r="C80" i="19"/>
  <c r="C81" i="19"/>
  <c r="C82" i="19"/>
  <c r="C83" i="19"/>
  <c r="C84" i="19"/>
  <c r="C85" i="19"/>
  <c r="C86" i="19"/>
  <c r="C87" i="19"/>
  <c r="C88" i="19"/>
  <c r="C89" i="19"/>
  <c r="C90" i="19"/>
  <c r="C91" i="19"/>
  <c r="C92" i="19"/>
  <c r="C93" i="19"/>
  <c r="C94" i="19"/>
  <c r="C95" i="19"/>
  <c r="C96" i="19"/>
  <c r="C97" i="19"/>
  <c r="C98" i="19"/>
  <c r="C99" i="19"/>
  <c r="C100" i="19"/>
  <c r="C101" i="19"/>
  <c r="C102" i="19"/>
  <c r="C103" i="19"/>
  <c r="C104" i="19"/>
  <c r="C105" i="19"/>
  <c r="C106" i="19"/>
  <c r="C107" i="19"/>
  <c r="C108" i="19"/>
  <c r="C109" i="19"/>
  <c r="C110" i="19"/>
  <c r="C111" i="19"/>
  <c r="C112" i="19"/>
  <c r="C113" i="19"/>
  <c r="C114" i="19"/>
  <c r="C115" i="19"/>
  <c r="C116" i="19"/>
  <c r="C117" i="19"/>
  <c r="C118" i="19"/>
  <c r="C119" i="19"/>
  <c r="C120" i="19"/>
  <c r="C121" i="19"/>
  <c r="C122" i="19"/>
  <c r="C123" i="19"/>
  <c r="C124" i="19"/>
  <c r="C125" i="19"/>
  <c r="C126" i="19"/>
  <c r="C127" i="19"/>
  <c r="C128" i="19"/>
  <c r="C129" i="19"/>
  <c r="C130" i="19"/>
  <c r="C131" i="19"/>
  <c r="C132" i="19"/>
  <c r="C133" i="19"/>
  <c r="C134" i="19"/>
  <c r="C135" i="19"/>
  <c r="C136" i="19"/>
  <c r="C137" i="19"/>
  <c r="C138" i="19"/>
  <c r="C139" i="19"/>
  <c r="C140" i="19"/>
  <c r="C141" i="19"/>
  <c r="C142" i="19"/>
  <c r="C143" i="19"/>
  <c r="C144" i="19"/>
  <c r="C145" i="19"/>
  <c r="C146" i="19"/>
  <c r="C147" i="19"/>
  <c r="C148" i="19"/>
  <c r="C149" i="19"/>
  <c r="C150" i="19"/>
  <c r="C151" i="19"/>
  <c r="C152" i="19"/>
  <c r="C153" i="19"/>
  <c r="C154" i="19"/>
  <c r="C155" i="19"/>
  <c r="C156" i="19"/>
  <c r="C157" i="19"/>
  <c r="C158" i="19"/>
  <c r="C159" i="19"/>
  <c r="C160" i="19"/>
  <c r="C161" i="19"/>
  <c r="C162" i="19"/>
  <c r="C163" i="19"/>
  <c r="C164" i="19"/>
  <c r="C165" i="19"/>
  <c r="C166" i="19"/>
  <c r="C167" i="19"/>
  <c r="C168" i="19"/>
  <c r="C169" i="19"/>
  <c r="C170" i="19"/>
  <c r="C171" i="19"/>
  <c r="C172" i="19"/>
  <c r="C173" i="19"/>
  <c r="C174" i="19"/>
  <c r="C175" i="19"/>
  <c r="C176" i="19"/>
  <c r="C177" i="19"/>
  <c r="C178" i="19"/>
  <c r="C179" i="19"/>
  <c r="C180" i="19"/>
  <c r="C181" i="19"/>
  <c r="C182" i="19"/>
  <c r="C183" i="19"/>
  <c r="C184" i="19"/>
  <c r="C185" i="19"/>
  <c r="C186" i="19"/>
  <c r="C187" i="19"/>
  <c r="C188" i="19"/>
  <c r="C189" i="19"/>
  <c r="C190" i="19"/>
  <c r="C191" i="19"/>
  <c r="C192" i="19"/>
  <c r="C193" i="19"/>
  <c r="C194" i="19"/>
  <c r="C195" i="19"/>
  <c r="C196" i="19"/>
  <c r="C197" i="19"/>
  <c r="C198" i="19"/>
  <c r="C199" i="19"/>
  <c r="C200" i="19"/>
  <c r="C201" i="19"/>
  <c r="C202" i="19"/>
  <c r="C203" i="19"/>
  <c r="C204" i="19"/>
  <c r="C205" i="19"/>
  <c r="C206" i="19"/>
  <c r="C207" i="19"/>
  <c r="C208" i="19"/>
  <c r="C209" i="19"/>
  <c r="C210" i="19"/>
  <c r="C211" i="19"/>
  <c r="C212" i="19"/>
  <c r="C213" i="19"/>
  <c r="C214" i="19"/>
  <c r="C215" i="19"/>
  <c r="C216" i="19"/>
  <c r="C217" i="19"/>
  <c r="C218" i="19"/>
  <c r="C219" i="19"/>
  <c r="C220" i="19"/>
  <c r="C221" i="19"/>
  <c r="C222" i="19"/>
  <c r="C223" i="19"/>
  <c r="C33" i="19"/>
  <c r="C34" i="19"/>
  <c r="C35" i="19"/>
  <c r="C36" i="19"/>
  <c r="C37" i="19"/>
  <c r="C25" i="19"/>
  <c r="C26" i="19"/>
  <c r="C27" i="19"/>
  <c r="C28" i="19"/>
  <c r="C29" i="19"/>
  <c r="C30" i="19"/>
  <c r="C31" i="19"/>
  <c r="C32" i="19"/>
  <c r="C8" i="19"/>
  <c r="C9" i="19"/>
  <c r="C10" i="19"/>
  <c r="C11" i="19"/>
  <c r="C12" i="19"/>
  <c r="C13" i="19"/>
  <c r="C14" i="19"/>
  <c r="C15" i="19"/>
  <c r="C16" i="19"/>
  <c r="C17" i="19"/>
  <c r="C18" i="19"/>
  <c r="C19" i="19"/>
  <c r="C20" i="19"/>
  <c r="C21" i="19"/>
  <c r="C22" i="19"/>
  <c r="C23" i="19"/>
  <c r="C24" i="19"/>
  <c r="C7" i="19"/>
  <c r="D2" i="18"/>
  <c r="D3" i="18"/>
  <c r="D4" i="18"/>
  <c r="D5" i="18"/>
  <c r="D6" i="18"/>
  <c r="D7" i="18"/>
  <c r="D8" i="18"/>
  <c r="D1" i="18"/>
  <c r="B1" i="18" a="1"/>
  <c r="B1" i="18"/>
  <c r="B5" i="11"/>
  <c r="D4" i="11"/>
  <c r="D5" i="11"/>
  <c r="A5" i="19" a="1"/>
  <c r="A5" i="19"/>
  <c r="E1" i="17"/>
  <c r="B1" i="17"/>
  <c r="H1" i="17"/>
  <c r="AA1161" i="1"/>
  <c r="AA1160" i="1"/>
  <c r="G6" i="11"/>
  <c r="G12" i="11"/>
  <c r="H6" i="11"/>
  <c r="H13" i="11"/>
  <c r="I6" i="11"/>
  <c r="I7" i="11"/>
  <c r="J6" i="11"/>
  <c r="J12" i="11"/>
  <c r="K6" i="11"/>
  <c r="K7" i="11"/>
  <c r="A2" i="11"/>
  <c r="Q4" i="11"/>
  <c r="R4" i="11"/>
  <c r="D17" i="11"/>
  <c r="AL142" i="1"/>
  <c r="AL143" i="1"/>
  <c r="AL157" i="1"/>
  <c r="AL252" i="1"/>
  <c r="AL265" i="1"/>
  <c r="AL275" i="1"/>
  <c r="AL278" i="1"/>
  <c r="AL279" i="1"/>
  <c r="AL348" i="1"/>
  <c r="AL365" i="1"/>
  <c r="AL389" i="1"/>
  <c r="AL442" i="1"/>
  <c r="AL447" i="1"/>
  <c r="AL467" i="1"/>
  <c r="AL468" i="1"/>
  <c r="AL469" i="1"/>
  <c r="AL470" i="1"/>
  <c r="AL471" i="1"/>
  <c r="AL522" i="1"/>
  <c r="AL536" i="1"/>
  <c r="BD554" i="1"/>
  <c r="D14" i="11"/>
  <c r="B14" i="11"/>
  <c r="D12" i="11"/>
  <c r="B10" i="11"/>
  <c r="F9" i="11"/>
  <c r="D9" i="11"/>
  <c r="B9" i="11"/>
  <c r="B8" i="11"/>
  <c r="D7" i="11"/>
  <c r="AI33" i="1"/>
  <c r="AI32" i="1"/>
  <c r="AI30" i="1"/>
  <c r="AI31" i="1"/>
  <c r="AI29" i="1"/>
  <c r="AI28" i="1"/>
  <c r="AI27" i="1"/>
  <c r="AI25" i="1"/>
  <c r="AI22" i="1"/>
  <c r="AI21" i="1"/>
  <c r="AI19" i="1"/>
  <c r="AI18" i="1"/>
  <c r="AI15" i="1"/>
  <c r="AI14" i="1"/>
  <c r="AI20" i="1"/>
  <c r="G15" i="11"/>
  <c r="G7" i="11"/>
  <c r="H7" i="11"/>
  <c r="J7" i="11"/>
  <c r="I13" i="11"/>
  <c r="J15" i="11"/>
  <c r="K13" i="11"/>
  <c r="G13" i="11"/>
  <c r="J13" i="11"/>
  <c r="I12" i="11"/>
  <c r="H12" i="11"/>
  <c r="I15" i="11"/>
  <c r="K12" i="11"/>
  <c r="H15" i="11"/>
  <c r="K15" i="11"/>
  <c r="G4" i="11"/>
  <c r="D15" i="11"/>
  <c r="B13" i="11"/>
  <c r="B7" i="11"/>
  <c r="B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lenovo</author>
    <author>dol micheal</author>
    <author>tc={F244EBA3-DE53-4C18-BB59-3F33AF23EAA1}</author>
    <author>tc={6E8455CC-83C9-4739-9EEF-5FC5E953B787}</author>
    <author>tc={917E36B7-9B79-4425-8697-1F85C6D8598C}</author>
    <author>tc={740E26E0-BD30-48EA-8C3A-9F556437394B}</author>
    <author>tc={E0237B60-51A4-41E1-ACD5-7B62BBD8BF59}</author>
    <author>tc={E836FB25-7229-4F4C-808F-1E8D13BF6851}</author>
    <author>tc={0C151A77-0EA4-4B8D-A02A-47EB3FCC6971}</author>
    <author>tc={47E4EF96-BC83-48FA-A943-2C8609370D63}</author>
    <author>chea kimlux</author>
  </authors>
  <commentList>
    <comment ref="AB316" authorId="0" shapeId="0" xr:uid="{00000000-0006-0000-0100-000001000000}">
      <text>
        <r>
          <rPr>
            <sz val="11"/>
            <color theme="1"/>
            <rFont val="Calibri"/>
            <family val="2"/>
            <scheme val="minor"/>
          </rPr>
          <t>======
ID#AAAAL0V-bv4
Michhel    (2021-03-20 01:38:42)
Container already gate in SIDP.</t>
        </r>
      </text>
    </comment>
    <comment ref="A675" authorId="0" shapeId="0" xr:uid="{00000000-0006-0000-0100-000003000000}">
      <text>
        <r>
          <rPr>
            <sz val="11"/>
            <color theme="1"/>
            <rFont val="Calibri"/>
            <family val="2"/>
            <scheme val="minor"/>
          </rPr>
          <t>======
ID#AAAAM9QqTYI
Michhel    (2021-07-01 03:01:00)
492</t>
        </r>
      </text>
    </comment>
    <comment ref="AB1010" authorId="0" shapeId="0" xr:uid="{00000000-0006-0000-0100-000004000000}">
      <text>
        <r>
          <rPr>
            <sz val="11"/>
            <color theme="1"/>
            <rFont val="Calibri"/>
            <family val="2"/>
            <scheme val="minor"/>
          </rPr>
          <t>======
ID#AAAAY2I1ARI
    (2022-05-12 08:27:04)
4.ZCSU6544655 / A4210870234 (NON-ORG)
3.GCXU5064079 / A4210870154 (NON-ORG)</t>
        </r>
      </text>
    </comment>
    <comment ref="AB1077" authorId="0" shapeId="0" xr:uid="{00000000-0006-0000-0100-000005000000}">
      <text>
        <r>
          <rPr>
            <sz val="11"/>
            <color theme="1"/>
            <rFont val="Calibri"/>
            <family val="2"/>
            <scheme val="minor"/>
          </rPr>
          <t>======
ID#AAAAY2I1ARA
DELL    (2022-05-12 08:27:04)
1.CAIU7904090-40'HC DON'T HAVE ORIGI</t>
        </r>
      </text>
    </comment>
    <comment ref="A1093" authorId="0" shapeId="0" xr:uid="{00000000-0006-0000-0100-000006000000}">
      <text>
        <r>
          <rPr>
            <sz val="11"/>
            <color theme="1"/>
            <rFont val="Calibri"/>
            <family val="2"/>
            <scheme val="minor"/>
          </rPr>
          <t>======
ID#AAAAY2I1ARQ
    (2022-05-12 08:27:04)
CUSTOMS REJECT SHIPMENT</t>
        </r>
      </text>
    </comment>
    <comment ref="AI1154" authorId="0" shapeId="0" xr:uid="{00000000-0006-0000-0100-000007000000}">
      <text>
        <r>
          <rPr>
            <sz val="11"/>
            <color theme="1"/>
            <rFont val="Calibri"/>
            <family val="2"/>
            <scheme val="minor"/>
          </rPr>
          <t>======
ID#AAAAY2I1AQ8
Pang Chamroeun    (2022-05-12 08:27:04)
UMG CHANG TO SIBW</t>
        </r>
      </text>
    </comment>
    <comment ref="AC1262" authorId="0" shapeId="0" xr:uid="{00000000-0006-0000-0100-000008000000}">
      <text>
        <r>
          <rPr>
            <sz val="11"/>
            <color theme="1"/>
            <rFont val="Calibri"/>
            <family val="2"/>
            <scheme val="minor"/>
          </rPr>
          <t>======
ID#AAAAY2I1ARE
lenovo    (2022-05-12 08:27:04)
OK</t>
        </r>
      </text>
    </comment>
    <comment ref="AB1442" authorId="1" shapeId="0" xr:uid="{00000000-0006-0000-0100-000009000000}">
      <text>
        <r>
          <rPr>
            <b/>
            <sz val="9"/>
            <color indexed="81"/>
            <rFont val="Tahoma"/>
            <family val="2"/>
          </rPr>
          <t>lenovo:</t>
        </r>
        <r>
          <rPr>
            <sz val="9"/>
            <color indexed="81"/>
            <rFont val="Tahoma"/>
            <family val="2"/>
          </rPr>
          <t xml:space="preserve">
PMLU9008711-40'HC revised to TRIU9269776
OMP MISTAKE
</t>
        </r>
      </text>
    </comment>
    <comment ref="AB1498" authorId="1" shapeId="0" xr:uid="{EB8281BF-EC0D-4B1F-9C7C-84A5D0B590D6}">
      <text>
        <r>
          <rPr>
            <b/>
            <sz val="9"/>
            <color indexed="81"/>
            <rFont val="Tahoma"/>
            <family val="2"/>
          </rPr>
          <t xml:space="preserve">lux:CBHU7043813 not yet receive original doc just copy </t>
        </r>
        <r>
          <rPr>
            <sz val="9"/>
            <color indexed="81"/>
            <rFont val="Tahoma"/>
            <family val="2"/>
          </rPr>
          <t xml:space="preserve">
</t>
        </r>
      </text>
    </comment>
    <comment ref="A1823" authorId="2" shapeId="0" xr:uid="{DDCFD58C-A447-4032-A1E6-8B580ED30244}">
      <text>
        <r>
          <rPr>
            <b/>
            <sz val="9"/>
            <color indexed="81"/>
            <rFont val="Tahoma"/>
            <family val="2"/>
          </rPr>
          <t xml:space="preserve">REQUIRE TO AMEND B/L SURPLUS NET WT IN B/L BY AMENDING
 THAT WORDING
</t>
        </r>
      </text>
    </comment>
    <comment ref="AI1950" authorId="3" shapeId="0" xr:uid="{F244EBA3-DE53-4C18-BB59-3F33AF23EAA1}">
      <text>
        <t>[Threaded comment]
Your version of Excel allows you to read this threaded comment; however, any edits to it will get removed if the file is opened in a newer version of Excel. Learn more: https://go.microsoft.com/fwlink/?linkid=870924
Comment:
    CUSTOMER REQ SHOWROOM ON 22/9/23</t>
      </text>
    </comment>
    <comment ref="AI1952" authorId="4" shapeId="0" xr:uid="{6E8455CC-83C9-4739-9EEF-5FC5E953B787}">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I1953" authorId="5" shapeId="0" xr:uid="{917E36B7-9B79-4425-8697-1F85C6D8598C}">
      <text>
        <t>[Threaded comment]
Your version of Excel allows you to read this threaded comment; however, any edits to it will get removed if the file is opened in a newer version of Excel. Learn more: https://go.microsoft.com/fwlink/?linkid=870924
Comment:
    customer req showroom on 22/9/23</t>
      </text>
    </comment>
    <comment ref="AI1960" authorId="6" shapeId="0" xr:uid="{740E26E0-BD30-48EA-8C3A-9F556437394B}">
      <text>
        <t>[Threaded comment]
Your version of Excel allows you to read this threaded comment; however, any edits to it will get removed if the file is opened in a newer version of Excel. Learn more: https://go.microsoft.com/fwlink/?linkid=870924
Comment:
    START REQ SR 19/10/23</t>
      </text>
    </comment>
    <comment ref="AI1968" authorId="1" shapeId="0" xr:uid="{5F520994-E908-4A0F-801D-7A3E1B4CB801}">
      <text>
        <r>
          <rPr>
            <b/>
            <sz val="9"/>
            <color indexed="81"/>
            <rFont val="Tahoma"/>
            <family val="2"/>
          </rPr>
          <t>MOVE FROM JETOUR TO CHINA CAR SHOWROOM</t>
        </r>
      </text>
    </comment>
    <comment ref="AI1991" authorId="7" shapeId="0" xr:uid="{E0237B60-51A4-41E1-ACD5-7B62BBD8BF59}">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C2004" authorId="1" shapeId="0" xr:uid="{311FC3C9-B65F-46D7-B8F3-8E895B923349}">
      <text>
        <r>
          <rPr>
            <b/>
            <sz val="9"/>
            <color indexed="81"/>
            <rFont val="Tahoma"/>
            <family val="2"/>
          </rPr>
          <t>262</t>
        </r>
      </text>
    </comment>
    <comment ref="AC2009" authorId="1" shapeId="0" xr:uid="{9AC7454E-BA55-4B11-BA24-EFC96BB37A64}">
      <text>
        <r>
          <rPr>
            <b/>
            <sz val="9"/>
            <color indexed="81"/>
            <rFont val="Tahoma"/>
            <family val="2"/>
          </rPr>
          <t>182</t>
        </r>
      </text>
    </comment>
    <comment ref="V2032" authorId="8" shapeId="0" xr:uid="{E836FB25-7229-4F4C-808F-1E8D13BF6851}">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I2032" authorId="9" shapeId="0" xr:uid="{0C151A77-0EA4-4B8D-A02A-47EB3FCC6971}">
      <text>
        <t>[Threaded comment]
Your version of Excel allows you to read this threaded comment; however, any edits to it will get removed if the file is opened in a newer version of Excel. Learn more: https://go.microsoft.com/fwlink/?linkid=870924
Comment:
    CUSTMER REQ SHOWROOM ON 22/9/23</t>
      </text>
    </comment>
    <comment ref="AB2047" authorId="1" shapeId="0" xr:uid="{71554B71-ED1E-461E-973F-7B859F7642AB}">
      <text>
        <r>
          <rPr>
            <b/>
            <sz val="9"/>
            <color indexed="81"/>
            <rFont val="Tahoma"/>
            <family val="2"/>
          </rPr>
          <t>not have EIR OG</t>
        </r>
      </text>
    </comment>
    <comment ref="AI2096" authorId="10" shapeId="0" xr:uid="{47E4EF96-BC83-48FA-A943-2C8609370D63}">
      <text>
        <t>[Threaded comment]
Your version of Excel allows you to read this threaded comment; however, any edits to it will get removed if the file is opened in a newer version of Excel. Learn more: https://go.microsoft.com/fwlink/?linkid=870924
Comment:
    not yet req SR
Reply:
    just req SR go to MUMG 11-14-23</t>
      </text>
    </comment>
    <comment ref="B2097" authorId="1" shapeId="0" xr:uid="{65459A05-829F-4281-998D-C734ADCF40C3}">
      <text>
        <r>
          <rPr>
            <b/>
            <sz val="9"/>
            <color indexed="81"/>
            <rFont val="Tahoma"/>
            <family val="2"/>
          </rPr>
          <t>Customer plan clear export</t>
        </r>
      </text>
    </comment>
    <comment ref="AB2149" authorId="1" shapeId="0" xr:uid="{556ECB07-3180-47D2-BF1A-ABEE28C2C10A}">
      <text>
        <r>
          <rPr>
            <b/>
            <sz val="9"/>
            <color indexed="81"/>
            <rFont val="Tahoma"/>
            <family val="2"/>
          </rPr>
          <t>DEMONSTRATION MG ZS</t>
        </r>
      </text>
    </comment>
    <comment ref="B2261" authorId="11" shapeId="0" xr:uid="{EF0C1B97-4C4A-4C87-A41B-0B92A960DFB2}">
      <text>
        <r>
          <rPr>
            <b/>
            <sz val="9"/>
            <color indexed="81"/>
            <rFont val="Tahoma"/>
            <family val="2"/>
          </rPr>
          <t>chea kimlux:</t>
        </r>
        <r>
          <rPr>
            <sz val="9"/>
            <color indexed="81"/>
            <rFont val="Tahoma"/>
            <family val="2"/>
          </rPr>
          <t xml:space="preserve">
change date inv</t>
        </r>
      </text>
    </comment>
    <comment ref="B2263" authorId="11" shapeId="0" xr:uid="{5A941942-9E8C-4617-BF8E-12C93CF8198D}">
      <text>
        <r>
          <rPr>
            <b/>
            <sz val="9"/>
            <color indexed="81"/>
            <rFont val="Tahoma"/>
            <family val="2"/>
          </rPr>
          <t>chea kimlux:</t>
        </r>
        <r>
          <rPr>
            <sz val="9"/>
            <color indexed="81"/>
            <rFont val="Tahoma"/>
            <family val="2"/>
          </rPr>
          <t xml:space="preserve">
Change date inv</t>
        </r>
      </text>
    </comment>
    <comment ref="B2315" authorId="1" shapeId="0" xr:uid="{68879537-DE65-4282-B315-C06ACD1B5A96}">
      <text>
        <r>
          <rPr>
            <b/>
            <sz val="9"/>
            <color indexed="81"/>
            <rFont val="Tahoma"/>
            <family val="2"/>
          </rPr>
          <t xml:space="preserve">correct inv no: from YSH2024-7041 to YSH2024-7051 follow by C/O
 </t>
        </r>
      </text>
    </comment>
    <comment ref="AB2493" authorId="11" shapeId="0" xr:uid="{EAFBD060-3F87-4656-A183-97178CBA0B10}">
      <text>
        <r>
          <rPr>
            <b/>
            <sz val="9"/>
            <color indexed="81"/>
            <rFont val="Tahoma"/>
            <family val="2"/>
          </rPr>
          <t>chea kimlux:</t>
        </r>
        <r>
          <rPr>
            <sz val="9"/>
            <color indexed="81"/>
            <rFont val="Tahoma"/>
            <family val="2"/>
          </rPr>
          <t xml:space="preserve">
no EIR IN</t>
        </r>
      </text>
    </comment>
  </commentList>
  <extLst>
    <ext xmlns:r="http://schemas.openxmlformats.org/officeDocument/2006/relationships" uri="GoogleSheetsCustomDataVersion1">
      <go:sheetsCustomData xmlns:go="http://customooxmlschemas.google.com/" roundtripDataSignature="AMtx7mgJtKJjyeL03/C5jzcVEzY7iLrKoQ==" r:id="rId1"/>
    </ext>
  </extL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<sst xmlns="http://schemas.openxmlformats.org/spreadsheetml/2006/main" count="40709" uniqueCount="14674">
  <si>
    <t>Rcv Date</t>
  </si>
  <si>
    <t>Imp/Exp</t>
  </si>
  <si>
    <t>Final Destination</t>
  </si>
  <si>
    <t>Big C</t>
  </si>
  <si>
    <t>EH19/0702</t>
  </si>
  <si>
    <t>POL</t>
  </si>
  <si>
    <t>PKL</t>
  </si>
  <si>
    <t>INV-SG01082562</t>
  </si>
  <si>
    <t>EW19/0071</t>
  </si>
  <si>
    <t>ML-INV-60260011</t>
  </si>
  <si>
    <t>SEWAGE PUMP</t>
  </si>
  <si>
    <t>Vssl/Truck</t>
  </si>
  <si>
    <t>Ship'm Mode</t>
  </si>
  <si>
    <t>TBL0190845</t>
  </si>
  <si>
    <t>FRUIT RACK</t>
  </si>
  <si>
    <t>INV_HL/Q/19-0901</t>
  </si>
  <si>
    <t>PL_HL/Q/19-0901</t>
  </si>
  <si>
    <t>Land</t>
  </si>
  <si>
    <t>ETA/ETD</t>
  </si>
  <si>
    <t>20'</t>
  </si>
  <si>
    <t>40'</t>
  </si>
  <si>
    <t>1 LOT = 302 PKGS</t>
  </si>
  <si>
    <t>LOAD ON</t>
  </si>
  <si>
    <t>EWTU8880009-40HC</t>
  </si>
  <si>
    <t>STEEL FIXTURE (GONDOLA)</t>
  </si>
  <si>
    <t>EW19/0257</t>
  </si>
  <si>
    <t>IV-2019145</t>
  </si>
  <si>
    <t>PL-2019145</t>
  </si>
  <si>
    <t xml:space="preserve">BC2019-002									</t>
  </si>
  <si>
    <t>TWB1908011</t>
  </si>
  <si>
    <t>061</t>
  </si>
  <si>
    <t>062</t>
  </si>
  <si>
    <t>063</t>
  </si>
  <si>
    <t>064</t>
  </si>
  <si>
    <t>065</t>
  </si>
  <si>
    <t>066</t>
  </si>
  <si>
    <t>067</t>
  </si>
  <si>
    <t>068</t>
  </si>
  <si>
    <t>069</t>
  </si>
  <si>
    <t>070</t>
  </si>
  <si>
    <t>071</t>
  </si>
  <si>
    <t>072</t>
  </si>
  <si>
    <t>073</t>
  </si>
  <si>
    <t>053</t>
  </si>
  <si>
    <t>15PKG = 52SET</t>
  </si>
  <si>
    <t>060</t>
  </si>
  <si>
    <t>057</t>
  </si>
  <si>
    <t>ICE MAKER 624KG/24H, 1000KG/24H, ICE CART, ICED SCOOP</t>
  </si>
  <si>
    <t>052</t>
  </si>
  <si>
    <t>BKK20190904</t>
  </si>
  <si>
    <t>M02355</t>
  </si>
  <si>
    <t xml:space="preserve"> </t>
  </si>
  <si>
    <t>INV BC2019-003</t>
  </si>
  <si>
    <t xml:space="preserve">COMPRESSED AIR CYLINDERS 300 BAR FOR SCBA </t>
  </si>
  <si>
    <t>035</t>
  </si>
  <si>
    <t>SHIPMENT INFORMATION</t>
  </si>
  <si>
    <t>Sea</t>
  </si>
  <si>
    <t>BJC</t>
  </si>
  <si>
    <t>GLSW937891</t>
  </si>
  <si>
    <t>20190905/VP-BJC-KH</t>
  </si>
  <si>
    <t>PPAP</t>
  </si>
  <si>
    <t>135 ROLL</t>
  </si>
  <si>
    <t>M02402</t>
  </si>
  <si>
    <t>NPKIN TISSUE PAPER, TOILET TISSUE PAPER</t>
  </si>
  <si>
    <t>Transit Port</t>
  </si>
  <si>
    <t>GLS 07 V.937W</t>
  </si>
  <si>
    <t>GLSW939903</t>
  </si>
  <si>
    <t>MBL #</t>
  </si>
  <si>
    <t>TOILET TISSUE PAPER</t>
  </si>
  <si>
    <t>1900820-CT/CCF</t>
  </si>
  <si>
    <t>EVNIA 1931</t>
  </si>
  <si>
    <t>ALLOY DEFORMED REBAR (STEEL BAR)</t>
  </si>
  <si>
    <t>72 ROLL</t>
  </si>
  <si>
    <t>Shipping Line</t>
  </si>
  <si>
    <t>OMPLCHKHOMP037-19</t>
  </si>
  <si>
    <t>023/2019</t>
  </si>
  <si>
    <t>ANU BHUM V.0025S</t>
  </si>
  <si>
    <t>JUMBO ROLL NAPKIN TISSUE</t>
  </si>
  <si>
    <t>120 ROLL</t>
  </si>
  <si>
    <t>OMPLCHKHOMP036-19</t>
  </si>
  <si>
    <t>024/2019</t>
  </si>
  <si>
    <t>CARTON BOX, PLASTIC WRAPPER, STICKER, BELT, PAPER CORE</t>
  </si>
  <si>
    <t>24 PLTS</t>
  </si>
  <si>
    <t>OMP</t>
  </si>
  <si>
    <t>20190917/VP-BJC-KH</t>
  </si>
  <si>
    <t>GLS CUU LONG V.939W</t>
  </si>
  <si>
    <t>9 ITEM = 262 PKG</t>
  </si>
  <si>
    <t>23 ITEMS = 53  PKGS</t>
  </si>
  <si>
    <t>China Construction Fourth (Mr. Samsen)</t>
  </si>
  <si>
    <t>BREAK BULK</t>
  </si>
  <si>
    <t>1117 BUNDLE = 2578.404MT</t>
  </si>
  <si>
    <t>MASS</t>
  </si>
  <si>
    <t>Royal CCT PLC (Mr. Samsen)</t>
  </si>
  <si>
    <t>2051 BD = 4693.222MT</t>
  </si>
  <si>
    <t>435 BD = 1008.330MT</t>
  </si>
  <si>
    <t>Shang Tang Investment Co., Ltd (Mr. Samsen)</t>
  </si>
  <si>
    <t>PIN, WHEEL, PIN, BUSHING, CROWNED PULLEY D = 100MM</t>
  </si>
  <si>
    <t>LCL</t>
  </si>
  <si>
    <t>12 PCS</t>
  </si>
  <si>
    <t>7762 6825 0576</t>
  </si>
  <si>
    <t>618-72653136</t>
  </si>
  <si>
    <t>OMPLCHKHOMP044/19</t>
  </si>
  <si>
    <t>026/2019</t>
  </si>
  <si>
    <t>CARTON BOX, PLASTIC WRAPPER, STICKER, PAPER CORE</t>
  </si>
  <si>
    <t>49 PLT</t>
  </si>
  <si>
    <t>GLS</t>
  </si>
  <si>
    <t>20191016/VP-BJC-KH</t>
  </si>
  <si>
    <t>GLSW943932</t>
  </si>
  <si>
    <t>074</t>
  </si>
  <si>
    <t>sea</t>
  </si>
  <si>
    <t>GLSW946955</t>
  </si>
  <si>
    <t>20191105/VP-BJC-KH</t>
  </si>
  <si>
    <t>NAPKIN TISSUE PAPER</t>
  </si>
  <si>
    <t>108 ROLL</t>
  </si>
  <si>
    <t>075</t>
  </si>
  <si>
    <t>OMPLCHKHOMP053/19</t>
  </si>
  <si>
    <t>028/2019</t>
  </si>
  <si>
    <t>155 ROLL</t>
  </si>
  <si>
    <t>076</t>
  </si>
  <si>
    <t>GREAT WALL (FULL WELL)</t>
  </si>
  <si>
    <t>CMA</t>
  </si>
  <si>
    <t>XDIC000321</t>
  </si>
  <si>
    <t>UESU5180963-40HC</t>
  </si>
  <si>
    <t>2 UNITS</t>
  </si>
  <si>
    <t>FAW CAR</t>
  </si>
  <si>
    <t>077</t>
  </si>
  <si>
    <t>YAT SOVANN (FULL WELL)</t>
  </si>
  <si>
    <t>ONE</t>
  </si>
  <si>
    <t>ONEYDXBV07167900</t>
  </si>
  <si>
    <t>ROLLS ROYCE</t>
  </si>
  <si>
    <t>AMFU8745626-40HC</t>
  </si>
  <si>
    <t>1 UNIT</t>
  </si>
  <si>
    <t>Reimbursement</t>
  </si>
  <si>
    <t>not yet get money</t>
  </si>
  <si>
    <t xml:space="preserve">  </t>
  </si>
  <si>
    <t>TW1934XG23/48</t>
  </si>
  <si>
    <t>TW1934XG25</t>
  </si>
  <si>
    <t>1900920-CT/ZT</t>
  </si>
  <si>
    <t>T/B RATTANAWANICH 4</t>
  </si>
  <si>
    <t>TW1934XG24</t>
  </si>
  <si>
    <t>1900920-CT/ST</t>
  </si>
  <si>
    <t>078</t>
  </si>
  <si>
    <t>GLSW947971</t>
  </si>
  <si>
    <t>NAPKIN TISSUE PAPER, TOILET TISSUE PAPER</t>
  </si>
  <si>
    <t>42 ROLL</t>
  </si>
  <si>
    <t>JEBEL ALI</t>
  </si>
  <si>
    <t>20191114/VP-BJC-KH</t>
  </si>
  <si>
    <t>BRIDGE V.0092N</t>
  </si>
  <si>
    <t>TOKYO TOWER V.0077.010</t>
  </si>
  <si>
    <t>079</t>
  </si>
  <si>
    <t>SHENDA</t>
  </si>
  <si>
    <t>CAM20190912N</t>
  </si>
  <si>
    <t>IAL</t>
  </si>
  <si>
    <t>NEW CAR</t>
  </si>
  <si>
    <t>5 UNITS</t>
  </si>
  <si>
    <t>080</t>
  </si>
  <si>
    <t>OMPLCHKHOMP066-19</t>
  </si>
  <si>
    <t>030/2019</t>
  </si>
  <si>
    <t>NP SAMUTSAKHON V.014S</t>
  </si>
  <si>
    <t>CARTON BOX, PLASTIC WRAPPER, BLADE/STEEL</t>
  </si>
  <si>
    <t>TCKU9552470-40HC</t>
  </si>
  <si>
    <t>20 PLTS</t>
  </si>
  <si>
    <t>081</t>
  </si>
  <si>
    <t>082</t>
  </si>
  <si>
    <t>NW</t>
  </si>
  <si>
    <t>GW</t>
  </si>
  <si>
    <t>FOB</t>
  </si>
  <si>
    <t>GLSW951006</t>
  </si>
  <si>
    <t>20191213/VP-BJC-KH</t>
  </si>
  <si>
    <t>CO</t>
  </si>
  <si>
    <t>20 ROLLS</t>
  </si>
  <si>
    <t>GLSW951005</t>
  </si>
  <si>
    <t>20191210/VP-BJC-KH</t>
  </si>
  <si>
    <t>108 ROLLS</t>
  </si>
  <si>
    <t>11,145.11</t>
  </si>
  <si>
    <t>39,359.43</t>
  </si>
  <si>
    <t>10,527.11</t>
  </si>
  <si>
    <t>37,505.43</t>
  </si>
  <si>
    <t>12,440.80</t>
  </si>
  <si>
    <t>45,295.40</t>
  </si>
  <si>
    <t>12,337.80</t>
  </si>
  <si>
    <t>44,982.20</t>
  </si>
  <si>
    <t>IAAU1726760 (40'), TCNU4203824 (40')</t>
  </si>
  <si>
    <t>VN</t>
  </si>
  <si>
    <t>TH</t>
  </si>
  <si>
    <t>VN-KH 19/01/36201</t>
  </si>
  <si>
    <t>PHUC THAI V.023S-2</t>
  </si>
  <si>
    <t>VN-KH 19/01/36193</t>
  </si>
  <si>
    <t>- Request TP (PPAP-SIBW): 06.12.2019, Received (04518អគរ): 07.12.2019
- Request TP (SIBW-MG Showroom): 06.12.2019, Received (SDR): 10.12.2019
- Transit Clearance T632 (IM8: PPAP-SIBW): 09.12.2019, and deliver and arrive to SIBW: 10.12.2019 
- Stock in SIBW I 38 (IM7): 10.12.2019
- Do Clearance I 39 (IM4) for 3 Cars: 16.12.2019
- Do Clearance I41 (IM4) for 2 Care: 25.1.2019</t>
  </si>
  <si>
    <t>TRIU9269776-(40')</t>
  </si>
  <si>
    <t>TTNU9518175-(40')</t>
  </si>
  <si>
    <t>DRYU9980125-(40')
DRYU9955122-(40')</t>
  </si>
  <si>
    <t>DRYU9021795-(40')
PKEU5026440-(40')
SEGU5593994-(40')
SEGU5593192-(40')
SEGU5592998-(40')</t>
  </si>
  <si>
    <t>- Apply &amp; Received Transit Permit (028/19): 25.11.2019
- Transit Clearance (T610): 26.11.2019
- Delivery from PPAP to SISEZ (By PPAP): 27.11.2019 
- Apply &amp; Received Form D (023/19): 04.12.2019, Valuation (034/19): 04.12.2019
- Complete Clearance (I37): 04.12.2019</t>
  </si>
  <si>
    <t>- Apply Permit: 02.09.2019, Received: 08.09.2019, 10.09.2019</t>
  </si>
  <si>
    <t>- Apply Permit: 05.09.2019, Received: 06.09.2019, 06.09.2019</t>
  </si>
  <si>
    <t>- Apply Permit: 04.09.2019, Received: 06.09.2019, 06.09.2019</t>
  </si>
  <si>
    <t>- Apply Permit: 02.09.2019, Received: 04.09.2019, 05.09.2019</t>
  </si>
  <si>
    <t>- Apply Permit: 30.08.2019, Received: 02.09.2019, 04.09.2019</t>
  </si>
  <si>
    <t>- Apply Permit: 10.09.2019, Received: 17.09.2019, 20.09.2019</t>
  </si>
  <si>
    <t>- Apply Permit: 16.09.2019, Received: 17.09.2019, 20.09.2019</t>
  </si>
  <si>
    <t xml:space="preserve">- Applied Form E: 02.10.2019 and received (11483): 26.09.2019
- Applied Invoice Valuation: 02.10.2019, Received (54325): 03.10.2019
- Import Clearance at Steung Hav (I395): 17.10.2019 </t>
  </si>
  <si>
    <t xml:space="preserve">- Applied Form E: 24.10.2019 and received (12769): 25.09.2019
- Applied Invoice Valuation: 28.10.2019, Received (59957): 30.10.2019
- Import Clearance at Steung Hav (I416): 08.11.2019 </t>
  </si>
  <si>
    <t xml:space="preserve">- Apply New Importer and Asycuda: 25.10.2019 and Received: 25.10.2019
- Applied Form E: 24.10.2019 and received (12777): 25.09.2019
- Applied Invoice Valuation: 28.10.2019, Received (59955): 30.10.2019
- Import Clearance at Steung Hav (I409): 30.10.2019 </t>
  </si>
  <si>
    <t>- Applied TP (SHV-SIDP): 06.11.2019, Received (04132អគរ.រគ): 08.11.2019, 08.11.2019</t>
  </si>
  <si>
    <t>- Applied TP (SHV-SIDP): 18.11.2019, Received (04257អគរ.រគ): 18.11.2019, 19.11.2019</t>
  </si>
  <si>
    <t>- Apply &amp;  Received TP (021/19): 01.10.2019
- Transit Clearance (T480): 02.10.2019
- Delivery from PPAP to SISEZ (By PPAP): 02.10.2019 
- Apply and Received Form D (018/19): 18.10.2019, Valuation (026/19): 18.10.2019
- Complete Clearance (I29): 19.10.2019</t>
  </si>
  <si>
    <t>- Apply &amp; Received TP (022/19): 01.10.2019
- Cleared Transit T13: 02.10.2019, 
- Delivered from OMP on 06.10.2019 by OMP and arrived at SISEZ: 07.10.2019
-​ Invoice Valuation (030/19): 18.10.2019, Apply Form D (019/19): 18.10.2019 
- Clear Imp (I30): 19.10.2019</t>
  </si>
  <si>
    <t>- Reqeusted &amp; Received TP (023/19): 01.10.2019
- Cleared Transit T12 (OMP): 02.10.2019, 
- Delivered from OMP on 06.10.2019 by OMP and arrived at SISEZ: 07.10.2019
-​ Invoice Valuation (027/19): 18.10.2019
- Clear Imp (I27): 18.10.2019</t>
  </si>
  <si>
    <t>- Apply &amp;  Received TP (026/19): 28.10.2019
- Transit Clearance (T546): 30.10.2019
- Delivery from PPAP and arrive at SISEZ (By PPAP): 30.10.2019 
- Apply and Received Form D (020/19) &amp; Valuation (030/19): 25.10.2019
- Complete Clearance (I32): 25.11.2019</t>
  </si>
  <si>
    <t>- Apply and Received TP (024/19): 04.10.2019
- Transit Clearance (T5601): 07.10.2019
- Delivered from PNH AIRPORT and arrived SISEZ: 07.10.2019
- Apply &amp; Received Invoice Valuation (028/19): 18.10.2019 
- Import Clearance (I31): 19.10.2019</t>
  </si>
  <si>
    <t>- Reqeusted TP (OMP-SISEZ) &amp; Received (025/19): 08.10.2019
- Cleared Transit T14 (OMP): 11.10.2019, 
- Delivered from OMP on 10.2019 by OMP and arrived at SISEZ: 10.2019
-Invoice Valuation (029/19): 18.10.2019
- Clear Imp (I28): 18.10.2019</t>
  </si>
  <si>
    <t>- Reqeusted &amp; Received TP (026/19): 14.11.2019
- Cleared Transit (T15): 15.11.2019, 
- Delivered from OMP on 17.11.2019 by OMP and arrived at SISEZ: 18.11.2019
- Apply &amp; Received Invoice Valuation (032/19): 25.11.2019, Form D (021/19): 25.11.2019
- Clear Imp (I33 ): 25.11.20192</t>
  </si>
  <si>
    <t>- Apply &amp; Received Transit Permit (029/19): 25.11.2019
- Transit Clearance (T611): 26.11.2019
- Delivery from PPAP to SISEZ (By PPAP): 28.11.2019 
- Apply &amp; Received Form D (022/19): 04.12.2019, Valuation (033/19): 04.12.2019
- Complete Clearance (I36): 04.12.2019</t>
  </si>
  <si>
    <t>- Reqeusted &amp; Received (030/19): 11.12.2019
- Cleared Transit (T16): 12.12.2019, 
- Delivered from OMP on 12.12.2019 by OMP and arrived at SISEZ: 13.12.2019
- Invoice Valuation (035/19): 23.12.2019
- Clear Imp (I40): 23.12.2019</t>
  </si>
  <si>
    <t>Container No</t>
  </si>
  <si>
    <t>Quantity</t>
  </si>
  <si>
    <t>Inv</t>
  </si>
  <si>
    <t>B/L No</t>
  </si>
  <si>
    <t>- Apply &amp; Received  TP (020/19): 13.09.2019
- Transit Clearance (T459): 17.09.2019
- Delivery from PPAP and arrive at SISEZ (By PPAP): 18.09.2019 
- Apply and Received Form D (017/19): 20.09.2019, Valuation (025/19): 20.09.2019
- Complete Clearance (I26): 20.09.2019</t>
  </si>
  <si>
    <t>POP</t>
  </si>
  <si>
    <t>STH</t>
  </si>
  <si>
    <t>DRYU9954759-40HC, DRYU9972602 -40HC</t>
  </si>
  <si>
    <t>OMPL9002014-40HC,
OMPL9055698-40HC</t>
  </si>
  <si>
    <t>DRYU9950455-40HC,
DRYU9955122-40HC,
DRYU9970410-40HC</t>
  </si>
  <si>
    <t>GAOU6458563-40HC, 
GAOU6458563-40HC</t>
  </si>
  <si>
    <t>TCKU9303523-40HC, 
TTNU9660301-40HC</t>
  </si>
  <si>
    <t>GAOU6131396-40HC</t>
  </si>
  <si>
    <t>GAOU6458033-40HC, CAIU8602367-40HC, CAIU8449577 -40HC</t>
  </si>
  <si>
    <t>083</t>
  </si>
  <si>
    <t>OMPLCHKHOMP004-20</t>
  </si>
  <si>
    <t>001/2020</t>
  </si>
  <si>
    <t>NP SAMUTSAKHON V.202S</t>
  </si>
  <si>
    <t>SISEZ</t>
  </si>
  <si>
    <t>CARTON BOX, KRAFT PAPER</t>
  </si>
  <si>
    <t>OMPL9573568-40HC</t>
  </si>
  <si>
    <t>13,693.00</t>
  </si>
  <si>
    <t>14,036.00</t>
  </si>
  <si>
    <t>10,470.83</t>
  </si>
  <si>
    <t>8,970.06</t>
  </si>
  <si>
    <t>29 PALLETS</t>
  </si>
  <si>
    <t>- Requested TP (OMP-SISEZ): 15.01.2020, Received (001/20): 15.01.2020</t>
  </si>
  <si>
    <t xml:space="preserve">- Reqeusted TP (PPAP-SISEZ): 23.12.019, Received (031/19): 23.12.2019
- Cleared Transit T671 (PPAP): 24.12.2019, delivered by PPAP and arrived at SISEZ: 25.12.2019
</t>
  </si>
  <si>
    <t xml:space="preserve">- Reqeusted TP (PPAP-SISEZ): 23.12.019, Received (032/19): 23.12.2019
- Cleared Transit T673 (PPAP): 24.12.2019, delivered by PPAP and arrive at SISEZ: 25.12.2019
</t>
  </si>
  <si>
    <t>084</t>
  </si>
  <si>
    <t>..\2 BJC\084 GLSN0040049</t>
  </si>
  <si>
    <t>..\2 BJC\082 GLSW951005</t>
  </si>
  <si>
    <t>..\2 BJC\081 GLSW951006</t>
  </si>
  <si>
    <t>GLSN0040049</t>
  </si>
  <si>
    <t>129 ROLLS</t>
  </si>
  <si>
    <t>59,109.20</t>
  </si>
  <si>
    <t>58,690.10</t>
  </si>
  <si>
    <t>52,173.68</t>
  </si>
  <si>
    <t>49,780.68</t>
  </si>
  <si>
    <t>20200115/VP-BJC-KH</t>
  </si>
  <si>
    <t>SEGU5593865-40HC, 
GAOU6131992-40HC,
 GAOU6458603-40HC, 
DRYU9954580-40HC</t>
  </si>
  <si>
    <t>VN-KH 20/01/02746</t>
  </si>
  <si>
    <t xml:space="preserve">- Reqeusted TP (PPAP-SISEZ): 27.01.2020, Received (002/20): 27.01.2020
- Clearance Transit T66 (PPAP-SISEZ): 28.02.2020, Delivered by PPAP and arrived SISEZ: 29.01.2020
</t>
  </si>
  <si>
    <t>Asycuda</t>
  </si>
  <si>
    <t>System</t>
  </si>
  <si>
    <t>GDCE</t>
  </si>
  <si>
    <t>phengsovanna</t>
  </si>
  <si>
    <t>National Single Window</t>
  </si>
  <si>
    <t>PHENGSOVANNA</t>
  </si>
  <si>
    <t>Remark</t>
  </si>
  <si>
    <t>EXTERIOR SIGNAGE, INTERIOR SIGNAGE</t>
  </si>
  <si>
    <t xml:space="preserve"> PLASTIC BASKET</t>
  </si>
  <si>
    <t>STAINLESS EQUIPMENT &amp; ACC</t>
  </si>
  <si>
    <t>085</t>
  </si>
  <si>
    <t>OMPLCHKHOMP018-20</t>
  </si>
  <si>
    <t>NP SAMUTSAKHON V.206S</t>
  </si>
  <si>
    <t>CARTON BOX, PLASTIC WRAPPER</t>
  </si>
  <si>
    <t>5,630.00</t>
  </si>
  <si>
    <t>OMPL9826075-40HC</t>
  </si>
  <si>
    <t>16 PALLETS</t>
  </si>
  <si>
    <t>086</t>
  </si>
  <si>
    <t>OMPLCHKHOMP019-20</t>
  </si>
  <si>
    <t>9,001.00</t>
  </si>
  <si>
    <t>OMPL5578405-40HC</t>
  </si>
  <si>
    <t>003/2020</t>
  </si>
  <si>
    <t>5,541.00</t>
  </si>
  <si>
    <t>14,740.10</t>
  </si>
  <si>
    <t>13,256.46</t>
  </si>
  <si>
    <t>004/2020</t>
  </si>
  <si>
    <t>JUMBO ROLL TISSUE PAPER</t>
  </si>
  <si>
    <t>8,701.00</t>
  </si>
  <si>
    <t>120 ROLLS</t>
  </si>
  <si>
    <t>- Requested TP (OMP-SISEZ): 11.02.2020, Received (003/20): 12.02.2020</t>
  </si>
  <si>
    <t>- Requested TP (OMP-SISEZ): 11.02.2020, Received (004/20): 12.02.2020</t>
  </si>
  <si>
    <t>087</t>
  </si>
  <si>
    <t>20200213/VP-BJC-KH</t>
  </si>
  <si>
    <t>58,310.70</t>
  </si>
  <si>
    <t>57,891.60</t>
  </si>
  <si>
    <t>GMDU8181905-40HC, GMDU8188664-40HC, GMDU8181124-40HC, GMDU8180555-40HC</t>
  </si>
  <si>
    <t>GMD20HPHPNH0011</t>
  </si>
  <si>
    <t>51,467.27</t>
  </si>
  <si>
    <t>49,075.27</t>
  </si>
  <si>
    <t>D2020-0033433</t>
  </si>
  <si>
    <t>SIDP</t>
  </si>
  <si>
    <t>SIBW</t>
  </si>
  <si>
    <t>CN</t>
  </si>
  <si>
    <t>TF</t>
  </si>
  <si>
    <t>SHV15</t>
  </si>
  <si>
    <t>PNH01</t>
  </si>
  <si>
    <t>SHV01</t>
  </si>
  <si>
    <t>PNH02</t>
  </si>
  <si>
    <t>VN-KH 20/01/05598</t>
  </si>
  <si>
    <t>MEKONG02 V.156W</t>
  </si>
  <si>
    <t>088</t>
  </si>
  <si>
    <t>COSU4512576787</t>
  </si>
  <si>
    <t>COSCO</t>
  </si>
  <si>
    <t>BRIDGE V.0100N</t>
  </si>
  <si>
    <t>RU</t>
  </si>
  <si>
    <t>4,350.00</t>
  </si>
  <si>
    <t>CCLU7155182-40HC</t>
  </si>
  <si>
    <t>089</t>
  </si>
  <si>
    <t>COSU6254749374</t>
  </si>
  <si>
    <t>TOYOTA ALPHARD &amp; MERCEDES-BENZ</t>
  </si>
  <si>
    <t>MERCEDES-BENZ</t>
  </si>
  <si>
    <t>US</t>
  </si>
  <si>
    <t>USED ROLL ROYCE GHOST</t>
  </si>
  <si>
    <t>4,370.00</t>
  </si>
  <si>
    <t>CBHU6302946-40HC</t>
  </si>
  <si>
    <t>3,500.00</t>
  </si>
  <si>
    <t>CCLU9940780-45HC</t>
  </si>
  <si>
    <t>090</t>
  </si>
  <si>
    <t>OOLU2633339140</t>
  </si>
  <si>
    <t>OOCL</t>
  </si>
  <si>
    <t>091</t>
  </si>
  <si>
    <t>OMPLCHKHOMP029-20</t>
  </si>
  <si>
    <t>006/2020</t>
  </si>
  <si>
    <t>NP SAMUTSAKHON V.209S</t>
  </si>
  <si>
    <t>CARTON BOX, PLASTIC WRAPPER, USED MACHINERY</t>
  </si>
  <si>
    <t>8,335.00</t>
  </si>
  <si>
    <t>8,218.00</t>
  </si>
  <si>
    <t>TTNU9896365-40HC</t>
  </si>
  <si>
    <t>17 PALLETS</t>
  </si>
  <si>
    <t>092</t>
  </si>
  <si>
    <t>SHAWDO59954</t>
  </si>
  <si>
    <t>CAM20191205S2</t>
  </si>
  <si>
    <t>E201322602501007</t>
  </si>
  <si>
    <t>NEWPORT CYPRESS 79 V.044W</t>
  </si>
  <si>
    <t>BRIDGE V.0118N</t>
  </si>
  <si>
    <t>15,168.00</t>
  </si>
  <si>
    <t>CAIU9709690-40'HQ
IAAU1695139-40'HQ
IAAU1730857-40'HQ
IAAU1773329-40'HQ</t>
  </si>
  <si>
    <t>12 UNITS</t>
  </si>
  <si>
    <t>093</t>
  </si>
  <si>
    <t>GMD20HPHPNH0027</t>
  </si>
  <si>
    <t>GMD</t>
  </si>
  <si>
    <t>20200318/VP-BJC-KH</t>
  </si>
  <si>
    <t>VN-KH 20/01/10323</t>
  </si>
  <si>
    <t>TOILET TISSUE PAPER, NAPKIN TISSUE PAPER</t>
  </si>
  <si>
    <t>84,523.70.70</t>
  </si>
  <si>
    <t>85,155.70</t>
  </si>
  <si>
    <t>171 ROLLS</t>
  </si>
  <si>
    <t>NEW CAR MG ZS</t>
  </si>
  <si>
    <t>SI SEZ</t>
  </si>
  <si>
    <t>GMDU8180534-40HC,GMDU8183791-40HC,GMDU8180663-40HC,GMDU8184587-40HC,GMDU8187673-40HC,GMDU8181525-40HC</t>
  </si>
  <si>
    <t>094</t>
  </si>
  <si>
    <t>COAU7222562693</t>
  </si>
  <si>
    <t>Truck</t>
  </si>
  <si>
    <t>SJ</t>
  </si>
  <si>
    <t>HE VAN CONSTRUCTION (SJ)</t>
  </si>
  <si>
    <t>BAVET</t>
  </si>
  <si>
    <t>CERAMIC DISH
CERAMIC SPOON
ALUMINIUM POT
ALUMINIUM PAN
OFFICE FURNITURE (PLYWOOD)</t>
  </si>
  <si>
    <t>CCLU7312996-40'HQ</t>
  </si>
  <si>
    <t>730 P'KGS</t>
  </si>
  <si>
    <t>TRANSIT PERMIT ONLY</t>
  </si>
  <si>
    <t>095</t>
  </si>
  <si>
    <t>SHAWD060137</t>
  </si>
  <si>
    <t>M H MOTOR</t>
  </si>
  <si>
    <t>SHAWD059992</t>
  </si>
  <si>
    <t>CAM20200114S1</t>
  </si>
  <si>
    <t>E201322602505010</t>
  </si>
  <si>
    <t>096</t>
  </si>
  <si>
    <t>AIL</t>
  </si>
  <si>
    <t>NEWPORT CYPRESS 02 V.K13W</t>
  </si>
  <si>
    <t xml:space="preserve">NEW CAR MG </t>
  </si>
  <si>
    <t>51 UNITS</t>
  </si>
  <si>
    <t>097</t>
  </si>
  <si>
    <t>TW2010XG31/33/35</t>
  </si>
  <si>
    <t>20200305CT/CCF</t>
  </si>
  <si>
    <t>E20101148580004</t>
  </si>
  <si>
    <t>ALLOY DEFORMED REBAR (STEEL BAR), COILS OF WIRE ROD</t>
  </si>
  <si>
    <t>1218 PKGS</t>
  </si>
  <si>
    <t>098</t>
  </si>
  <si>
    <t>DC FAN, TOILET TISSUE (2PLY), CERAMIC DISH, CERAMIC SPOON</t>
  </si>
  <si>
    <t>HASU4035927-40HC</t>
  </si>
  <si>
    <t>1158 PKG</t>
  </si>
  <si>
    <t>099</t>
  </si>
  <si>
    <t>100</t>
  </si>
  <si>
    <t>101</t>
  </si>
  <si>
    <t>OMPLCHKHOMP039-20</t>
  </si>
  <si>
    <t>008/2020</t>
  </si>
  <si>
    <t>D2020-0094091</t>
  </si>
  <si>
    <t>120 ROLL(S)</t>
  </si>
  <si>
    <t>PMLU9008711-40HC</t>
  </si>
  <si>
    <t>HDMUNXHM1353666</t>
  </si>
  <si>
    <t>DC FAN, LED BLUB, WALLPAPER, MATTRESS SUPPORT, ALUMINIUM PT, ALUMINIUM PAN</t>
  </si>
  <si>
    <t>572 P'KGS</t>
  </si>
  <si>
    <t>BV-202012-04</t>
  </si>
  <si>
    <t>PAPER ROLL (LESS THAN 100GSM)</t>
  </si>
  <si>
    <t>TEMU5343250-20DC, OCGU2012276-20DC</t>
  </si>
  <si>
    <t>564 CTNS</t>
  </si>
  <si>
    <t>102</t>
  </si>
  <si>
    <t>KH20200113S</t>
  </si>
  <si>
    <t>AUTO PARTS</t>
  </si>
  <si>
    <t>IAAU1784848-40HC</t>
  </si>
  <si>
    <t>20 PKGS=1930PCS</t>
  </si>
  <si>
    <t>103</t>
  </si>
  <si>
    <t>HWX2004225</t>
  </si>
  <si>
    <t>MIX MART GOODS</t>
  </si>
  <si>
    <t>KKFU9025564-45HC</t>
  </si>
  <si>
    <t>929 CTNS</t>
  </si>
  <si>
    <t>596617713</t>
  </si>
  <si>
    <t>CSNU6539725-40HC</t>
  </si>
  <si>
    <t>80 PKGS</t>
  </si>
  <si>
    <t>COAU7223469890</t>
  </si>
  <si>
    <t>FITNESS EQUIPMENT</t>
  </si>
  <si>
    <t>TGBU5890319-40HC, EITU1171296-40HC</t>
  </si>
  <si>
    <t>104</t>
  </si>
  <si>
    <t>105</t>
  </si>
  <si>
    <t>106</t>
  </si>
  <si>
    <t>107</t>
  </si>
  <si>
    <t>024A517627</t>
  </si>
  <si>
    <t>FOODSTUFF</t>
  </si>
  <si>
    <t>WHSU5055888-40HC</t>
  </si>
  <si>
    <t>1010 CTNS</t>
  </si>
  <si>
    <t>YMLUI228337677</t>
  </si>
  <si>
    <t>FITNESS EQUIPMENTS</t>
  </si>
  <si>
    <t>TEMU0755996-20GP</t>
  </si>
  <si>
    <t>45 P'KGS</t>
  </si>
  <si>
    <t>024A517331</t>
  </si>
  <si>
    <t>CABINET, MATTRESS SUPPORT, WALLPAPER, PLASTIC TAP, SHELF</t>
  </si>
  <si>
    <t>TCNU5684940-40HC</t>
  </si>
  <si>
    <t>185 P'KGS</t>
  </si>
  <si>
    <t>EGLV157000052345</t>
  </si>
  <si>
    <t>WALLPAPER, MATTRESS SUPPORT, SPEAKER, ALUMINIUM POT, ALUMINIUM PAN</t>
  </si>
  <si>
    <t>IMTU9049250-40HC, EISU9161156-40HC</t>
  </si>
  <si>
    <t>453 P'KGS</t>
  </si>
  <si>
    <t>108</t>
  </si>
  <si>
    <t>109</t>
  </si>
  <si>
    <t>597785935</t>
  </si>
  <si>
    <t>COAU7223441790</t>
  </si>
  <si>
    <t>STEEL SQUARE TUBE</t>
  </si>
  <si>
    <t>626 P'KGS</t>
  </si>
  <si>
    <t>GATE IN: 10.05.20</t>
  </si>
  <si>
    <t>GATE IN: 09.05.20</t>
  </si>
  <si>
    <t>GATE IN: 08.05.20</t>
  </si>
  <si>
    <t>GATE IN: 01.05.20</t>
  </si>
  <si>
    <t>GATE IN: 29.04.20</t>
  </si>
  <si>
    <t>TP:, GATE IN: 18.04.20</t>
  </si>
  <si>
    <t>BSIU9601416-40HC</t>
  </si>
  <si>
    <t>MSKU9411754-40HC</t>
  </si>
  <si>
    <t>196 P'KGS</t>
  </si>
  <si>
    <t>GATE IN: 25.04.20, T1548, I18</t>
  </si>
  <si>
    <t>WELLER (MR. VITOU)</t>
  </si>
  <si>
    <t>110</t>
  </si>
  <si>
    <t>111</t>
  </si>
  <si>
    <t>112</t>
  </si>
  <si>
    <t>113</t>
  </si>
  <si>
    <t>598513776</t>
  </si>
  <si>
    <t>MRSU3892988/ML-CN5269225/40'HC
MRKU3751499/ML-CN5226621/40'HC</t>
  </si>
  <si>
    <t>1499 CTNS</t>
  </si>
  <si>
    <t>024A518730</t>
  </si>
  <si>
    <t>WHLU5510380/WHLD900367/40'HC</t>
  </si>
  <si>
    <t>597742587</t>
  </si>
  <si>
    <t>SCAFFOLDING FASTERNER, PAPER ROLL, WALLPAPER, LED BULB, CERAMIC DISH, CERAMIC SPOON</t>
  </si>
  <si>
    <t>215 CTNS &amp; 357 ROLLS</t>
  </si>
  <si>
    <t>MSKU0715545/ML-CN5247564/40'HC
MRKU4130921/ML-CN5247551/40'HC</t>
  </si>
  <si>
    <t>YMLUI232176328</t>
  </si>
  <si>
    <t>MATTRESS SUPPORT, DC FAN, SCAFFOLDING FASTERNER, ALUMINIUM PAN</t>
  </si>
  <si>
    <t>CAIU7846667/YMAG131406/40'HQ</t>
  </si>
  <si>
    <t>342 CTNS</t>
  </si>
  <si>
    <t>GATE IN: 18.05.20</t>
  </si>
  <si>
    <t>GATE IN: 16.05.20</t>
  </si>
  <si>
    <t>114</t>
  </si>
  <si>
    <t>YMLUI228338315</t>
  </si>
  <si>
    <t>TGBU6454264/YMAG625569/40'HQ</t>
  </si>
  <si>
    <t>65 CTNS</t>
  </si>
  <si>
    <t>115</t>
  </si>
  <si>
    <t>ATCCA9080009</t>
  </si>
  <si>
    <t>QATU4500024/K9730529/40'HC</t>
  </si>
  <si>
    <t>464 CTNS</t>
  </si>
  <si>
    <t>116</t>
  </si>
  <si>
    <t>COAU7223798696</t>
  </si>
  <si>
    <t>ALUMINIUM PAN, SCREW, LAMP, FURNITURE (PLYWOOD)</t>
  </si>
  <si>
    <t>CCLU7250370/CL136567/40'HQ</t>
  </si>
  <si>
    <t>201 CTNS</t>
  </si>
  <si>
    <t>117</t>
  </si>
  <si>
    <t>118</t>
  </si>
  <si>
    <t>119</t>
  </si>
  <si>
    <t>120</t>
  </si>
  <si>
    <t>024A520508</t>
  </si>
  <si>
    <t>MIXED CARGO</t>
  </si>
  <si>
    <t>BHCU4991093/WHLD912055/40'HC</t>
  </si>
  <si>
    <t>246 CTNS &amp; 524 ROLLS</t>
  </si>
  <si>
    <t>NSASGNG17340</t>
  </si>
  <si>
    <t>MIXED MART CARGO</t>
  </si>
  <si>
    <t>DFSU7676325/SITJ790819/40'HC</t>
  </si>
  <si>
    <t>271 CTNS</t>
  </si>
  <si>
    <t>COAU7223441793</t>
  </si>
  <si>
    <t>HOTEL EQUIPMENT</t>
  </si>
  <si>
    <t>DFSU6604059/190228006/40'HC</t>
  </si>
  <si>
    <t>125 CTNS &amp; 107 ROLLS</t>
  </si>
  <si>
    <t>COAU7223795490</t>
  </si>
  <si>
    <t>CCLU7971442/U346783/40'HQ</t>
  </si>
  <si>
    <t>670 BUNDLES</t>
  </si>
  <si>
    <t>121</t>
  </si>
  <si>
    <t>NSASGNG17692</t>
  </si>
  <si>
    <t>TCKU7363170/SITJ787198/40'HC</t>
  </si>
  <si>
    <t>367CTNS &amp; 100ROLLS</t>
  </si>
  <si>
    <t>122</t>
  </si>
  <si>
    <t>COAU7223666872</t>
  </si>
  <si>
    <t>CONSTRUCTION MATERIALS</t>
  </si>
  <si>
    <t>CCLU7883932/CK311078/40'HQ</t>
  </si>
  <si>
    <t>50BARRELS &amp; 1250BAGS</t>
  </si>
  <si>
    <t>GATE IN: 21.05.20</t>
  </si>
  <si>
    <t>GATE IN: 22.05.20</t>
  </si>
  <si>
    <t>GATE IN: 26.05.20</t>
  </si>
  <si>
    <t>123</t>
  </si>
  <si>
    <t>031A516578</t>
  </si>
  <si>
    <t>WHSU5325140/WHLK253947/40'HC
DFSU7759991/WHLK253839/40'HC</t>
  </si>
  <si>
    <t>400 CTNS</t>
  </si>
  <si>
    <t>124</t>
  </si>
  <si>
    <t>125</t>
  </si>
  <si>
    <t>126</t>
  </si>
  <si>
    <t>YMLUI232176943</t>
  </si>
  <si>
    <t>FSCU8054960/YMAF737490/40'HQ</t>
  </si>
  <si>
    <t>YMLUI232176924</t>
  </si>
  <si>
    <t>BMOU6334060/YMAE657539/40'HQ
MAGU5563906/YMAF737588/40'HQ
TEMU8512293/YMAF737556/40'HQ
YMLU8699990/YMAF737526/40'HQ
YMLU8832530/YMAF772649/40'HQ
YMMU6085194/YMAG122205/40'HQ</t>
  </si>
  <si>
    <t>2530 P'KGS</t>
  </si>
  <si>
    <t>FURNITURE</t>
  </si>
  <si>
    <t>HDMUQSHM8562901</t>
  </si>
  <si>
    <t>SEGU5835043/19197976/40'HQ</t>
  </si>
  <si>
    <t>414 P'KGS</t>
  </si>
  <si>
    <t>GATE IN: 29.05.20</t>
  </si>
  <si>
    <t>GATE IN: 27.05.20</t>
  </si>
  <si>
    <t>GATE IN: 01.06.20</t>
  </si>
  <si>
    <t>127</t>
  </si>
  <si>
    <t>024A522062</t>
  </si>
  <si>
    <t>MIXED CARGO AND FURNITURE</t>
  </si>
  <si>
    <t>TCNU6677020/WHLD900321/40'HC
TCNU3882253/WHLD907662/40'HC
WHLU5645446/WHLD907654/40'HC</t>
  </si>
  <si>
    <t>2035CTNS &amp; 100ROLLS</t>
  </si>
  <si>
    <t>128</t>
  </si>
  <si>
    <t>NSASGNG18190</t>
  </si>
  <si>
    <t>1025 CTNS</t>
  </si>
  <si>
    <t>UETU5777340/SITJ838415/40'HC
SEGU6847305/SITJ838423/40'HC
FFAU1160665/SITJ838430/40'HC</t>
  </si>
  <si>
    <t>129</t>
  </si>
  <si>
    <t>YMLUI228339461</t>
  </si>
  <si>
    <t>BEAU4586160/YAMG626790/40'HQ</t>
  </si>
  <si>
    <t>85 P'KGS</t>
  </si>
  <si>
    <t>130</t>
  </si>
  <si>
    <t>024A523566</t>
  </si>
  <si>
    <t>MIIXED CARGO</t>
  </si>
  <si>
    <t>CAAU5155051/WHLF647099/40'HC
WHLU5765457/WHLF647172/40'HC
TCNU8887324/WHLF647066/40'HC</t>
  </si>
  <si>
    <t>1155CTNS &amp; 215ROLLS</t>
  </si>
  <si>
    <t>131</t>
  </si>
  <si>
    <t>024A523584</t>
  </si>
  <si>
    <t>WHLU5710937/WHLD906912/40'HC
WHLU5537992/WHLF647170/40'HC
WHSU5093419/WHLC540629/40'HC</t>
  </si>
  <si>
    <t>613CTNS &amp; 500ROLLS</t>
  </si>
  <si>
    <t>132</t>
  </si>
  <si>
    <t>024A523355</t>
  </si>
  <si>
    <t>FOODSTUFF AND MIXED CARGO</t>
  </si>
  <si>
    <t>MAGU5478384/WHLF647194/40'HC
DFSU7674301/WHLC540630/40'HC</t>
  </si>
  <si>
    <t>1811CTNS &amp; 55P'KGS</t>
  </si>
  <si>
    <t>133</t>
  </si>
  <si>
    <t>134</t>
  </si>
  <si>
    <t>599420902</t>
  </si>
  <si>
    <t>MRKU3093340/ML-CN5229836/40'HC</t>
  </si>
  <si>
    <t>300CTNS &amp; 120ROLLS</t>
  </si>
  <si>
    <t>COAU7882001280</t>
  </si>
  <si>
    <t>OOCU7152201/CL137995/40'HQ</t>
  </si>
  <si>
    <t>600 P'KGS</t>
  </si>
  <si>
    <t>135</t>
  </si>
  <si>
    <t>COAU7224196912</t>
  </si>
  <si>
    <t>CCLU7822881/CL138806/40'HQ
UETU5108345/CL138889/40'HQ</t>
  </si>
  <si>
    <t>590CTNS &amp;200ROLLS</t>
  </si>
  <si>
    <t>136</t>
  </si>
  <si>
    <t>SHAWD060776</t>
  </si>
  <si>
    <t>HMMU6083300-40'HQ</t>
  </si>
  <si>
    <t>15 PKGS</t>
  </si>
  <si>
    <t>137</t>
  </si>
  <si>
    <t>138</t>
  </si>
  <si>
    <t>139</t>
  </si>
  <si>
    <t>140</t>
  </si>
  <si>
    <t>024A523565</t>
  </si>
  <si>
    <t>PHRU2502446/NS2064884/20'DC</t>
  </si>
  <si>
    <t>25 CTNS &amp; 107 ROLLS</t>
  </si>
  <si>
    <t>024A523562</t>
  </si>
  <si>
    <t>WHSU5475643/WHLF652840/40'HC</t>
  </si>
  <si>
    <t>360 CTNS &amp; 90ROLLS</t>
  </si>
  <si>
    <t>NSASGNG18517</t>
  </si>
  <si>
    <t>MIXED CARGO AND FOODSTUFF</t>
  </si>
  <si>
    <t>TCNU5294388/SITJ837466/40'HC
BMOU6517440/SITJ836628/40'HC</t>
  </si>
  <si>
    <t>749 CTNS &amp; 180 ROLLS</t>
  </si>
  <si>
    <t>YMLUI226021338</t>
  </si>
  <si>
    <t>PLYWOOD, GYPSUM BOARD</t>
  </si>
  <si>
    <t>MAGU5672677/YMAG688749/40'HQ
YMMU6141446/YMAH052069/40'HQ</t>
  </si>
  <si>
    <t>430 P'KGS</t>
  </si>
  <si>
    <t>TP: 01807 (04.06.20) GATE IN: 08.06.20</t>
  </si>
  <si>
    <t>TP: 01806 (04.06.20) GATE IN: 06.06.20</t>
  </si>
  <si>
    <t>TP: 01827 (05.06.20) GATE IN: 08.06.20</t>
  </si>
  <si>
    <t>TP: 01855 (08.06.20) GATE IN: 10.06.20</t>
  </si>
  <si>
    <t>TP: 01828 (05.06.20) GATE IN: 11.06.20</t>
  </si>
  <si>
    <t>TP: 01830 (05.06.20) GATE IN: 11.06.20</t>
  </si>
  <si>
    <t>TP: 01829 (05.06.20) GATE IN: 12.06.20</t>
  </si>
  <si>
    <t>TP: 01854 (08.06.20) GATE IN: 12.06.20</t>
  </si>
  <si>
    <t>141</t>
  </si>
  <si>
    <t>203157867</t>
  </si>
  <si>
    <t>315CTNS &amp; 80ROLLS</t>
  </si>
  <si>
    <t>TP: 01889 (10.06.20) GATE IN: 14.06.20</t>
  </si>
  <si>
    <t>TP: 01908 (12.06.20) GATE IN: 15.06.20</t>
  </si>
  <si>
    <t>TP: 01907 (12.06.20) GATE IN: 14.06.20</t>
  </si>
  <si>
    <t>TP: 01905 (12.06.20) GATE IN: 15.06.20</t>
  </si>
  <si>
    <t>suvannaphum</t>
  </si>
  <si>
    <t>REF No:</t>
  </si>
  <si>
    <t>SHIPPER:</t>
  </si>
  <si>
    <t>CONSIGNEE:</t>
  </si>
  <si>
    <t>ARRIVAL DATE:</t>
  </si>
  <si>
    <t>DELIVERY DATE:</t>
  </si>
  <si>
    <t>BL No.:</t>
  </si>
  <si>
    <t>CONTAINER No.:</t>
  </si>
  <si>
    <t>TRUCK No.:</t>
  </si>
  <si>
    <t>SHIPMENT MODE:</t>
  </si>
  <si>
    <t>VIA:</t>
  </si>
  <si>
    <t>ADDRESS:</t>
  </si>
  <si>
    <t>TO:</t>
  </si>
  <si>
    <t>IMPORT CC DATE:</t>
  </si>
  <si>
    <t>INV/PKL:</t>
  </si>
  <si>
    <t>SEAL No.:</t>
  </si>
  <si>
    <t>VSSL NAME:</t>
  </si>
  <si>
    <t>COMMODITY:</t>
  </si>
  <si>
    <t>SERVICE PROVIDE:</t>
  </si>
  <si>
    <t>Shipper Name</t>
  </si>
  <si>
    <t>Received Date</t>
  </si>
  <si>
    <t>SEA-LAND-FCL</t>
  </si>
  <si>
    <t>DONGGUAN</t>
  </si>
  <si>
    <t>MSKU4531680/ML-CN5219046/40'HC 
MSKU4606244/ML-CN4696287/40'HC</t>
  </si>
  <si>
    <t>PNH</t>
  </si>
  <si>
    <t>VOLUME:</t>
  </si>
  <si>
    <t>TP: 01996 (12.06.20) GATE IN: 16.06.20</t>
  </si>
  <si>
    <t>226 CTNS</t>
  </si>
  <si>
    <t>Remark:</t>
  </si>
  <si>
    <t>142</t>
  </si>
  <si>
    <t>143</t>
  </si>
  <si>
    <t>144</t>
  </si>
  <si>
    <t>YMLUI235179868</t>
  </si>
  <si>
    <t>WALL PUTTY POWDER</t>
  </si>
  <si>
    <t>YMMU6067565/YMAH448026/40'HC</t>
  </si>
  <si>
    <t>1060 BAGS</t>
  </si>
  <si>
    <t>HK RONGTIAN</t>
  </si>
  <si>
    <t>YMLUI228339771</t>
  </si>
  <si>
    <t>CERAMIC TILES</t>
  </si>
  <si>
    <t>BMOU1143902/YMAG624465/20'DC
BMOU1253140/YMAG624468/20'DC
FTAU1143876/YMAG624462/20'DC
YMLU3322107/YMAG624463/20'DC
YMMU1207725/YMAG624469/20'DC</t>
  </si>
  <si>
    <t>3100 CTNS</t>
  </si>
  <si>
    <t>EGLV149002350059</t>
  </si>
  <si>
    <t>EITU1673967/EMCFWM7080/40'HC</t>
  </si>
  <si>
    <t>570 BUNDLES</t>
  </si>
  <si>
    <t>SAIC MOTOR</t>
  </si>
  <si>
    <t>KH20200506S</t>
  </si>
  <si>
    <t>145</t>
  </si>
  <si>
    <t>EGLV157000075507</t>
  </si>
  <si>
    <t>EGHU9597939/EMCAYS2299/40'HC</t>
  </si>
  <si>
    <t>478 CTNS</t>
  </si>
  <si>
    <t>GUANGZHOU</t>
  </si>
  <si>
    <t>SHENZHEN</t>
  </si>
  <si>
    <t>146</t>
  </si>
  <si>
    <t>147</t>
  </si>
  <si>
    <t>024A524434</t>
  </si>
  <si>
    <t>WHSU5393801/WHLD900322/40'HC</t>
  </si>
  <si>
    <t>356 CTNS &amp; 90 ROLLS</t>
  </si>
  <si>
    <t>SSLHCM2004202</t>
  </si>
  <si>
    <t>APHALT ANTI-STRIPPING AGENT</t>
  </si>
  <si>
    <t>BSIU9305287/T745337/40'HC</t>
  </si>
  <si>
    <t>480 BARRELS</t>
  </si>
  <si>
    <t>148</t>
  </si>
  <si>
    <t>024A525986</t>
  </si>
  <si>
    <t>WHLU5696989/WHLD907105/40'HC</t>
  </si>
  <si>
    <t>YIWU QIANGSHENG</t>
  </si>
  <si>
    <t>149</t>
  </si>
  <si>
    <t>COAU7224172150</t>
  </si>
  <si>
    <t>TOILET TISSUE</t>
  </si>
  <si>
    <t>CSNU6257038/CJ770590/40'HQ</t>
  </si>
  <si>
    <t>960 CTNS</t>
  </si>
  <si>
    <t>150</t>
  </si>
  <si>
    <t>COAU7224193104</t>
  </si>
  <si>
    <t>CCLU7135890/CL492753/40'HQ</t>
  </si>
  <si>
    <t>489 CTNS</t>
  </si>
  <si>
    <t>151</t>
  </si>
  <si>
    <t>YMLUI228340746</t>
  </si>
  <si>
    <t>FCIU6263344/YMAG628507/20'DC
SEGU2293946/YMAG628508/20'DC
SEGU2809565/YMAG628504/20'DC
TEMU0336562/YMAG628505/20'DC
TEMU0967737/YMAG628506/20'DC</t>
  </si>
  <si>
    <t>3050 CTNS</t>
  </si>
  <si>
    <t>152</t>
  </si>
  <si>
    <t>024A526176</t>
  </si>
  <si>
    <t>WHSU5170264/WHL1689311/40'HC</t>
  </si>
  <si>
    <t>316 CTNS</t>
  </si>
  <si>
    <t>153</t>
  </si>
  <si>
    <t>COAU7224207040</t>
  </si>
  <si>
    <t>CCLU7637517/V456412/40'HQ</t>
  </si>
  <si>
    <t>612 BUNDLES</t>
  </si>
  <si>
    <t>154</t>
  </si>
  <si>
    <t>YMLUI235179958</t>
  </si>
  <si>
    <t>TCKU1260894/YMAH449995/20'DC</t>
  </si>
  <si>
    <t>179 CTNS</t>
  </si>
  <si>
    <t>TP: 01948 (15.06.20): GATE IN: 16.06.20 (CONT: 1680), 17.06.20 (CONT: 6244)</t>
  </si>
  <si>
    <t>TP: 01984 (17.06.20): GATE IN: 20.06.20</t>
  </si>
  <si>
    <t>TP: 01983 (17.06.20), GATE IN: 20.06.20</t>
  </si>
  <si>
    <t>TP: 01982 (17.06.20), GATE IN: 20.06.20</t>
  </si>
  <si>
    <t>TP: 01981 (17.06.20), GATE IN: 21.06.20</t>
  </si>
  <si>
    <t>TP: 02010 (19.06.20), GATE IN: 21.06.20</t>
  </si>
  <si>
    <t>TP: 02009 (19.06.20), GATE IN: 24.06.20</t>
  </si>
  <si>
    <t>TP: 02036 (23.06.20), GATE IN: 24.06.20</t>
  </si>
  <si>
    <t>TP: 02026 (22.06.20), GATE IN: 23.06.20</t>
  </si>
  <si>
    <t>MEKONG 8 V.094W</t>
  </si>
  <si>
    <t>TP: 02060 (24.06.20, GATE IN:</t>
  </si>
  <si>
    <t>TP: 02062 (24.06.20), GATE IN:</t>
  </si>
  <si>
    <t>TP: 02061 (24.06.20), GATE IN:</t>
  </si>
  <si>
    <t>004</t>
  </si>
  <si>
    <t>ELCKSGN19010175</t>
  </si>
  <si>
    <t>DMC-DAC-062018-002</t>
  </si>
  <si>
    <t>OHUOC LONG 10 V.005W</t>
  </si>
  <si>
    <t>TRUCK ENGINE</t>
  </si>
  <si>
    <t>GLDU7218680/40'HC
GLDU7591288/40'HC
KKFU7176577/40'HC
KKFU7602013/40'HC</t>
  </si>
  <si>
    <t>330 UNITS</t>
  </si>
  <si>
    <t>TP: 00449 (08.02.20), IM8 T103 (09.02.19), IM7: I2 (15.02.19), TRUCK (PPAP): 13.02.19</t>
  </si>
  <si>
    <t>SEA</t>
  </si>
  <si>
    <t>DAEHAN AUTO</t>
  </si>
  <si>
    <t>DAEHAN MOTOR</t>
  </si>
  <si>
    <t>IMPORT</t>
  </si>
  <si>
    <t>TP: 02068 (24.06.20), GATE IN:</t>
  </si>
  <si>
    <t xml:space="preserve">TP: 02067 (24.06.20), GATE IN: </t>
  </si>
  <si>
    <t>155</t>
  </si>
  <si>
    <t>COSU6258322605</t>
  </si>
  <si>
    <t>H-SRUN22605</t>
  </si>
  <si>
    <t>BRIDGE V.0132N</t>
  </si>
  <si>
    <t>SI BW</t>
  </si>
  <si>
    <t>CSNU6832184/40'HQ</t>
  </si>
  <si>
    <t>ATI CONSULTING</t>
  </si>
  <si>
    <t>156</t>
  </si>
  <si>
    <t>YMLUI228341071</t>
  </si>
  <si>
    <t>MAGU2430068/YMAG623935/20'DC
SEGU2808126/YMAG623937/20'DC
TEMU5480079/YMAG623934/20'DC
YMLU3401931/YMAG623938/20'DC
YMLU3593583/YMAG623932/20'DC
BEAU2386564/YMAG635015/20'DC
CAIU6285535/YMAG635016/20'DC
TEMU4921267/YMAG623933/20'DC
TGBU2084808/YMAG628196/20'DC</t>
  </si>
  <si>
    <t>5580 CTNS</t>
  </si>
  <si>
    <t>- Applied CV: 15.06.20, CV Ref: 25930 (17.06.20), 
- IM4: I6929 &amp; I6930 (PART): 19.06.20, 
- Truck (Mr. Boramey): 19.06.20, Arrived: 19.06.20, Unloaded: 20.06.20
- Offset: 24.06.20 
- Completed</t>
  </si>
  <si>
    <t>- Apply TP: 28.05.20, TP Ref: 01723 (29.05.20)
- Entry DP Request: 01.06.20
- Offset:
- Completed</t>
  </si>
  <si>
    <t>- Apply TP: 01.06.20, TP Ref: 01770 (02.06.20)
- Entry DP Request: 04.06.20
- Offset: 05.06.20
- Complete</t>
  </si>
  <si>
    <t>- Apply TP: 01.06.20, TP Ref: 01777 (02.06.20) 
- Entry DP Request: 06.06.20
- Offset: 05.06.20
- Completed</t>
  </si>
  <si>
    <t>- Apply TP: 01.06.20, TP Ref: 01778 (02.06.20) 
- Entry DP Request: 05.06.20
- Offset: 05.06.20
- Completed</t>
  </si>
  <si>
    <t>- Apply TP: 02.06.20, TP Ref: 01791 (03.06.20) 
- Entry DP Request: 05.06.20
- Offset: 05.06.20
- Completed</t>
  </si>
  <si>
    <t xml:space="preserve">NEW AUTOMOBILES ROLLS ROYCE </t>
  </si>
  <si>
    <t>157</t>
  </si>
  <si>
    <t>OMPLCHKHOMP065-20</t>
  </si>
  <si>
    <t>SEA-FCL</t>
  </si>
  <si>
    <t>012/2020</t>
  </si>
  <si>
    <t>PMLU9007124-40'HC</t>
  </si>
  <si>
    <t>D2020-0143290</t>
  </si>
  <si>
    <t>158</t>
  </si>
  <si>
    <t>ONEYDXBA02992700</t>
  </si>
  <si>
    <t>BRIDGE V.0124N</t>
  </si>
  <si>
    <t>DUBAI</t>
  </si>
  <si>
    <t>BSIU9812168 / AE056579A 
01X40HC</t>
  </si>
  <si>
    <t>BRAND NEW TOYOTA HIACE 2.5L
CHASSIS NO: JTFJK02P100033394, COLOUR: WHITE, ENGINE NO.: 5L6332614
CHASSIS NO: JTFJK02P700033397, COLOR: WHITE, ENGINE NO.: 5L6332620</t>
  </si>
  <si>
    <t>159</t>
  </si>
  <si>
    <t>024A527641</t>
  </si>
  <si>
    <t>STEEL PIPE, LAMP,  PAPER ROLL, WALLPAPER,  H STEEL</t>
  </si>
  <si>
    <t>WHLU5498535/WHLF654429/40'HQ
CSNU7217493/CH724125/40'HQ</t>
  </si>
  <si>
    <t>650 CTNS &amp; 80 ROLLS</t>
  </si>
  <si>
    <t>160</t>
  </si>
  <si>
    <t>161</t>
  </si>
  <si>
    <t>162</t>
  </si>
  <si>
    <t>163</t>
  </si>
  <si>
    <t>024A527397</t>
  </si>
  <si>
    <t xml:space="preserve">ABSORTED BISCUIT, SCAFFOLDING FASTERNER, PLATE STEEL BLACK COATED, STEEL PIPE , STEEL SQURE TUBE, STRAIGHT SAW BLADES </t>
  </si>
  <si>
    <t>TEMU7354320/WHLC528538/40'HC
MSKU0360492/ML-CN6516957/40'HC</t>
  </si>
  <si>
    <t xml:space="preserve">682 CTNS </t>
  </si>
  <si>
    <t>COAU7224464870</t>
  </si>
  <si>
    <t xml:space="preserve">HOTEL EQUIPMENT </t>
  </si>
  <si>
    <t>TCNU5305707/CL115823/40'HQ</t>
  </si>
  <si>
    <t xml:space="preserve">208 CTNS &amp; 107 ROLLS  </t>
  </si>
  <si>
    <t>COAU7882019030</t>
  </si>
  <si>
    <t>PLYWOOD, GYPSUM BOARD, OFFICE FURNITURE</t>
  </si>
  <si>
    <t>TCNU2160003/CL137938/40'HQ</t>
  </si>
  <si>
    <t>427 P'KGS</t>
  </si>
  <si>
    <t>024A528549</t>
  </si>
  <si>
    <t>FOODSTUFF, SCREW, PAPER ROLL, WALLPAPER, OFFICE FURNITURE</t>
  </si>
  <si>
    <t>WHSU5201241/WHLF652196/40'HQ</t>
  </si>
  <si>
    <t>660 CTNS &amp; 90 ROLLS</t>
  </si>
  <si>
    <t>BERLI JUCKER</t>
  </si>
  <si>
    <t>EMIRATES</t>
  </si>
  <si>
    <t>164</t>
  </si>
  <si>
    <t>GMD20HPHPNH0067</t>
  </si>
  <si>
    <t>72 ROLLS</t>
  </si>
  <si>
    <t>VINA PAPER</t>
  </si>
  <si>
    <t>20200629/VP-BJC-KH</t>
  </si>
  <si>
    <t>165</t>
  </si>
  <si>
    <t>OMPLCHKHOMP070-20</t>
  </si>
  <si>
    <t>013/2020</t>
  </si>
  <si>
    <t>CARTON BOX, PLASTIC WRAPPER, PAPER CORE, FLANNEL, PLASTIC BELT, LED LIGHT PART, AIR COMPRESSOR</t>
  </si>
  <si>
    <t>OMPL9918195-40'HC</t>
  </si>
  <si>
    <t>22 PALLETS</t>
  </si>
  <si>
    <t>NP SAMUTSAKHON V.2024S</t>
  </si>
  <si>
    <t>166</t>
  </si>
  <si>
    <t>YMLUI228341616</t>
  </si>
  <si>
    <t>BEAU2415111/YMAH000296/20'DC
CXDU2335827/YMAG635020/20'DC
OCGU2065980/YMAG635012/20'DC
SEGU2856973/YMAG635011/20'DC
CAIU6544301/YMAG635019/20'DC
TRHU3146066/YMAG635017/20'DC
YMMU1033460/YMAG635014/20'DC</t>
  </si>
  <si>
    <t xml:space="preserve">4340 CTNS </t>
  </si>
  <si>
    <t>167</t>
  </si>
  <si>
    <t>168</t>
  </si>
  <si>
    <t>COAU7224629320</t>
  </si>
  <si>
    <t>CBHU9468695/U346785/40'HQ</t>
  </si>
  <si>
    <t>750 BUNDLES</t>
  </si>
  <si>
    <t>COAU7224564370</t>
  </si>
  <si>
    <t xml:space="preserve">STEEL STRUCTION </t>
  </si>
  <si>
    <t>FCIU9557276/CL472690/40'HQ
SEGU4863821/CL475084/40'HQ
FCIU5037701/CL475081/20'GP</t>
  </si>
  <si>
    <t>432 CTNS</t>
  </si>
  <si>
    <t>GMDU8185156-40’HC, GMDU8181166-40’HC</t>
  </si>
  <si>
    <t>VN-KH 20/01/20523</t>
  </si>
  <si>
    <t>169</t>
  </si>
  <si>
    <t>170</t>
  </si>
  <si>
    <t>171</t>
  </si>
  <si>
    <t>172</t>
  </si>
  <si>
    <t>173</t>
  </si>
  <si>
    <t>024A530053</t>
  </si>
  <si>
    <t>STEEL SQUARE TUBE, SCAFFOLDING FASTENER, PVC PIPE, STEEL PIPE</t>
  </si>
  <si>
    <t>DFSU7662867/WHLD900163/40'HQ</t>
  </si>
  <si>
    <t xml:space="preserve">220 CTNS </t>
  </si>
  <si>
    <t>024A530373</t>
  </si>
  <si>
    <t>LAMPS AND PLYWOOD</t>
  </si>
  <si>
    <t>TCNU7438015/WHLF651097/40'HC
WHSU5304131/WHLD913591/40'HC</t>
  </si>
  <si>
    <t>730CTNS</t>
  </si>
  <si>
    <t>OOLU2642773140</t>
  </si>
  <si>
    <t>ASPHALT ANTI-STRIPPING AGENT</t>
  </si>
  <si>
    <t>220 BARRELS</t>
  </si>
  <si>
    <t>OOLU3957631/OOLGBN9205/20'GP</t>
  </si>
  <si>
    <t>FOSHAN YILIN</t>
  </si>
  <si>
    <t>024A529718</t>
  </si>
  <si>
    <t>PLYWOOD, GYPSUM BOARD, SCAFFOLDING FASTENER, STEEL SQUARE TUBE</t>
  </si>
  <si>
    <t>WHSU5400095/WHLF653690/40'HQ</t>
  </si>
  <si>
    <t>390 P'KGS</t>
  </si>
  <si>
    <t>024A530415</t>
  </si>
  <si>
    <t>WHSU5502796/WHLF653688/40'HQ</t>
  </si>
  <si>
    <t>30Barrels &amp; 1250Bags</t>
  </si>
  <si>
    <t>- Applied TP: 02.07.20, TP Ref: 02180 (02.07.20)
- Entry DP request: 04.07.20
- Offset: 10.07.20</t>
  </si>
  <si>
    <t>- Applied TP: 02.07.20 TP Ref: 02192 (02.07.20)
- Entry DP request: 06.07.20
- Offset: 10.07.20</t>
  </si>
  <si>
    <t>- Applied TP: 03.07.20, TP Ref: 02220 (03.07.20)
- Entry DP request: 06.07.20
- Offset: 10.07.20</t>
  </si>
  <si>
    <t>- Applied TP: 03.07.20, TP Ref: 02219 (03.07.20)
- Entry DP request: 08.07.20
- Offset: 10.07.20</t>
  </si>
  <si>
    <t>- Applied TP: 03.07.20, TP Ref: 02218 (03.07.20)
- Entry DP request: 06.07.20
- Offset: 10.07.20</t>
  </si>
  <si>
    <t>- Applied TP: 03.07.20, TP Ref: 02217 (03.07.20)
- Entry DP request: 07.07.20
- Offset: 10.07.20</t>
  </si>
  <si>
    <t>- Applied TP: 10.07.20, TP Ref: 02325 (10.07.20)
- Entry DP request: 
- Off set: 13.07.20</t>
  </si>
  <si>
    <t>- Apply TP: 01.07.20, TP Ref: 009/20 (01.07.20)
- Completed transit clearance (IM8) T6 (02.07.20)
- Truck (OMP): 02.07.20, Arrived and Unloaded: 03.07.20
- Cutoms Clearance (IM4): I82 (10.07.20)
- Off set: 15.07.20</t>
  </si>
  <si>
    <t>174</t>
  </si>
  <si>
    <t>175</t>
  </si>
  <si>
    <t>176</t>
  </si>
  <si>
    <t>AFW0184559</t>
  </si>
  <si>
    <t>CMAU0793660/P0963089/20'DC</t>
  </si>
  <si>
    <t>700CTNS</t>
  </si>
  <si>
    <t>GYPSUM BOARD</t>
  </si>
  <si>
    <t>PONU3062721/ML-CN6301804/45'HQ</t>
  </si>
  <si>
    <t>250 P'KGS</t>
  </si>
  <si>
    <t>TDI INTERNATIONAL</t>
  </si>
  <si>
    <t>203690375</t>
  </si>
  <si>
    <t>YMLUI228342110</t>
  </si>
  <si>
    <t>BEAU2499196/YMAH000299/20'DC
CAIU6343210/YMAH000292/20'DC
TEMU0751917/YMAH000300/20'DC
BMOU1261443/YMAH000293/20'DC
YMMU1218571/YMAH000294/20'DC</t>
  </si>
  <si>
    <t xml:space="preserve">3510 CTNS </t>
  </si>
  <si>
    <t>- Applied TP: 13.07.20, TP Ref: 02346​​ (13.07.20)
- Entry DP request: 17.07.20
- Off set: 15.07.20</t>
  </si>
  <si>
    <t>- Applied TP: 13.07.20, TP Ref: 02347 (13.07.20)
- Entry DP request: 17.07.20
- Off set: 15.07.20</t>
  </si>
  <si>
    <t>- Applied TP: 13.07.20, TP Ref: 02344 (13.07.20)
- Entry DP request: 14.07.20
- Off set: 13.07.20</t>
  </si>
  <si>
    <t>- Applied TP: 13.07.20, TP Ref: 02343 (13.07.20)
- Entry DP request: 14.07.20
- Off set: 15.07.20</t>
  </si>
  <si>
    <t>- Applied TP: 08.07.20, TP Ref: 02287 (09.07.20)
- Entry DP request: 10.07.20
- Off set: 13.07.20</t>
  </si>
  <si>
    <t>- Apply TP: 25.06.20, TP Ref: 02094 (25.06.20)
- Entry DP request: 3583, 1267 (02.07.20); 0079, 6564 (03.07.20); 1931, 0068, 8126, 4808, 5535 (04.07.20);  
- Offset: 26.06.20</t>
  </si>
  <si>
    <t>- Applied TP: 17.07.20, TP Ref: 02422 (17.07.20) 
- Entry DP request: 20.07.20 
- Off set: 20.07.20</t>
  </si>
  <si>
    <t>- Applied TP: 10.07.20, TP Ref: 02324 (10.07.20)
- Entry DP request: 20.07.20
- Off set: 13.07.20</t>
  </si>
  <si>
    <t>- Applied TP: 17.07.20, TP Ref: 02420 (17.07.20) 
- Entry DP request: 20.07.20
- Off set: 20.07.20</t>
  </si>
  <si>
    <t>- Applied TP: 13.07.20, TP Ref: 02345 (13.07.20) 
- Entry DP request: 18.07.20
- Off set: 15.07.20</t>
  </si>
  <si>
    <t>- Applied TP: 17.07.20, TP Ref: 02421 (17.07.20) 
- Entry DP request: 21.07.20
- Off set: 20.07.20</t>
  </si>
  <si>
    <t>177</t>
  </si>
  <si>
    <t>178</t>
  </si>
  <si>
    <t>SITGQZHOBT1150</t>
  </si>
  <si>
    <t>SITU9090996/SITJ759195/40'HC</t>
  </si>
  <si>
    <t>650 BUNDLES</t>
  </si>
  <si>
    <t>COAU7224817100</t>
  </si>
  <si>
    <t>TCNU6564805/521408/40'HQ</t>
  </si>
  <si>
    <t>280 P'KGS</t>
  </si>
  <si>
    <t>179</t>
  </si>
  <si>
    <t>180</t>
  </si>
  <si>
    <t>181</t>
  </si>
  <si>
    <t>182</t>
  </si>
  <si>
    <t>183</t>
  </si>
  <si>
    <t>024A532186</t>
  </si>
  <si>
    <t>WHSU5502348/WHLF658396/40'HC
WHLU5832874/WHLF653443/40'HC</t>
  </si>
  <si>
    <t>920 BARRELLS</t>
  </si>
  <si>
    <t>024A532190</t>
  </si>
  <si>
    <t>STEEL CUTTING MACHINE, H STEEL, PLATE STEEL BLACK COATED, U STEEL</t>
  </si>
  <si>
    <t>WHLU5786418/WHLF648796/40'HC
WHLU5809278/WHLF647340/40'HC</t>
  </si>
  <si>
    <t>420 P'KGS</t>
  </si>
  <si>
    <t>024A533170</t>
  </si>
  <si>
    <t>PAPER ROLL</t>
  </si>
  <si>
    <t>WHSU5023448/WHLF649019/40'HC
TCLU1737921/WHLF660011/40'HC
WHSU5593780/WHLF651940/40'HC</t>
  </si>
  <si>
    <t>1,350 CTNS</t>
  </si>
  <si>
    <t>YMLUI228342898</t>
  </si>
  <si>
    <t>FCIU6626590/YMAH002308/20'DC
SEGU3095713/YMAH000298/20'DC
TCKU1251980/YMAH002305/20'DC
TEMU1164730/YMAH002303/20'DC
YMMU1020760/YMAH000297/20'DC
YMMU1156607/YMAH002304/20'DC</t>
  </si>
  <si>
    <t>3850 CTNS</t>
  </si>
  <si>
    <t>YMLUI228343095</t>
  </si>
  <si>
    <t>BEAU2625988/YMAH000407/20'DC
BMOU1256663/YMAH000406/20'DC</t>
  </si>
  <si>
    <t xml:space="preserve">1290 CTNS </t>
  </si>
  <si>
    <t>184</t>
  </si>
  <si>
    <t>185</t>
  </si>
  <si>
    <t>186</t>
  </si>
  <si>
    <t>SITGQZHOBT1149</t>
  </si>
  <si>
    <t xml:space="preserve">PLATE STEEL BLACK COATED </t>
  </si>
  <si>
    <t>UETU5661010/SITJ761679/40'HC</t>
  </si>
  <si>
    <t xml:space="preserve">07 ROLLS </t>
  </si>
  <si>
    <t>024A533907</t>
  </si>
  <si>
    <t>WHLU5569120/WHLF653793/40'HC
WHLU5725876/WHLF652439/40'HC</t>
  </si>
  <si>
    <t xml:space="preserve">920 CTNS &amp; 180 ROLLS </t>
  </si>
  <si>
    <t>024A533910</t>
  </si>
  <si>
    <t>FIBRE CEMENT BOARD</t>
  </si>
  <si>
    <t>WHSU5835673/WHLF660964/40'HC
WHLU5666515/WHLF652432/40'HC</t>
  </si>
  <si>
    <t>460 PKGS</t>
  </si>
  <si>
    <t>- Applied TP: 21.07.20, TP Ref: 02469 (22.07.20) 
- Entry DP request: 23.07.20
- Off set: 22.07.20</t>
  </si>
  <si>
    <t>- Applied TP: 21.07.20, TP Ref: 02468 (22.07.20) 
- Entry DP request: 24.07.20
- Off set: 22.07.20</t>
  </si>
  <si>
    <t>- Applied TP: 23.07.20, TP Ref: 02484 (23.07.20) 
- Entry DP request: 26.07.20
- Off set: 24.07.20</t>
  </si>
  <si>
    <t>- Applied TP: 23.07.20, TP Ref: 02487 (23.07.20) 
- Entry DP request: 26.07.20
- Off set: 24.07.20</t>
  </si>
  <si>
    <t>- Applied TP: 23.07.20, TP Ref: 02483 (23.07.20) 
- Entry DP request: 26.07.20
- Off set: 24.07.20</t>
  </si>
  <si>
    <t>- Applied TP: 24.07.20, TP Ref: 02510 (24.07.20) 
- Entry DP request: 27.07.20
- Off set: 27.07.20</t>
  </si>
  <si>
    <t>- Applied TP: 24.07.20, TP Ref: 02511 (24.07.20) 
- Entry DP request: 27.07.20
- Off set: 27.07.20</t>
  </si>
  <si>
    <t>- Applied TP: 23.07.20, TP Ref: 02486 (23.07.20) 
- Entry DP request: 27.07.20
- Off set: 24.07.20</t>
  </si>
  <si>
    <t>187</t>
  </si>
  <si>
    <t>188</t>
  </si>
  <si>
    <t>EGLV149003036633</t>
  </si>
  <si>
    <t xml:space="preserve">EPS SANDWICH PANEL (Cement) </t>
  </si>
  <si>
    <t>TGBU5107996/EMCGMG0370/40'HC</t>
  </si>
  <si>
    <t xml:space="preserve">741 P'KGS (1988PCS) </t>
  </si>
  <si>
    <t>024A533186</t>
  </si>
  <si>
    <t>WHSU5020541/WHLF653683/40'HC</t>
  </si>
  <si>
    <t>235 P'KGS</t>
  </si>
  <si>
    <t>189</t>
  </si>
  <si>
    <t>YMLUI235181009</t>
  </si>
  <si>
    <t>BOILER MACHINE, STEEL PIPE, PLATE STEEL BLACK COATED</t>
  </si>
  <si>
    <t>YMLU8722343/YMAH068844/40'HC</t>
  </si>
  <si>
    <t>41 PACKAGES</t>
  </si>
  <si>
    <t>190</t>
  </si>
  <si>
    <t>191</t>
  </si>
  <si>
    <t>NSASGNG20819</t>
  </si>
  <si>
    <t>PUTTY POWDER</t>
  </si>
  <si>
    <t>FFAU1169240/SITJ841068/40'HC
FBLU0209020/WHLC528423/40'HC</t>
  </si>
  <si>
    <t>2300 P'KGS</t>
  </si>
  <si>
    <t>024A534903</t>
  </si>
  <si>
    <t>WHSU5253651/WHLC527819/40'HC
TEMU6315567/WHLF668154/40'HC</t>
  </si>
  <si>
    <t xml:space="preserve">450 CTNS, 180 ROLLS &amp; 260 P'KGS </t>
  </si>
  <si>
    <t>- Applied TP: 28.07.20, TP Ref: 02551 (28.07.20) 
- Entry DP request: 28.07.20
- Off set: 30.07.20</t>
  </si>
  <si>
    <t>192</t>
  </si>
  <si>
    <t>193</t>
  </si>
  <si>
    <t>SHAWD061255</t>
  </si>
  <si>
    <t>CAIU9621628-40HC
IAAU1704272-40HC
IAAU1719170-40HC
TGBU7712980-40HC
TGHU6817715-40HC</t>
  </si>
  <si>
    <t>10 UNITS</t>
  </si>
  <si>
    <t>SHAWD061231</t>
  </si>
  <si>
    <t>IAAU1730076-40HC
IAAU1745060-40HC
IAAU1771964-40HC
IAAU1791425-40HC
TGBU7703700-40HC</t>
  </si>
  <si>
    <t>SAIC MOTOR INTERNATIONAL CO LTD</t>
  </si>
  <si>
    <t>N/A</t>
  </si>
  <si>
    <t>SIBW-SHOWROOM</t>
  </si>
  <si>
    <t>COAU7224740854</t>
  </si>
  <si>
    <t>MATTRESS SUPPORT</t>
  </si>
  <si>
    <t>CCLU7336278/CL491066/40'HQ
FSCU8583599/CL491067/40'HQ
SEGU4883920/CL491171/40'HQ
CSNU6900313/CL491174/40'HQ</t>
  </si>
  <si>
    <t xml:space="preserve">327 P'KGS </t>
  </si>
  <si>
    <t>COAU7225225074</t>
  </si>
  <si>
    <t>BMOU5842467/CL484355/40'HQ</t>
  </si>
  <si>
    <t>230 P'KGS</t>
  </si>
  <si>
    <t>- Applied TP: 28.07.20, TP Ref: 02550 (28.07.20) 
- Entry DP request: 31.07.20
- Off set: 30.07.20</t>
  </si>
  <si>
    <t>- Applied TP: 23.07.20, TP Ref: 02485 (23.07.20) 
- Entry DP request: 31.07.20
- Off set: 24.07.20</t>
  </si>
  <si>
    <t>- Applied TP: 28.07.20, TP Ref: 02557 (29.07.20) 
- Entry DP request: 31.07.20
- Off set: 30.07.20</t>
  </si>
  <si>
    <t>- Applied TP: 30.07.20, TP Ref: 02590 (31.07.20) 
- Entry DP request: 04.08.20
- Off set: 31.07.20</t>
  </si>
  <si>
    <t>196</t>
  </si>
  <si>
    <t>YMLUI228342899</t>
  </si>
  <si>
    <t>MATTRESS</t>
  </si>
  <si>
    <t xml:space="preserve">YMLU8722641/YMAF796699/40'HC </t>
  </si>
  <si>
    <t xml:space="preserve">130 P'KGS </t>
  </si>
  <si>
    <t>1961</t>
  </si>
  <si>
    <t>SSLHCM2005430</t>
  </si>
  <si>
    <t>SHOVEL WITH WOOD HANDLE</t>
  </si>
  <si>
    <t xml:space="preserve">BMOU6305950/YMAF796693/40'HC </t>
  </si>
  <si>
    <t xml:space="preserve">470 P'KGS </t>
  </si>
  <si>
    <t>210C1007V2</t>
  </si>
  <si>
    <t>210C1008V2</t>
  </si>
  <si>
    <t>197</t>
  </si>
  <si>
    <t xml:space="preserve"> 204217498</t>
  </si>
  <si>
    <t>MSKU9295356/ML-CN5294990/40'HC</t>
  </si>
  <si>
    <t xml:space="preserve">350 P'KGS (2100PCS) </t>
  </si>
  <si>
    <t>198</t>
  </si>
  <si>
    <t>COAU7225068300</t>
  </si>
  <si>
    <t>CSNU6496881/U370835/40'HQ</t>
  </si>
  <si>
    <t>1981</t>
  </si>
  <si>
    <t>COAU7225042510</t>
  </si>
  <si>
    <t>CSNU7165018/CL494464/40'HQ</t>
  </si>
  <si>
    <t>1982</t>
  </si>
  <si>
    <t>COAU7225265202</t>
  </si>
  <si>
    <t>CERAMIC ROOF TILES</t>
  </si>
  <si>
    <t>FCIU7205527/CJ650579/40'HQ
MAGU5223742/CL486850/40'HQ</t>
  </si>
  <si>
    <t>2400 P'KGS</t>
  </si>
  <si>
    <t>1983</t>
  </si>
  <si>
    <t>COAU7225265204</t>
  </si>
  <si>
    <t xml:space="preserve">CBHU9136577/CL494460/40'HC
TGBU7703119/CL494415/40'HC </t>
  </si>
  <si>
    <t>546 P'KGS</t>
  </si>
  <si>
    <t>199</t>
  </si>
  <si>
    <t>200</t>
  </si>
  <si>
    <t>201</t>
  </si>
  <si>
    <t>024A536829</t>
  </si>
  <si>
    <t>TCNU6036705/WHLF668054/40'HC
WHSU5119811/WHLC554513/40'HC
TGBU7038364/SITJ842422/40'HC</t>
  </si>
  <si>
    <t xml:space="preserve">533 P'KGS, 150 ROLLS &amp; 220 CTNS </t>
  </si>
  <si>
    <t>024A537269</t>
  </si>
  <si>
    <t>WHLU5608397/WHLF665394/40'HC
DFSU7515779/WHLF657042/40'HC</t>
  </si>
  <si>
    <t>900 BARRELS</t>
  </si>
  <si>
    <t>024A536822</t>
  </si>
  <si>
    <t>FIBRE CEMENT BOAR</t>
  </si>
  <si>
    <t>460 CTNS</t>
  </si>
  <si>
    <t>WHLU5647665/WHLF657093/40'HC
TCLU6497192/WHL665211/40'HC</t>
  </si>
  <si>
    <t>202</t>
  </si>
  <si>
    <t>2021</t>
  </si>
  <si>
    <t>2022</t>
  </si>
  <si>
    <t>COAU7225338971</t>
  </si>
  <si>
    <t xml:space="preserve">PLYWOOD </t>
  </si>
  <si>
    <t>FWRU0062971/13083809/40'HQ</t>
  </si>
  <si>
    <t>65 PALLETS</t>
  </si>
  <si>
    <t>COAU7225338970</t>
  </si>
  <si>
    <t>FWRU0063134/12418734/40'HQ</t>
  </si>
  <si>
    <t>SSLHCM2005473</t>
  </si>
  <si>
    <t>DRYU9126271/S474974/40'HC</t>
  </si>
  <si>
    <t>340 P'KGS (2040PCS)</t>
  </si>
  <si>
    <t>COAU7225352912</t>
  </si>
  <si>
    <t>TCNU1663600/CL494290/40'HC
OOCU7935526/CL486999/40'HC</t>
  </si>
  <si>
    <t>470 CTNS</t>
  </si>
  <si>
    <t>204</t>
  </si>
  <si>
    <t>205</t>
  </si>
  <si>
    <t>206</t>
  </si>
  <si>
    <t xml:space="preserve">COAU7225352916 </t>
  </si>
  <si>
    <t>CSNU6740257/CL491013 /40'HC</t>
  </si>
  <si>
    <t>472 BARRELS</t>
  </si>
  <si>
    <t>COAU7225352923</t>
  </si>
  <si>
    <t>FCIU7033500/CL494289/40'HC
MAGU5648942/CL476634/40'HC</t>
  </si>
  <si>
    <t>38 P'KGS, 520 CTNS &amp; 132 ROLLS</t>
  </si>
  <si>
    <t>207</t>
  </si>
  <si>
    <t>GMSUIST20948445</t>
  </si>
  <si>
    <t>ISTANBUL AMBARLI</t>
  </si>
  <si>
    <t>ZIMU1426767/ZZCA119380917/DV20</t>
  </si>
  <si>
    <t>1 CAR</t>
  </si>
  <si>
    <t>MPI</t>
  </si>
  <si>
    <t>LUXUS LS 500 3.5 LT PETROL AUTOMATIC
CHASSIS NO: JTHB5LGF205008074
ENGINE NO: V35 0029040
MODEL YEAR: 2021, COLOR: SONIC WHITE</t>
  </si>
  <si>
    <t>- Applied TP: 24.07.20, TP Ref: 02512 (24.07.20) 
- Entry DP request: 07.08.20
- Off set: 27.07.20</t>
  </si>
  <si>
    <t>- Applied TP: 30.07.20, TP Ref: 02591 (31.07.20) 
- Entry DP request: 03.08.20
- Off set: 31.07.20</t>
  </si>
  <si>
    <t>- Applied TP: 03.08.20, TP Ref: 02626  (03.08.20) 
- Entry DP request: 05.08.20
- Off set: 04.08.20</t>
  </si>
  <si>
    <t>- Applied TP: 03.08.20, TP Ref: 02627  (03.08.20) 
- Entry DP request: 06.08.20
- Off set: 04.08.20</t>
  </si>
  <si>
    <t>203</t>
  </si>
  <si>
    <t>- Applied TP: 06.08.20, TP Ref: 02679 (06.08.20) 
- Entry DP request:
- Off set: 13.08.20</t>
  </si>
  <si>
    <t>- Applied TP: 06.08.20, TP Ref: 02694 (07.08.20) 
- Entry DP request:
- Off set: 13.08.20</t>
  </si>
  <si>
    <t>- Applied TP: 06.08.20, TP Ref: 02695 (06.08.20) 
- Entry DP request:
- Off set: 13.08.20</t>
  </si>
  <si>
    <t>- Applied TP: 11.08.20, TP Ref: 02741 (11.08.20) 
- Entry DP request:
- Off set: 13.08.20</t>
  </si>
  <si>
    <t>- Applied TP: 12.08.20, TP Ref: 02763 (12.08.20) 
- Entry DP request:
- Off set: 13.08.20</t>
  </si>
  <si>
    <t>- Applied TP: 12.08.20, TP Ref: 02765 (12.08.20) 
- Entry DP request:
- Off set: 13.08.20</t>
  </si>
  <si>
    <t>- Applied TP: 12.08.20, TP Ref: 02764 (12.08.20) 
- Entry DP request:
- Off set: 13.08.20</t>
  </si>
  <si>
    <t>208</t>
  </si>
  <si>
    <t>209</t>
  </si>
  <si>
    <t>210</t>
  </si>
  <si>
    <t>COAU7225034389</t>
  </si>
  <si>
    <t>CBHU8952088/CK880056/40'HQ</t>
  </si>
  <si>
    <t>COAU7225222630</t>
  </si>
  <si>
    <t>CCLU6910123/U370838/40'HQ</t>
  </si>
  <si>
    <t>CMZ0419523</t>
  </si>
  <si>
    <t xml:space="preserve">MIXED CARGO </t>
  </si>
  <si>
    <t xml:space="preserve">TCNU5267314/P3364469/40'HC </t>
  </si>
  <si>
    <t xml:space="preserve">320P'KGS, 40CTNS, 80ROLLS  </t>
  </si>
  <si>
    <t>2101</t>
  </si>
  <si>
    <t>CMZ0419524</t>
  </si>
  <si>
    <t>CMAU5320552/P3362699/40'HC</t>
  </si>
  <si>
    <t>SITSGSVG202988</t>
  </si>
  <si>
    <t>NEW CAR AUDI</t>
  </si>
  <si>
    <t xml:space="preserve">UETU5772225-40' 
TLLU3134340-20' 
TCKU7116061-40' </t>
  </si>
  <si>
    <t>AUTOMOTIVE</t>
  </si>
  <si>
    <t>SIBW-SHOWROOM (03 UNITS)</t>
  </si>
  <si>
    <t>211</t>
  </si>
  <si>
    <t>GMD20HPHPNH0081</t>
  </si>
  <si>
    <t>PHUOC LONG 6 V.106W</t>
  </si>
  <si>
    <t xml:space="preserve">GMDU8180684-40', GMDU8187858-40' </t>
  </si>
  <si>
    <t>20200804/VP-BJC-KH</t>
  </si>
  <si>
    <t>212</t>
  </si>
  <si>
    <t>213</t>
  </si>
  <si>
    <t>COSU6261112727</t>
  </si>
  <si>
    <t>CHANA BHUM V.757S</t>
  </si>
  <si>
    <t>FSCU9345888 /1229490
01X40'STC</t>
  </si>
  <si>
    <t>ATI CONSULTING AND TRADE</t>
  </si>
  <si>
    <t>COSU6261112728</t>
  </si>
  <si>
    <t>TOYOTA ALPHARD 3.5L-2 UNITS
ENGINE POWER: 3500 CC
JTNGZ3DH608057788, COLOR BLACK
JTNGZ3DH808057792, COLOR BLACK</t>
  </si>
  <si>
    <t>CSNU7547983 /1229440
01X40'STC</t>
  </si>
  <si>
    <t>TOYOTA ALPHARD 3.5L​​-2 UNITS​ 
ENGINE POWER: 3500 CC
JTNGZ3DH008057818, COLOR BLACK
JTNGZ3DH308057828, COLOR BLACK</t>
  </si>
  <si>
    <t>- Applied TP: 14.08.20, TP Ref: 02802 (14.08.20) 
- Entry DP request:
- Off set: 24.08.20</t>
  </si>
  <si>
    <t>- Applied TP: 14.08.20, TP Ref: 02800 (14.08.20) 
- Entry DP request:
- Off set: 24.08.20</t>
  </si>
  <si>
    <t>- Applied TP: 14.08.20, TP Ref: 02801 (14.08.20) 
- Entry DP request:
- Off set: 24.08.20</t>
  </si>
  <si>
    <t>- Applied TP: 14.08.20, TP Ref: 02816 (14.08.20) 
- Entry DP request: 18.08.20
- Off set: 24.08.20</t>
  </si>
  <si>
    <t>- Applied TP: 10.08.20, TP Ref: 02724 (10.08.20) 
- Entry DP request: 15.08.20
- Off set: 13.08.20</t>
  </si>
  <si>
    <t>- Applied TP: 10.08.20, TP Ref: 02725 (10.08.20) 
- Entry DP request: 15.08.20
- Off set: 13.08.20</t>
  </si>
  <si>
    <t>- Applied TP: 10.08.20, TP Ref: 02726 (10.08.20) 
- Entry DP request: 14.08.20
- Off set: 13.08.20</t>
  </si>
  <si>
    <t>214</t>
  </si>
  <si>
    <t>COAU7225391960</t>
  </si>
  <si>
    <t>TLLU2052000/CE722262/20'GP</t>
  </si>
  <si>
    <t xml:space="preserve">670 CTNS </t>
  </si>
  <si>
    <t>2141</t>
  </si>
  <si>
    <t>YMLUI232180227</t>
  </si>
  <si>
    <t xml:space="preserve">TGBU5955030/YMAH094197/40'HQ </t>
  </si>
  <si>
    <t>240 P'KGS</t>
  </si>
  <si>
    <t>2142</t>
  </si>
  <si>
    <t>MRKU4736971/ML-CN6257540/40'HC</t>
  </si>
  <si>
    <t xml:space="preserve">350 P'KGS  (2100PCS) </t>
  </si>
  <si>
    <t>215</t>
  </si>
  <si>
    <t xml:space="preserve">WALL PUTTY POWDER </t>
  </si>
  <si>
    <t xml:space="preserve">WHSU5414519/WHLF665349/40'HC </t>
  </si>
  <si>
    <t>1050 BAGS</t>
  </si>
  <si>
    <t>024A538351</t>
  </si>
  <si>
    <t>204391312</t>
  </si>
  <si>
    <t>2151</t>
  </si>
  <si>
    <t>204550131</t>
  </si>
  <si>
    <t>MSKU1491080/ML-CN5243383/40'HC</t>
  </si>
  <si>
    <t>2152</t>
  </si>
  <si>
    <t>024A538358</t>
  </si>
  <si>
    <t>WHLU5779532/WHLF657065/40'HC</t>
  </si>
  <si>
    <t xml:space="preserve">19 P'KGS, 120 ROLLS  &amp; 120 CTNS </t>
  </si>
  <si>
    <t>2153</t>
  </si>
  <si>
    <t>1200 P'KGS</t>
  </si>
  <si>
    <t>024A538392</t>
  </si>
  <si>
    <t>WHLU5537903/WHLF658383/40'HC
TCKU7291763/WHLF651496/40'HC</t>
  </si>
  <si>
    <t>37 P'KGS,130 ROLLS &amp; 260 CTNS</t>
  </si>
  <si>
    <t>216</t>
  </si>
  <si>
    <t>COAU7225222631</t>
  </si>
  <si>
    <t>OOCU7851030/U370837/40'HQ</t>
  </si>
  <si>
    <t>2161</t>
  </si>
  <si>
    <t>217</t>
  </si>
  <si>
    <t>COAU7225132841</t>
  </si>
  <si>
    <t>FWRU0062544/CL495543/40'HQ</t>
  </si>
  <si>
    <t>COAU7225391961</t>
  </si>
  <si>
    <t>BEAU5400286/MMA023647/40'HC</t>
  </si>
  <si>
    <t xml:space="preserve">260P'KGS, 80CTNS, 80ROLLS  </t>
  </si>
  <si>
    <t xml:space="preserve">09 ROLLS </t>
  </si>
  <si>
    <t>PLATE STEEL BLACK COATED</t>
  </si>
  <si>
    <t>218</t>
  </si>
  <si>
    <t>CMZ0421714A</t>
  </si>
  <si>
    <t xml:space="preserve">CAIU9128798/P3361118/40'HC 
GLDU7452493/P6080904/40'HC </t>
  </si>
  <si>
    <t xml:space="preserve">450P'KGS, 120CTNS, 160ROLLS </t>
  </si>
  <si>
    <t>2181</t>
  </si>
  <si>
    <t>CMZ0421714B</t>
  </si>
  <si>
    <t xml:space="preserve">TCLU5171914/P5872518/40'HC
CMAU4934670/P3361140/40'HC </t>
  </si>
  <si>
    <t>460 P'KGS</t>
  </si>
  <si>
    <t>2182</t>
  </si>
  <si>
    <t>CMZ0421714C</t>
  </si>
  <si>
    <t xml:space="preserve">GESU6181169/P2773841/40'HC 
GESU5964093/P2773980/40'HC </t>
  </si>
  <si>
    <t xml:space="preserve">14 ROLLS </t>
  </si>
  <si>
    <t>2183</t>
  </si>
  <si>
    <t>799010336734</t>
  </si>
  <si>
    <t>TEMU7849700/TSH1045123/40'HQ</t>
  </si>
  <si>
    <t>219</t>
  </si>
  <si>
    <t>024A540151</t>
  </si>
  <si>
    <t>WHSU5685589/WHLF667919/40'HC</t>
  </si>
  <si>
    <t>2191</t>
  </si>
  <si>
    <t>024A539685</t>
  </si>
  <si>
    <t>WHSU5621244/WHLF658307/40'HC
WHLU5689193/WHLF658384/40'HC</t>
  </si>
  <si>
    <t>2192</t>
  </si>
  <si>
    <t>NSASGNG22451</t>
  </si>
  <si>
    <t>TEMU7906482/SITJ841827/40'HC
TCLU1574315/SITJ841881/40'HC</t>
  </si>
  <si>
    <t>944 BARRELS</t>
  </si>
  <si>
    <t>220</t>
  </si>
  <si>
    <t>THANA BHUM V.284S</t>
  </si>
  <si>
    <t>COSU6267351022</t>
  </si>
  <si>
    <t>CBHU8611271 /1104097/40HQ</t>
  </si>
  <si>
    <t>221</t>
  </si>
  <si>
    <t>COSU6267351026</t>
  </si>
  <si>
    <t>CSNU6418960/1104098/40HQ</t>
  </si>
  <si>
    <t>222</t>
  </si>
  <si>
    <t>COSU6267351029</t>
  </si>
  <si>
    <t>OOCU7844067/1104036/40HQ</t>
  </si>
  <si>
    <t>USED 2016 MERCEDEZ-BENZ S400 4 MATIC 1UNIT
VIN WDD2229671A227656, COLOR BLACK, WEIGHT 2185 KGS
LEXUS RX200T 1 UNIT, YEAR: 2016
VIN JTJBAMCA602006629, COLOR WHITE, WEIGHT 2070 KGS</t>
  </si>
  <si>
    <t>TOYOTA ALPHARD 3.5L-2 UNITS, MODEL YEAR: 2021, ENGINE POWER: 3500 CC
JTNGZ3DHX08057874, COLOR BLACK
JTNGZ3DH308057876, COLOR BLACK
WEIGHT: 2185 KGS/UNIT</t>
  </si>
  <si>
    <t>TOYOTA ALPHARD 3.5L-2 UNITS, MODEL YEAR: 2021, ENGINE POWER: 3500 CC
JTNGZ3DH408057837, COLOR BLACK
JTNGZ3DH208057870, COLOR BLACK
WEIGHT: 2185 KGS/UNIT</t>
  </si>
  <si>
    <t>223</t>
  </si>
  <si>
    <t>COAU7225721551</t>
  </si>
  <si>
    <t>CSNU6944219/CL471678/40'HC
CBHU8607902/CL494444/40'HC</t>
  </si>
  <si>
    <t>480 CTNS</t>
  </si>
  <si>
    <t>2231</t>
  </si>
  <si>
    <t>COAU7225721552</t>
  </si>
  <si>
    <t>CSNU7204243/CL471706/40'HC</t>
  </si>
  <si>
    <t>160 P'KGS</t>
  </si>
  <si>
    <t>2232</t>
  </si>
  <si>
    <t>COAU7225707820</t>
  </si>
  <si>
    <t>DFSU7451714/CK886173/40'HC</t>
  </si>
  <si>
    <t>1220 P'KGS</t>
  </si>
  <si>
    <t>224</t>
  </si>
  <si>
    <t>ACLFE20080193</t>
  </si>
  <si>
    <t>CAAU5221430/EMCKAU1540/40'HC</t>
  </si>
  <si>
    <t>2241</t>
  </si>
  <si>
    <t>COAU7225387210</t>
  </si>
  <si>
    <t>CCLU6985605/T334715/40'HQ</t>
  </si>
  <si>
    <t>GUANGDONG</t>
  </si>
  <si>
    <t>2242</t>
  </si>
  <si>
    <t>EGLV157000131288</t>
  </si>
  <si>
    <t>EITU1142791/EMCGME4830/40'HC</t>
  </si>
  <si>
    <t>225</t>
  </si>
  <si>
    <t>024A542423</t>
  </si>
  <si>
    <t>WHLU5525796/WHF649090/40'HC</t>
  </si>
  <si>
    <t>476 BARRELS</t>
  </si>
  <si>
    <t>2251</t>
  </si>
  <si>
    <t>024A541918</t>
  </si>
  <si>
    <t xml:space="preserve">WHSU5603765/WHLF667815/40'HC </t>
  </si>
  <si>
    <t>2252</t>
  </si>
  <si>
    <t>024A541926</t>
  </si>
  <si>
    <t>TCLU6622376/WHLL141362/40'HC
WHLU5719214/WHLF667896/40'HC</t>
  </si>
  <si>
    <t>343 P'KGS</t>
  </si>
  <si>
    <t>2253</t>
  </si>
  <si>
    <t>COAU7225046020</t>
  </si>
  <si>
    <t>MAGU5590265/CL484203/40'HC</t>
  </si>
  <si>
    <t>245 P'KGS</t>
  </si>
  <si>
    <t>226</t>
  </si>
  <si>
    <t>KMTCNBO945340</t>
  </si>
  <si>
    <t xml:space="preserve">SEGU6588483/CC735195/40'HC </t>
  </si>
  <si>
    <t>2261</t>
  </si>
  <si>
    <t>204692400</t>
  </si>
  <si>
    <t>CAAU5400668/ML-CN6343651/40'HC</t>
  </si>
  <si>
    <t>2262</t>
  </si>
  <si>
    <t>CMZ0424078</t>
  </si>
  <si>
    <t xml:space="preserve">GESU5767725/P5016499/40'HC </t>
  </si>
  <si>
    <t xml:space="preserve">280P'KGS, 60CTNS, 80ROLLS  </t>
  </si>
  <si>
    <t>- Applied TP: 24.08.20, TP Ref: 02830 (24.08.20) 
- Entry DP request:
- Off set: 25.08.20</t>
  </si>
  <si>
    <t>- Applied TP: 24.08.20, TP Ref: 02831 (24.08.20) 
- Entry DP request:
- Off set: 25.08.20</t>
  </si>
  <si>
    <t>- Applied TP: 26.08.20, TP Ref: 02884 (26.08.20) 
- Entry DP request:
- Off set: 27.08.20</t>
  </si>
  <si>
    <t>- Applied TP: 26.08.20, TP Ref: 02883 (26.08.20) 
- Entry DP request:
- Off set: 27.08.20</t>
  </si>
  <si>
    <t>- Applied TP: 26.08.20, TP Ref: 02885 (26.08.20) 
- Entry DP request:
- Off set: 27.08.20</t>
  </si>
  <si>
    <t>- Applied TP: 26.08.20, TP Ref: 02886 (26.08.20) 
- Entry DP request:
- Off set: 27.08.20</t>
  </si>
  <si>
    <t>- Applied TP: 27.08.20, TP Ref: 02924 (28.08.20) 
- Entry DP request:
- Off set: 31.08.20</t>
  </si>
  <si>
    <t>- Applied TP: 28.08.20, TP Ref: 02910 (28.08.20) 
- Entry DP request:
- Off set: 31.08.20</t>
  </si>
  <si>
    <t>- Applied TP: 28.08.20, TP Ref: 02931 (28.08.20) 
- Entry DP request:
- Off set: 31.08.20</t>
  </si>
  <si>
    <t>- Applied TP: 28.08.20, TP Ref: 02930 (28.08.20) 
- Entry DP request:
- Off set: 31.08.20</t>
  </si>
  <si>
    <t>- Applied TP: 27.08.20, TP Ref: 02907 (28.08.20) 
- Entry DP request:
- Off set: 25.08.20</t>
  </si>
  <si>
    <t>- Applied TP: 27.08.20, TP Ref: 02908 (28.08.20) 
- Entry DP request:
- Off set: 25.08.20</t>
  </si>
  <si>
    <t>- Applied TP: 27.08.20, TP Ref: 02909 (28.08.20) 
- Entry DP request:
- Off set: 25.08.20</t>
  </si>
  <si>
    <t>- Apply TP from SI BW to Showroom (3Cars)
- Arrive SIBW 14.08.20
- Cleared customs stock in (IM7) I 119 (14.08.20)
- Apply TP from SI BW to Showroom (2 Cars)
- Pending customs duty clearance (IM4)</t>
  </si>
  <si>
    <t xml:space="preserve"> Apply TP from SIBW to Showroom (30.06.20)
- Arrive SIBW 30.06.20
- Cleared customs stock in (IM7) I 73 (30.06.20)
- Pending customs duty clearance (IM4)</t>
  </si>
  <si>
    <t>227</t>
  </si>
  <si>
    <t>OMPLCHKHOMP094-20</t>
  </si>
  <si>
    <t>NP SAMUTSAKHON V.2031S</t>
  </si>
  <si>
    <t>019/2020</t>
  </si>
  <si>
    <t>PLASTIC WRAPPER</t>
  </si>
  <si>
    <t>CLHU3314183-20'</t>
  </si>
  <si>
    <t>6 PALLETS</t>
  </si>
  <si>
    <t>228</t>
  </si>
  <si>
    <t>024A541813</t>
  </si>
  <si>
    <t>FCIU9409371/WHLF658726/40'HC
PONU3066115/ML-CN4682284/45'HC</t>
  </si>
  <si>
    <t>18 ROLLS</t>
  </si>
  <si>
    <t>229</t>
  </si>
  <si>
    <t>031A532896</t>
  </si>
  <si>
    <t>WHSU5757689/WHLK841849/40'HC</t>
  </si>
  <si>
    <t>1020 CTNS</t>
  </si>
  <si>
    <t>2291</t>
  </si>
  <si>
    <t>YMLUI235181978</t>
  </si>
  <si>
    <t>TCNU4185253/YMAG698522/40'HQ</t>
  </si>
  <si>
    <t>320P'KGS &amp; 160ROLLS</t>
  </si>
  <si>
    <t>2292</t>
  </si>
  <si>
    <t>031A532895</t>
  </si>
  <si>
    <t>WHSU5761354/WHLK841847/40'HC
DRYU9963025/WHLK841975/40'HC</t>
  </si>
  <si>
    <t>230</t>
  </si>
  <si>
    <t>COAU7225897704</t>
  </si>
  <si>
    <t>CBHU8138003/CM100202/40'HC</t>
  </si>
  <si>
    <t>242 P'KGS</t>
  </si>
  <si>
    <t>2301</t>
  </si>
  <si>
    <t>COAU7225830818</t>
  </si>
  <si>
    <t>TGHU6522972/CK32782/40'HC</t>
  </si>
  <si>
    <t>54 P'KGS, 100 ROLLS &amp; 160 CTNS</t>
  </si>
  <si>
    <t>- Applied TP: 31.08.20, TP Ref: 02951 (31.08.20) 
- Entry DP request:
- Off set: 31.08.20</t>
  </si>
  <si>
    <t>- Applied TP: 31.08.20, TP Ref: 02950 (31.08.20) 
- Entry DP request:
- Off set: 31.08.20</t>
  </si>
  <si>
    <t>- Applied TP: 11.07.20, TP Ref: 011/20 (11.07.20)
- Truck (PPAP) Arrival BJC: 11.07.20
- Duty Clearance I136 (28.08.20)
- Offset: 31.08.20</t>
  </si>
  <si>
    <t>- Applied TP: 08.07.20, TP Ref: 010/20 (08.07.20)
- Transit Declaration: T7 (09.07.20)
- Truck (OMP): Pick up: 09.07.20 and arrived BJC: 10.07.20
- Duty clearance I137 (28.08.20)
- Offset 31.08.20</t>
  </si>
  <si>
    <t>- IM8: T807 (07.08.20)
- Truck by: Mr. Boramey
- IM7:I117 (10.08.20)
- Pengding CV, Certify Form E and IM4 await for clietnt confirm
- First stage offset: 31.08.20</t>
  </si>
  <si>
    <t>231</t>
  </si>
  <si>
    <t>MRKU3281034/ML-CN5877036/40'HC</t>
  </si>
  <si>
    <t>1300 P'KGS</t>
  </si>
  <si>
    <t>2311</t>
  </si>
  <si>
    <t>024A543626</t>
  </si>
  <si>
    <t xml:space="preserve">WHSU5870545/WHLF651461/40'HC </t>
  </si>
  <si>
    <t xml:space="preserve">9 ROLLS </t>
  </si>
  <si>
    <t>024A540897</t>
  </si>
  <si>
    <t>2312</t>
  </si>
  <si>
    <t>WHSU5009938/WHLF664506/40'HC</t>
  </si>
  <si>
    <t>475 BARRELS</t>
  </si>
  <si>
    <t>2313</t>
  </si>
  <si>
    <t>024A543660</t>
  </si>
  <si>
    <t>DFSU7756396/WHLF136317/40'HC
WHSU5551240/WHLF664502/40'HC</t>
  </si>
  <si>
    <t>222 P'KGS &amp; 120 SHEETS</t>
  </si>
  <si>
    <t>232</t>
  </si>
  <si>
    <t>OOLU2645753500</t>
  </si>
  <si>
    <t>TRLU8051655/OOLFZX4399/40'HQ</t>
  </si>
  <si>
    <t>380 P'KGS</t>
  </si>
  <si>
    <t>2321</t>
  </si>
  <si>
    <t>XMRS200807002</t>
  </si>
  <si>
    <t>CBHU8825519/U370836/40'HQ
SEGU5236467/YMAH488238/40'HQ</t>
  </si>
  <si>
    <t xml:space="preserve">18 ROLLS </t>
  </si>
  <si>
    <t>- Applied TP: 03.09.20, TP Ref: 02995 (03.09.20) 
- Entry DP request:
- Off set: 07.09.20</t>
  </si>
  <si>
    <t>- Applied TP: 03.09.20, TP Ref: 02993 (03.09.20) 
- Entry DP request:
- Off set: 07.09.20</t>
  </si>
  <si>
    <t>- Applied TP: 03.09.20, TP Ref: 02994 (03.09.20) 
- Entry DP request:
- Off set: 07.09.20</t>
  </si>
  <si>
    <t>- Applied TP: 04.09.20, TP Ref: 03007 (04.09.20) 
- Entry DP request:
- Off set: 07.09.20</t>
  </si>
  <si>
    <t>VN-KH 20/01/24898</t>
  </si>
  <si>
    <t>- Applied TP: 01.09.20, TP Ref: 013/20 (01.09.20)
- Transit Declaration: T8 (03.09.20)
- Truck (OMP): Pick up: 03.09.20 and arrived BJC: 04.09.20
- Pending Customs Clearance (IM4) and plan to do it in W2 of Sep/2020</t>
  </si>
  <si>
    <t>- Applied TP: 24.08.20, TP Ref: 012/20 (24.07.20)
- Transit Declaration: T833 (25.08.20)
- Truck (PPAP): Pick up: 26.08.20 and arrived BJC: 26.08.20
- Pending Customs Clearance (IM4) and plan to do it in W2 of Sep/2020</t>
  </si>
  <si>
    <t>NEW CAR MAXUS</t>
  </si>
  <si>
    <t>233</t>
  </si>
  <si>
    <t>CMZ0425475</t>
  </si>
  <si>
    <t>TCLU5144800/P6918262/40'HC
TLLU8111769/P6914634/40'HC</t>
  </si>
  <si>
    <t xml:space="preserve">380P'KGS, 120CTNS, 160ROLLS  </t>
  </si>
  <si>
    <t>234</t>
  </si>
  <si>
    <t>024A545131</t>
  </si>
  <si>
    <t>WHSU5506220/WHLL134642/40'HC</t>
  </si>
  <si>
    <t>65 CTNS, 2 SET  &amp; 45 PKGS</t>
  </si>
  <si>
    <t>235</t>
  </si>
  <si>
    <t>COSU6267351028</t>
  </si>
  <si>
    <t>CSNU7593063 /1104038/40HQ</t>
  </si>
  <si>
    <t>USED 2016 MERCEDES-BENZ S400 4 MATIC 1 UNIT
VIN WDD2229671A228102, COLOR BLACK, WEIGHT 2185 KGS
LEXUS RX200T - 1 UNIT YEAR: 2016
VIN JTJBAMCA702007403, COLOR WHITE, WEIGHT 2070 KGS</t>
  </si>
  <si>
    <t>- Applied TP: 09.09.20, TP Ref: 03058 (10.09.20) 
- Entry DP request:
- Off set: 10.09.20</t>
  </si>
  <si>
    <t>- Applied TP: 09.09.20, TP Ref: 03059 (10.09.20) 
- Entry DP request:
- Off set: 10.09.20</t>
  </si>
  <si>
    <t>- Applied TP: 07.09.20, TP Ref: 03031 (07.09.20) 
- Entry DP request:
- Off set: 10.09.20</t>
  </si>
  <si>
    <t xml:space="preserve">INSPECT 3 TIME 10.04.20 (CUSTOMS OT: TRUCK ARRIVE SISEZ 19H, 13.04.20, 15.04.20)
IM4 (I171: 04.09.20) 10 UNITS
IM4 (I182: 08.09.20) 5 UNITS </t>
  </si>
  <si>
    <t>- IM8: T808 (07.08.20)
- Truck by: Mr. Boramey
- IM7:I118 (10.08.20)
- Pengding CV, Certify Form E and IM4 await for clietnt confirm
- First stage offset: 31.08.20
- Apply TP for 2 Cars (from Showroom to Makro for exhibition) 31.08.20</t>
  </si>
  <si>
    <t>CMZ0428667</t>
  </si>
  <si>
    <t>TCLU6544165/P6912549/40'HC
APHU6584037/O1114230/40'HC</t>
  </si>
  <si>
    <t>650 P'KGS</t>
  </si>
  <si>
    <t>236</t>
  </si>
  <si>
    <t>237</t>
  </si>
  <si>
    <t>COAU7225798030</t>
  </si>
  <si>
    <t>TCNU5844885/V435897/40'HQ</t>
  </si>
  <si>
    <t>09 ROLLS</t>
  </si>
  <si>
    <t>238</t>
  </si>
  <si>
    <t>024A545362</t>
  </si>
  <si>
    <t>WHSU5458121/WHLF674254/40'HC 
BEAU4806795/WHLF670817/40'HC</t>
  </si>
  <si>
    <t xml:space="preserve">975 CTNS &amp; 100 PKGS </t>
  </si>
  <si>
    <t>239</t>
  </si>
  <si>
    <t>024A542779</t>
  </si>
  <si>
    <t>TCNU6793735/WHLF670962/40'HC</t>
  </si>
  <si>
    <t>1420 P'KGS</t>
  </si>
  <si>
    <t>240</t>
  </si>
  <si>
    <t>YMLUI232181183</t>
  </si>
  <si>
    <t xml:space="preserve">YMLU8876272/YMAH488226/40'HQ </t>
  </si>
  <si>
    <t>80 ROLLS,  290 P'KGS</t>
  </si>
  <si>
    <t>YMLUI232181182</t>
  </si>
  <si>
    <t>YMLU8944274/YMAH488591/40'HQ</t>
  </si>
  <si>
    <t>2401</t>
  </si>
  <si>
    <t>241</t>
  </si>
  <si>
    <t>OMPLCHKHOMP101-20</t>
  </si>
  <si>
    <t>022/2020</t>
  </si>
  <si>
    <t>NP SAMUTSAKHON V.2033S</t>
  </si>
  <si>
    <t>OMPL5578405-40'</t>
  </si>
  <si>
    <t>242</t>
  </si>
  <si>
    <t>HLCUSYD200739458</t>
  </si>
  <si>
    <t>TCNU3765257/HLB1970286/40'HC
TCKU6456940/HLB5578198/40'HC</t>
  </si>
  <si>
    <t>655 P'KGS</t>
  </si>
  <si>
    <t>243</t>
  </si>
  <si>
    <t>HDMUINWB1981136</t>
  </si>
  <si>
    <t>HMMU6212239/1032821/40'HC
KOCU4131474/1032836/40'HC</t>
  </si>
  <si>
    <t>160 ROLLS, 420 P'KGS</t>
  </si>
  <si>
    <t>244</t>
  </si>
  <si>
    <t>CMZ0429217</t>
  </si>
  <si>
    <t>TCNU5119467/P6918060/40'HC
DRYU9926891/P6918093/40'HC</t>
  </si>
  <si>
    <t>950 BARRELS</t>
  </si>
  <si>
    <t>245</t>
  </si>
  <si>
    <t>025A615647</t>
  </si>
  <si>
    <t>246</t>
  </si>
  <si>
    <t>COAU7226068910</t>
  </si>
  <si>
    <t>MAGU5505387/CL477230/40'HQ</t>
  </si>
  <si>
    <t>290 P'KGS, 30CTNS, 40ROLLS</t>
  </si>
  <si>
    <t>247</t>
  </si>
  <si>
    <t>024A546003</t>
  </si>
  <si>
    <t>WHLU5840041/WHLL136223/40'HC
TGCU0158280/WHLL134773/40'HC</t>
  </si>
  <si>
    <t>260 CTNS, 100 ROLLS &amp; 247 P'KGS</t>
  </si>
  <si>
    <t>248</t>
  </si>
  <si>
    <t>COAU7225643680</t>
  </si>
  <si>
    <t>TGBU5971853/CD639602/40'HQ</t>
  </si>
  <si>
    <t>2481</t>
  </si>
  <si>
    <t>024A547641</t>
  </si>
  <si>
    <t>TCLU5655061/WHLF674386/40'HC
WHLU6023961/WHLL136249/40'HC</t>
  </si>
  <si>
    <t>2800 P'KGS</t>
  </si>
  <si>
    <t>249</t>
  </si>
  <si>
    <t>GMD20HPHPNH0092</t>
  </si>
  <si>
    <t>20200910/VP-BJC-KH</t>
  </si>
  <si>
    <t>VN-KH 20/01/29157</t>
  </si>
  <si>
    <t>GMDU8190656-40', GMDU8188181-40'</t>
  </si>
  <si>
    <t>42 ROLLS</t>
  </si>
  <si>
    <t>WHLU5517933/WHLL081671/40'HC
WHSU5686590/WHLL081666/40'HC</t>
  </si>
  <si>
    <t>250</t>
  </si>
  <si>
    <t>BESLEECO01-2020</t>
  </si>
  <si>
    <t>SPEED</t>
  </si>
  <si>
    <t>OFFICE FURNITURE</t>
  </si>
  <si>
    <t>425 CARTONS</t>
  </si>
  <si>
    <t>BESTUHL</t>
  </si>
  <si>
    <t>CMAU6340928/40'HC - SEAL Q0131002</t>
  </si>
  <si>
    <t>PHUOC LONG 12 V.006W</t>
  </si>
  <si>
    <t>D2020-0206349</t>
  </si>
  <si>
    <t>- Applied TP: 10.09.20, TP Ref: 03097 (11.09.20) 
- Entry DP request:
- Off set: 14.09.20</t>
  </si>
  <si>
    <t>- Applied TP: 10.09.20, TP Ref: 03096 (11.09.20) 
- Entry DP request:
- Off set: 14.09.20</t>
  </si>
  <si>
    <t>- Applied TP: 10.09.20, TP Ref: 03095 (11.09.20) 
- Entry DP request:
- Off set: 14.09.20</t>
  </si>
  <si>
    <t>- Applied TP: 10.09.20, TP Ref: 03098 (11.09.20) 
- Entry DP request:
- Off set: 14.09.20</t>
  </si>
  <si>
    <t>- Applied TP: 10.09.20, TP Ref: 03094 (11.09.20) 
- Entry DP request:
- Off set: 14.09.20</t>
  </si>
  <si>
    <t>- Applied TP: 21.09.20, TP Ref: 013/20 (21.09.20)</t>
  </si>
  <si>
    <t>251</t>
  </si>
  <si>
    <t>252</t>
  </si>
  <si>
    <t>253</t>
  </si>
  <si>
    <t>254</t>
  </si>
  <si>
    <t>255</t>
  </si>
  <si>
    <t>COAU7226220530</t>
  </si>
  <si>
    <t>TCNU1195181/CJ650514/40'HQ</t>
  </si>
  <si>
    <t>1400 P'KGS</t>
  </si>
  <si>
    <t>CMZ0431508</t>
  </si>
  <si>
    <t>APHU7151160/P6910492/40'HC 
SEGU4699831/P6910473/40'HC</t>
  </si>
  <si>
    <t>COAU7225603292</t>
  </si>
  <si>
    <t>CSNU7296213/CM095586/40'HQ
CSNU6496686/CK884470/40'HQ</t>
  </si>
  <si>
    <t>COAU7226089860</t>
  </si>
  <si>
    <t>80 ROLLS &amp; 430 P'KGS</t>
  </si>
  <si>
    <t>CSNU6127944/CK882371/40'HQ
FCIU9552417/CM102239/40'HQ</t>
  </si>
  <si>
    <t>024A548091</t>
  </si>
  <si>
    <t>WHLU5521790/WHLF671789/40'HC
WHSU5256162/WHLD918317/40'HC</t>
  </si>
  <si>
    <t>400 CTNS, 220 ROLLS &amp; 217 P'KGS</t>
  </si>
  <si>
    <t>- Applied TP: 21.09.20, TP Ref: 03160 (21.09.20) 
- Entry DP request:
- Off set: 28.09.20</t>
  </si>
  <si>
    <t>- Applied TP: 21.09.20, TP Ref: 03158 (21.09.20) 
- Entry DP request:
- Off set:28.09.20</t>
  </si>
  <si>
    <t>- Applied TP: 21.09.20, TP Ref: 03157 (21.09.20) 
- Entry DP request:
- Off set: 28.09.20</t>
  </si>
  <si>
    <t>- Applied TP: 21.09.20, TP Ref: 03156 (21.09.20) 
- Entry DP request:
- Off set: 28.09.20</t>
  </si>
  <si>
    <t>- Applied TP: 21.09.20, TP Ref: 03155 (21.09.20) 
- Entry DP request:
- Off set: 28.09.20</t>
  </si>
  <si>
    <t>- Applied TP: 21.09.20, TP Ref: 03161 (21.09.20) 
- Entry DP request:
- Off set: 28.09.20</t>
  </si>
  <si>
    <t>- Applied TP: 21.09.20, TP Ref: 03159 (21.09.20) 
- Entry DP request:
- Off set: 28.09.20</t>
  </si>
  <si>
    <t>- Applied TP: 25.09.20, TP Ref: 03226 (25.09.20) 
- Entry DP request:
- Off set: 28.09.20</t>
  </si>
  <si>
    <t>- Applied TP: 25.09.20, TP Ref: 03225 (25.09.20) 
- Entry DP request:
- Off set: 28.09.20</t>
  </si>
  <si>
    <t>- Applied TP: 25.09.20, TP Ref: 03227 (25.09.20) 
- Entry DP request:
- Off set: 28.09.20</t>
  </si>
  <si>
    <t>- Applied TP: 25.09.20, TP Ref: 03224 (25.09.20) 
- Entry DP request:
- Off set: 28.09.20</t>
  </si>
  <si>
    <t>- Applied TP: 25.09.20, TP Ref: 03223 (25.09.20) 
- Entry DP request:
- Off set: 28.09.20</t>
  </si>
  <si>
    <t>256</t>
  </si>
  <si>
    <t>COAU7225643761</t>
  </si>
  <si>
    <t>CSNU7612733/CL478281/40'HC</t>
  </si>
  <si>
    <t>310 P'KGS</t>
  </si>
  <si>
    <t>2561</t>
  </si>
  <si>
    <t>024A549022</t>
  </si>
  <si>
    <t>WHSU5641030/WHLL134356/40'HC</t>
  </si>
  <si>
    <t>100 CTNS, 2 SET &amp; 33 PKGS</t>
  </si>
  <si>
    <t>257</t>
  </si>
  <si>
    <t>EGLV010001112594</t>
  </si>
  <si>
    <t>TUOBATE INTERNATIONAL (MR. VITOU)</t>
  </si>
  <si>
    <t>EVER CORE 0126 V.010S</t>
  </si>
  <si>
    <t>HK</t>
  </si>
  <si>
    <t>689 CASES</t>
  </si>
  <si>
    <t>HONGKONG BENTENG</t>
  </si>
  <si>
    <t>150 CASES HONGHE (HP JIA JY) CIGARETTE, GW: 2178KGS
250 CASES HONGHE (HP88 JY) CIGARETTE, GW: 3750KGS
201 CASES YUNYAN (PURPLE JY) CIGARETTE, GW: 2962.7KGS
88 CASES YUNYAN (SP SPECIAL DF) CIGARETTE, GW: 1152.8KGS</t>
  </si>
  <si>
    <t>EISU9407682/40H/EMCXPS4788</t>
  </si>
  <si>
    <t>258</t>
  </si>
  <si>
    <t>LAX-CAM-D2002</t>
  </si>
  <si>
    <t>BRIDGE V.0145N</t>
  </si>
  <si>
    <t>1963 ROLLS ROYCE SILVER CLOUD (BLACK)
VIN#: LSDW151</t>
  </si>
  <si>
    <t>OOLU1126238/0110275
01X20'STC</t>
  </si>
  <si>
    <t>ONE (01) UNIT OF USED AUTO:</t>
  </si>
  <si>
    <t>DN AMERICAN TRADING LLC</t>
  </si>
  <si>
    <t>259</t>
  </si>
  <si>
    <t>260</t>
  </si>
  <si>
    <t>261</t>
  </si>
  <si>
    <t>262</t>
  </si>
  <si>
    <t>263</t>
  </si>
  <si>
    <t>264</t>
  </si>
  <si>
    <t>265</t>
  </si>
  <si>
    <t>266</t>
  </si>
  <si>
    <t>024A550126</t>
  </si>
  <si>
    <t>BEAU4819489/WHLF670135/40'HC</t>
  </si>
  <si>
    <t>110 CTNS, 20 ROLLS &amp; 85 P'KGS</t>
  </si>
  <si>
    <t>NSASGNG24784A</t>
  </si>
  <si>
    <t>SEGU4634640/SITK487413/40'HC</t>
  </si>
  <si>
    <t>COAU7226344800</t>
  </si>
  <si>
    <t>CBHU9560688/U346782/40'HQ</t>
  </si>
  <si>
    <t>140001510148</t>
  </si>
  <si>
    <t>EITU9115977/EMCKYU3820/40'HQ</t>
  </si>
  <si>
    <t xml:space="preserve">10 ROLLS </t>
  </si>
  <si>
    <t>YMLUI235182993</t>
  </si>
  <si>
    <t>HL20090021</t>
  </si>
  <si>
    <t>CBHU8971344/CM107360/40'HQ</t>
  </si>
  <si>
    <t>BMOU5985004/YMAI006652/40'HQ</t>
  </si>
  <si>
    <t>322 P'KGS</t>
  </si>
  <si>
    <t>024A549847</t>
  </si>
  <si>
    <t>FBLU0098501/WHLL139867/40'HC
DFSU7667257/WHLL139887/40'HC</t>
  </si>
  <si>
    <t>1170 CTNS &amp; 47 PKGS</t>
  </si>
  <si>
    <t>119AA09197</t>
  </si>
  <si>
    <t>WHSU2434208/WHLK999264/20'GP</t>
  </si>
  <si>
    <t>310 BARRELS</t>
  </si>
  <si>
    <t>- Applied TP: 25.09.20, TP Ref: 03247 (25.09.20)
- Client request to cancel TP (Reason: N/A)</t>
  </si>
  <si>
    <t>267</t>
  </si>
  <si>
    <t>SHAWD061873</t>
  </si>
  <si>
    <t>20320569ETC</t>
  </si>
  <si>
    <t>E200781997181268</t>
  </si>
  <si>
    <t>ZIM</t>
  </si>
  <si>
    <t>NEWPORT CYPRESS 79 V.073/W</t>
  </si>
  <si>
    <t>TGBU6265810 / TB456667 / 40'HQ
ZCSU7012739 / TB458612 / 40'HQ</t>
  </si>
  <si>
    <t>4 UNITS</t>
  </si>
  <si>
    <t>268</t>
  </si>
  <si>
    <t>269</t>
  </si>
  <si>
    <t>270</t>
  </si>
  <si>
    <t>271</t>
  </si>
  <si>
    <t>COAU7226313554</t>
  </si>
  <si>
    <t>OOLU9824810/16510415/40'HQ
FFAU2049363/14863365/40'HQ</t>
  </si>
  <si>
    <t>642 P'KGS</t>
  </si>
  <si>
    <t>2681</t>
  </si>
  <si>
    <t>COAU7226313555</t>
  </si>
  <si>
    <t>FSCU8730724/16513671/40'HQ</t>
  </si>
  <si>
    <t>024A550569</t>
  </si>
  <si>
    <t>WHSU5255572/WHLF651943/40'HC
WHSU5392662/WHLF674057/40'HC</t>
  </si>
  <si>
    <t>320 CTNS &amp; 225 PKGS</t>
  </si>
  <si>
    <t>024A549851</t>
  </si>
  <si>
    <t>WHSU5341372/WHLL134200/40'HC</t>
  </si>
  <si>
    <t>1380 P'KGS</t>
  </si>
  <si>
    <t>024A551467</t>
  </si>
  <si>
    <t>WHLU5769600/WHLH887345/40'HC
WHSU5363242/WHLL136565/40'HC</t>
  </si>
  <si>
    <t xml:space="preserve">452 CTNS &amp; 255 PKGS </t>
  </si>
  <si>
    <t>272</t>
  </si>
  <si>
    <t>FWFHCMPNH-2010002</t>
  </si>
  <si>
    <t>KKFU9081737/0352438/45'HC</t>
  </si>
  <si>
    <t>380 CTNS &amp; 57 PKGS</t>
  </si>
  <si>
    <t>KUNMING DESIGN</t>
  </si>
  <si>
    <t>273</t>
  </si>
  <si>
    <t>SITSGSVG207343</t>
  </si>
  <si>
    <t>C004/20V</t>
  </si>
  <si>
    <t>INTEGRA</t>
  </si>
  <si>
    <t>NEW AUDI</t>
  </si>
  <si>
    <t>BMOU2876890/SITK566382/20'</t>
  </si>
  <si>
    <t>274</t>
  </si>
  <si>
    <t>275</t>
  </si>
  <si>
    <t>276</t>
  </si>
  <si>
    <t>277</t>
  </si>
  <si>
    <t>024A550566</t>
  </si>
  <si>
    <t>640 P'KGS</t>
  </si>
  <si>
    <t>024A550571</t>
  </si>
  <si>
    <t>WHLU5772564/WHLL139966/40'HC</t>
  </si>
  <si>
    <t>220 CTNS &amp; 165 P'KGS</t>
  </si>
  <si>
    <t>FWFHCMPNH-2010003</t>
  </si>
  <si>
    <t>KKLU9056982/0352540/45'HC</t>
  </si>
  <si>
    <t>100 CTNS &amp; 132 P'KGS</t>
  </si>
  <si>
    <t>COAU7226222412</t>
  </si>
  <si>
    <t>COAU7226222413</t>
  </si>
  <si>
    <t>2771</t>
  </si>
  <si>
    <t>FCIU9620091/14873431/40'HQ</t>
  </si>
  <si>
    <t>40 ROLLS &amp; 227 P'KGS</t>
  </si>
  <si>
    <t>CCLU7226239/14873412/40'HQ
OOCU7620642/11437840/40'HQ</t>
  </si>
  <si>
    <t>WHSU5238831/WHLH887387/40'HQ
TCNU6157250/WHLF662606/40'HQ</t>
  </si>
  <si>
    <t>278</t>
  </si>
  <si>
    <t>279</t>
  </si>
  <si>
    <t>EGLV300000043787</t>
  </si>
  <si>
    <t>EVER CORE 0129 V.011S</t>
  </si>
  <si>
    <t>GAOU6481080/40H/14669651</t>
  </si>
  <si>
    <t>HUMMER H2
CHASSIS NO. 5GRGN23UX5H132622
COLOUR BLACK MODEL 2005</t>
  </si>
  <si>
    <t>AL MASA SHIPPING</t>
  </si>
  <si>
    <t>SHAWD061942</t>
  </si>
  <si>
    <t>E200781997181278</t>
  </si>
  <si>
    <t>BEAU5553222 / SB904141 / 40'HQ 
BMOU4519399 / SB478331 / 40'HQ 
CAAU5296960 / SB478271 / 40'HQ 
TCLU5596971 / SB478296 / 40'HQ 
TCNU7662940 / SB478337 / 40'HQ 
TCNU8111686 / SB911367 / 40'HQ 
TGBU5777494 / SB478243 / 40'HQ 
ZCSU7025398 / SB478281 / 40'HQ</t>
  </si>
  <si>
    <t>SAIC</t>
  </si>
  <si>
    <t>280</t>
  </si>
  <si>
    <t>281</t>
  </si>
  <si>
    <t>282</t>
  </si>
  <si>
    <t>283</t>
  </si>
  <si>
    <t>284</t>
  </si>
  <si>
    <t>285</t>
  </si>
  <si>
    <t>024A553056</t>
  </si>
  <si>
    <t>WHLU5624232/WHLH887241/40'HC
WHSU5366133/WHLF674080/40'HC</t>
  </si>
  <si>
    <t>382 CTNS, 7 ROLLS &amp; 184 PCS</t>
  </si>
  <si>
    <t>024A552769</t>
  </si>
  <si>
    <t>WHSU5869190/WHLF671746/40'HC</t>
  </si>
  <si>
    <t>512 CTNS, 3 ROLLS &amp; 70 PCS</t>
  </si>
  <si>
    <t>024A552765</t>
  </si>
  <si>
    <t>DFSU7557434/WHLH888787/40'HQ
WHSU5620525/WHLF674072/40'HQ</t>
  </si>
  <si>
    <t>024A552768</t>
  </si>
  <si>
    <t>WHSU5016670/WHLD895959/40'HC
WHSU5358478/WHLL139830/40'HC</t>
  </si>
  <si>
    <t>385 CTNS, 5 ROLLS &amp; 340 PCS</t>
  </si>
  <si>
    <t>2841</t>
  </si>
  <si>
    <t>2842</t>
  </si>
  <si>
    <t>YMLUI232182208</t>
  </si>
  <si>
    <t>SEGU6865382/YMAH509507/40'HQ</t>
  </si>
  <si>
    <t>323 P'KGS</t>
  </si>
  <si>
    <t>YMLUI228348679</t>
  </si>
  <si>
    <t>MAGU5582320/YMAH934797/40'HQ</t>
  </si>
  <si>
    <t>YMLUI232182306</t>
  </si>
  <si>
    <t>BEAU4305181/YMAH096942/40'HQ
TCNU3176534/YMAI021751/40'HQ</t>
  </si>
  <si>
    <t>3000 P'KGS</t>
  </si>
  <si>
    <t>ZHEJIANG</t>
  </si>
  <si>
    <t>FWFHCMPNH-2010004</t>
  </si>
  <si>
    <t>VHLU2020006/0352938/45'HC</t>
  </si>
  <si>
    <t>290 CTNS,  36 ROLLS &amp; 80 PCS</t>
  </si>
  <si>
    <t>KUNMING</t>
  </si>
  <si>
    <t>286</t>
  </si>
  <si>
    <t>RATANA THIDA V.174N</t>
  </si>
  <si>
    <t>MEDUQ3498167</t>
  </si>
  <si>
    <t>2020 LAND ROVER DEFENDER</t>
  </si>
  <si>
    <t>MEDU7437459/40HC</t>
  </si>
  <si>
    <t>QUINGDAO</t>
  </si>
  <si>
    <t>TP</t>
  </si>
  <si>
    <t>287</t>
  </si>
  <si>
    <t>- Applied TP: 30.09.20, TP Ref: 03309 (01.10.20) 
- Off set: 05.10.2020</t>
  </si>
  <si>
    <t>- Applied TP: 01.10.20, TP Ref: 03327 (02.10.20) 
- Off set: 05.10.2020</t>
  </si>
  <si>
    <t>- Applied TP: 02.10.20, TP Ref: 03353 (02.10.20) 
- Off set: 05.10.2020</t>
  </si>
  <si>
    <t>- Applied TP: 02.10.20, TP Ref: 03351 (02.10.20) 
- Off set: 05.10.2020</t>
  </si>
  <si>
    <t>- Applied TP: 02.10.20, TP Ref: 03350 (02.10.20) 
- Off set: 05.10.2020</t>
  </si>
  <si>
    <t>- Applied TP: 02.10.20, TP Ref: 03348 (02.10.20) 
- Off set: 05.10.2020</t>
  </si>
  <si>
    <t>- Applied TP: 02.10.20, TP Ref: 03352 (02.10.20) 
- Off set: 05.10.2020</t>
  </si>
  <si>
    <t>- Applied TP: 02.10.20, TP Ref: 03347 (02.10.20) 
- Off set: 05.10.2020</t>
  </si>
  <si>
    <t>- Applied TP: 02.10.20, TP Ref: 03346 (02.10.20)
- Off set: 05.10.2020</t>
  </si>
  <si>
    <t>- Applied TP: 07.10.20, TP Ref: 03391 (07.10.20) 
- Off set: 09.10.2020</t>
  </si>
  <si>
    <t>- Applied TP: 07.10.20, TP Ref: 03389 (07.10.20) 
- Off set: 09.10.2020</t>
  </si>
  <si>
    <t>- Applied TP: 07.10.20, TP Ref: 03390 (07.10.20) 
- Off set: 09.10.2020</t>
  </si>
  <si>
    <t>- Applied TP: 07.10.20, TP Ref: 03392 (07.10.20) 
- Off set: 09.10.2020</t>
  </si>
  <si>
    <t>- Applied TP: 07.10.20, TP Ref: 03398 (08.10.20)
- Off set: 09.10.2020</t>
  </si>
  <si>
    <t>- Applied TP: 12.10.20, TP Ref: 03452 (12.10.20) 
- Off set: 20.10.2020</t>
  </si>
  <si>
    <t>- Applied TP: 12.10.20, TP Ref: 03451 (12.10.20) 
- Off set: 20.10.2020</t>
  </si>
  <si>
    <t>- Applied TP: 12.10.20, TP Ref: 03450 (12.10.20) 
- Off set: 20.10.2020</t>
  </si>
  <si>
    <t>- Applied TP: 12.10.20, TP Ref: 03449 (12.10.20) 
- Off set: 20.10.2020</t>
  </si>
  <si>
    <t>- Applied TP: 13.10.20, TP Ref: 03467 (13.10.20) 
- Off set: 20.10.2020</t>
  </si>
  <si>
    <t>- Applied TP: 16.10.20, TP Ref: 03501 (16.10.20) 
- Off set: 20.10.2020</t>
  </si>
  <si>
    <t>- Applied TP: 16.10.20, TP Ref: 03499 (16.10.20) 
- Off set: 20.10.2020</t>
  </si>
  <si>
    <t>- Applied TP: 16.10.20, TP Ref: 03498 (16.10.20) 
- Off set: 20.10.2020</t>
  </si>
  <si>
    <t>- Applied TP: 16.10.20, TP Ref: 03497 (16.10.20) 
- Off set: 20.10.2020</t>
  </si>
  <si>
    <t>- Applied TP: 16.10.20, TP Ref: 03496 (16.10.20) 
- Off set: 20.10.2020</t>
  </si>
  <si>
    <t>- Applied TP: 16.10.20, TP Ref: 03500 (16.10.20) 
- Off set: 20.10.2020</t>
  </si>
  <si>
    <t>SHAWD062000</t>
  </si>
  <si>
    <t>NEWPORT CYPRESS 19 V.141W</t>
  </si>
  <si>
    <t>ZCSU2723966/SB383145/40´GP
ZIMU1427423/SB413137/20´GP</t>
  </si>
  <si>
    <t>29 PACKAGES</t>
  </si>
  <si>
    <t>288</t>
  </si>
  <si>
    <t>20201008/VP-BJC-KH</t>
  </si>
  <si>
    <t>GMD20HPHPNH0101</t>
  </si>
  <si>
    <t>VN-KH 20/01/33143</t>
  </si>
  <si>
    <t>PHUOC LONG 12 V.009W</t>
  </si>
  <si>
    <t>Napkin Tissue Pape</t>
  </si>
  <si>
    <t>GMDU8181660-40'HC, GMDU8182748-40'HC</t>
  </si>
  <si>
    <t>289</t>
  </si>
  <si>
    <t>290</t>
  </si>
  <si>
    <t>291</t>
  </si>
  <si>
    <t>292</t>
  </si>
  <si>
    <t>293</t>
  </si>
  <si>
    <t>294</t>
  </si>
  <si>
    <t>295</t>
  </si>
  <si>
    <t>296</t>
  </si>
  <si>
    <t>MVIU0018812/ML-CN6331501/40'HC</t>
  </si>
  <si>
    <t>345 CTNS,  04 ROLLS &amp; 110 PCS</t>
  </si>
  <si>
    <t>ZHONGSHAN</t>
  </si>
  <si>
    <t>2911</t>
  </si>
  <si>
    <t>CMZ0439228</t>
  </si>
  <si>
    <t>TGHU6371407/P7440722/40'HC</t>
  </si>
  <si>
    <t>2912</t>
  </si>
  <si>
    <t>XMRS201010001</t>
  </si>
  <si>
    <t>EISU9391441/EMCKTU7560/40'HC</t>
  </si>
  <si>
    <t>1480 P'KGS</t>
  </si>
  <si>
    <t>EGLV147000660437</t>
  </si>
  <si>
    <t>OCGU8059537/EMCKUN6390/40'HC</t>
  </si>
  <si>
    <t>024A554622</t>
  </si>
  <si>
    <t>2921</t>
  </si>
  <si>
    <t>TCNU4155583/WHLH888752/40'HC
WHLU5692073/WHLU885018/40'HC</t>
  </si>
  <si>
    <t>386 CTNS, 6 ROLLS &amp; 320 PCS</t>
  </si>
  <si>
    <t>2922</t>
  </si>
  <si>
    <t>024A553283</t>
  </si>
  <si>
    <t>WHSU5525636/WHLF674087/40'HQ</t>
  </si>
  <si>
    <t>024A553277</t>
  </si>
  <si>
    <t>WHSU5116730/WHLF651887/40'HC
FBLU0026815/WHLH882784/40'HC</t>
  </si>
  <si>
    <t>340 CTNS, 7 ROLLS, 20 PKGS &amp; 220 PCS</t>
  </si>
  <si>
    <t>2931</t>
  </si>
  <si>
    <t>024A553263</t>
  </si>
  <si>
    <t>TCNU5216810/WHLL139531/40'HC
WHSU5527198/WHLH882792/40'HC</t>
  </si>
  <si>
    <t>300 CTNS,  41 ROLLS &amp; 420 PCS</t>
  </si>
  <si>
    <t>024A553256</t>
  </si>
  <si>
    <t>WHSU5577711/WHLH888684/40'HQ
WHSU5868825/WHLF674088/40'HQ</t>
  </si>
  <si>
    <t>660 P'KGS</t>
  </si>
  <si>
    <t>2941</t>
  </si>
  <si>
    <t>024A553252</t>
  </si>
  <si>
    <t>WHSU5842836/WHLH887356/40'HQ
WHSU5167039/WHLL135699/40'HQ</t>
  </si>
  <si>
    <t>3020 P'KGS</t>
  </si>
  <si>
    <t>MRKU6569410/ML-CN9058816/20'GP</t>
  </si>
  <si>
    <t>820 P'KGS</t>
  </si>
  <si>
    <t>YMLUI221007061</t>
  </si>
  <si>
    <t>BMOU5708946/YMAH013190/40'HQ</t>
  </si>
  <si>
    <t>SHAWD062161</t>
  </si>
  <si>
    <t>E201322602501095</t>
  </si>
  <si>
    <t>NEW CAR MG RX8</t>
  </si>
  <si>
    <t>SHAWD061971</t>
  </si>
  <si>
    <t>CAM20200207N-1</t>
  </si>
  <si>
    <t>E201322602501096</t>
  </si>
  <si>
    <t>297</t>
  </si>
  <si>
    <t>298</t>
  </si>
  <si>
    <t>OMP20LCHKHOMP001</t>
  </si>
  <si>
    <t>NP SAMUTSAKHON V.2037S</t>
  </si>
  <si>
    <t>OMPL9005190-40'</t>
  </si>
  <si>
    <t>OMP20LCHKHOMP002</t>
  </si>
  <si>
    <t>CARTON, PAPER CORE</t>
  </si>
  <si>
    <t>TCKU9183217-40'</t>
  </si>
  <si>
    <t>024/2020</t>
  </si>
  <si>
    <t>025/2020</t>
  </si>
  <si>
    <t>299</t>
  </si>
  <si>
    <t>LPL0979984</t>
  </si>
  <si>
    <t>RATANA THIDA V.176N</t>
  </si>
  <si>
    <t>UK</t>
  </si>
  <si>
    <t>TEMU5893128  01X20ST   
SEAL 19522</t>
  </si>
  <si>
    <t>1 PACKAGE</t>
  </si>
  <si>
    <t>PLANS PERFORMANCE LTD</t>
  </si>
  <si>
    <t>MAKE BAC MODEL MONO
CHASSIS NUMBER SA9AUGGA3CH211004
REGISTRATION NUMBER T7 MNO</t>
  </si>
  <si>
    <t>300</t>
  </si>
  <si>
    <t>COSU6273896967</t>
  </si>
  <si>
    <t>BRIDGE V.0149N</t>
  </si>
  <si>
    <t>TCNU3686374 /1214940 / 40HC</t>
  </si>
  <si>
    <t>MERCEDES BENZ S 400 MAYBACH - 1UNIT
WDD2229671A276678, COLOR BLACK , WEIGHT: 2185KGS
LEXUS RX200T , YEAR 2016 - 1 UNIT
JTJBAMCA902002994, COLOR BLACK ,WEIGHT: 2070 KGS</t>
  </si>
  <si>
    <t>301</t>
  </si>
  <si>
    <t>3011</t>
  </si>
  <si>
    <t>3012</t>
  </si>
  <si>
    <t>3013</t>
  </si>
  <si>
    <t>COAU722624693</t>
  </si>
  <si>
    <t>WBPU7015244/CM107341/40'HQ</t>
  </si>
  <si>
    <t>10 ROLLS</t>
  </si>
  <si>
    <t>KMSRPNH-202010012</t>
  </si>
  <si>
    <t>PACKING BOX</t>
  </si>
  <si>
    <t>PONU3057828/HSD1021615/45'HC</t>
  </si>
  <si>
    <t>1186 CTNS</t>
  </si>
  <si>
    <t>024A554372</t>
  </si>
  <si>
    <t>LAMP</t>
  </si>
  <si>
    <t>TCLU8863120/WHLF662750/40'HC</t>
  </si>
  <si>
    <t>354 CTNS</t>
  </si>
  <si>
    <t>COAU7226290882</t>
  </si>
  <si>
    <t>BAMBOO CHOPSTICKS</t>
  </si>
  <si>
    <t>BEAU5091103/CL489750/40'HC</t>
  </si>
  <si>
    <t>860 CTNS</t>
  </si>
  <si>
    <t>SREY CHINDA IMPORT EXPORT CO., LTD</t>
  </si>
  <si>
    <t>MR. VITOU</t>
  </si>
  <si>
    <t>SGKN CONSTRUCTION SERVICES CO., LTD</t>
  </si>
  <si>
    <t>- Applied TP: 20.10.20, TP Ref: 03569 (21.10.20) 
- Off set: 28.10.2020</t>
  </si>
  <si>
    <t>- Applied TP: 21.10.20, TP Ref: 03558 (21.10.20) 
- Off set: 28.10.2020</t>
  </si>
  <si>
    <t>- Applied TP: 21.10.20, TP Ref: 03566 (21.10.20) 
- Off set: 28.10.2020</t>
  </si>
  <si>
    <t>- Applied TP: 21.10.20, TP Ref: 03567 (21.10.20) 
- Off set: 28.10.2020</t>
  </si>
  <si>
    <t>- Applied TP: 21.10.20, TP Ref: 03579 (22.10.20) 
- Off set: 28.10.2020</t>
  </si>
  <si>
    <t>- Applied TP: 21.10.20, TP Ref: 03580 (22.10.20) 
- Off set: 28.10.2020</t>
  </si>
  <si>
    <t>- Applied TP: 02.10.20, TP Ref: 03349 (02.10.20) 
- Off set: 05.10.2020
- Extend validation date (23.10.2020)
- Off set: 28.10.2020</t>
  </si>
  <si>
    <t>302</t>
  </si>
  <si>
    <t>3021</t>
  </si>
  <si>
    <t>3022</t>
  </si>
  <si>
    <t>303</t>
  </si>
  <si>
    <t>3031</t>
  </si>
  <si>
    <t>3032</t>
  </si>
  <si>
    <t>3033</t>
  </si>
  <si>
    <t>COAU7226897050</t>
  </si>
  <si>
    <t>CBHU8793031/U346784/40'HQ</t>
  </si>
  <si>
    <t>1180 BUNDLES</t>
  </si>
  <si>
    <t>CMZ0444265</t>
  </si>
  <si>
    <t xml:space="preserve">STEEL DOOR FRAME, STEEL DOOR, SCAFFOLDING, FURNITURE </t>
  </si>
  <si>
    <t>TCNU6420686/P7005207/40'HC
CMAU7192363/Q0493344/40'HC</t>
  </si>
  <si>
    <t>875 CTNS</t>
  </si>
  <si>
    <t>COAU7227030078</t>
  </si>
  <si>
    <t>SCAFFOLDING, STEEL DOOR FRAME, STEEL DOOR, SOFA</t>
  </si>
  <si>
    <t>CSNU7186242/CL488675/40'HQ
TGBU8840780/CM113516/40'HQ</t>
  </si>
  <si>
    <t xml:space="preserve">885 CTNS </t>
  </si>
  <si>
    <t>024A554367</t>
  </si>
  <si>
    <t>WHSU5473975/WHLF664079/40'HC</t>
  </si>
  <si>
    <t>688 CTNS</t>
  </si>
  <si>
    <t>024A554362</t>
  </si>
  <si>
    <t>WHSU5684915/WHLH882635/40'HC</t>
  </si>
  <si>
    <t>720 CTNS</t>
  </si>
  <si>
    <t>024A554356</t>
  </si>
  <si>
    <t>WHSU5357574/WHLF660587/40'HC</t>
  </si>
  <si>
    <t>768 CTNS</t>
  </si>
  <si>
    <t>024A554373</t>
  </si>
  <si>
    <t>WHLU5544008/WHLH882773/40'HC</t>
  </si>
  <si>
    <t>770 CTNS</t>
  </si>
  <si>
    <t>304</t>
  </si>
  <si>
    <t>D2020-0245391</t>
  </si>
  <si>
    <t>305</t>
  </si>
  <si>
    <t>3051</t>
  </si>
  <si>
    <t>306</t>
  </si>
  <si>
    <t>3061</t>
  </si>
  <si>
    <t>3062</t>
  </si>
  <si>
    <t>3063</t>
  </si>
  <si>
    <t>024A556237</t>
  </si>
  <si>
    <t>WHSU5770356/WHLF655281/40'HC</t>
  </si>
  <si>
    <t>680 CTNS</t>
  </si>
  <si>
    <t>024A555716</t>
  </si>
  <si>
    <t>CAIU9564554/WHLF664143/40'HC
BEAU4810835/WHLH899200/40'HC</t>
  </si>
  <si>
    <t>946 CTNS</t>
  </si>
  <si>
    <t>024A556240</t>
  </si>
  <si>
    <t>WHSU5513743/WHLL141852/40'HC</t>
  </si>
  <si>
    <t>356 CTNS</t>
  </si>
  <si>
    <t>COAU7226450373</t>
  </si>
  <si>
    <t>PLASTIC BOTTLE CAP</t>
  </si>
  <si>
    <t>TEMU7700470/CM111002/40'HC</t>
  </si>
  <si>
    <t>320 BAGS</t>
  </si>
  <si>
    <t>UR</t>
  </si>
  <si>
    <t>024A555728</t>
  </si>
  <si>
    <t>WHSU5431877/WHLF664192/40'HC</t>
  </si>
  <si>
    <t>024A556233</t>
  </si>
  <si>
    <t>WHSU5981894/WHLH898165/40'HC
WHLU5546905/WHLL138574/40'HC</t>
  </si>
  <si>
    <t>307</t>
  </si>
  <si>
    <t>SDSE201030028</t>
  </si>
  <si>
    <t>BSIU2625437/1090346/20'GP</t>
  </si>
  <si>
    <t>06 ROLLS</t>
  </si>
  <si>
    <t>3071</t>
  </si>
  <si>
    <t>MRKU8213747/ML-CN4683136/20'GP</t>
  </si>
  <si>
    <t>980 P'KGS</t>
  </si>
  <si>
    <t>308</t>
  </si>
  <si>
    <t>024A557176</t>
  </si>
  <si>
    <t>WHSU5989766/WHLH889879/40'HC</t>
  </si>
  <si>
    <t>520 BARRELS</t>
  </si>
  <si>
    <t>3081</t>
  </si>
  <si>
    <t>024A556987</t>
  </si>
  <si>
    <t>WHSU5842836/WHLH901647/40'HQ</t>
  </si>
  <si>
    <t>1500 P'KGS</t>
  </si>
  <si>
    <t>3082</t>
  </si>
  <si>
    <t>024A556975</t>
  </si>
  <si>
    <t>WHSU5792611/WHLH899071/40'HC</t>
  </si>
  <si>
    <t xml:space="preserve">334 CTNS, 3 ROLLS &amp; 160 PCS </t>
  </si>
  <si>
    <t>309</t>
  </si>
  <si>
    <t>024A556958</t>
  </si>
  <si>
    <t>TCNU4355180/WHLH898195/40'HQ</t>
  </si>
  <si>
    <t>330 P'KGS</t>
  </si>
  <si>
    <t>3091</t>
  </si>
  <si>
    <t>024A556959</t>
  </si>
  <si>
    <t>WHSU5990129/WHLH890710/40'HC
TCLU9455204/WHLF671662/40'HC</t>
  </si>
  <si>
    <t>3092</t>
  </si>
  <si>
    <t>024A558464</t>
  </si>
  <si>
    <t>WHLU5556462/WHLH895501/40'HC</t>
  </si>
  <si>
    <r>
      <rPr>
        <sz val="11"/>
        <color rgb="FFFF0000"/>
        <rFont val="Calibri"/>
        <family val="2"/>
        <scheme val="minor"/>
      </rPr>
      <t>TCNU5393966</t>
    </r>
    <r>
      <rPr>
        <sz val="11"/>
        <color theme="1"/>
        <rFont val="Calibri"/>
        <family val="2"/>
        <scheme val="minor"/>
      </rPr>
      <t xml:space="preserve"> / SB383123 / 40'HQ    
</t>
    </r>
    <r>
      <rPr>
        <sz val="11"/>
        <color rgb="FFFF0000"/>
        <rFont val="Calibri"/>
        <family val="2"/>
        <scheme val="minor"/>
      </rPr>
      <t>ZCSU7150300</t>
    </r>
    <r>
      <rPr>
        <sz val="11"/>
        <color theme="1"/>
        <rFont val="Calibri"/>
        <family val="2"/>
        <scheme val="minor"/>
      </rPr>
      <t xml:space="preserve"> / SB395682 / 40'HQ    
ZCSU7194715 / SB395704 / 40'HQ    
</t>
    </r>
    <r>
      <rPr>
        <sz val="11"/>
        <color rgb="FFFF0000"/>
        <rFont val="Calibri"/>
        <family val="2"/>
        <scheme val="minor"/>
      </rPr>
      <t>ZCSU8789580</t>
    </r>
    <r>
      <rPr>
        <sz val="11"/>
        <color theme="1"/>
        <rFont val="Calibri"/>
        <family val="2"/>
        <scheme val="minor"/>
      </rPr>
      <t xml:space="preserve"> / SB383092 / 40'HQ    
</t>
    </r>
    <r>
      <rPr>
        <sz val="11"/>
        <color rgb="FFFF0000"/>
        <rFont val="Calibri"/>
        <family val="2"/>
        <scheme val="minor"/>
      </rPr>
      <t>ZCSU8874430</t>
    </r>
    <r>
      <rPr>
        <sz val="11"/>
        <color theme="1"/>
        <rFont val="Calibri"/>
        <family val="2"/>
        <scheme val="minor"/>
      </rPr>
      <t xml:space="preserve"> / SB383132 / 40'HQ </t>
    </r>
  </si>
  <si>
    <r>
      <t xml:space="preserve">BEAU5013672 / SB383143 / 40'HQ    
</t>
    </r>
    <r>
      <rPr>
        <sz val="11"/>
        <color rgb="FFFF0000"/>
        <rFont val="Calibri"/>
        <family val="2"/>
        <scheme val="minor"/>
      </rPr>
      <t>TCNU2716279</t>
    </r>
    <r>
      <rPr>
        <sz val="11"/>
        <color theme="1"/>
        <rFont val="Calibri"/>
        <family val="2"/>
        <scheme val="minor"/>
      </rPr>
      <t xml:space="preserve"> / SB383124 / 40'HQ    
TCNU5416634 / SB383136 / 40'HQ    
TCNU8545466 / SB383134 / 40'HQ    
ZCSU8536957 / SB395702 / 40'HQ    
ZCSU8665091 / SB395689 / 40'HQ</t>
    </r>
  </si>
  <si>
    <t>310</t>
  </si>
  <si>
    <t>149005846462</t>
  </si>
  <si>
    <t xml:space="preserve">LAMP </t>
  </si>
  <si>
    <t>SEGU5504512/EMCKUN5010/40'HC</t>
  </si>
  <si>
    <t>355 CTNS</t>
  </si>
  <si>
    <t>3101</t>
  </si>
  <si>
    <t>TAICAL20100020</t>
  </si>
  <si>
    <t>MINERAL-WATER</t>
  </si>
  <si>
    <t>QATU4500019/QAT1600817/40'HQ</t>
  </si>
  <si>
    <t>2900 CAS</t>
  </si>
  <si>
    <t>CARTON, PLASTIC WRAPPER, SHRINK FILM, PAPER CORE</t>
  </si>
  <si>
    <t>23 PALLETS</t>
  </si>
  <si>
    <t>OMPLCHS200001</t>
  </si>
  <si>
    <t>026/2020</t>
  </si>
  <si>
    <t>OMPL9826075-40'</t>
  </si>
  <si>
    <t>311</t>
  </si>
  <si>
    <t>INTRA BHUM V.101N</t>
  </si>
  <si>
    <t>BRAND NEW WAGON(LEFT HAND DRIVE)
BRAND NAME: TOYOTA ALPHARD, MODEL YEAR: 2021, ENGINE POWER: 3500CC, COUNTRY OF ORIGIN: JAPAN
CHASSIS NO.: JTNGZ3DH608059041, JTNGZ3DH708058867, JTNGZ3DH108058931, JTNGZ3DH208058369</t>
  </si>
  <si>
    <t>TC PARTNERTRADING</t>
  </si>
  <si>
    <t>HDMU UWKH1986443</t>
  </si>
  <si>
    <t>CAIU9973716/3258759/ 40HC
KOCU4072350/3258758/ 40HC</t>
  </si>
  <si>
    <t>312</t>
  </si>
  <si>
    <t>- Applied TP: 26.10.20, TP Ref: 03635 (26.10.20) 
- Off set: 11.11.2020</t>
  </si>
  <si>
    <t>024A557573</t>
  </si>
  <si>
    <t>WHSU5600998/WHLH886510/40'HQ</t>
  </si>
  <si>
    <t>FOSHAN</t>
  </si>
  <si>
    <t>3121</t>
  </si>
  <si>
    <t>024A557931</t>
  </si>
  <si>
    <t>WHLU5823379/WHLH901541/40'HC</t>
  </si>
  <si>
    <t>313</t>
  </si>
  <si>
    <t>YMLUI221007749</t>
  </si>
  <si>
    <t>DRYU9779065/YMAG640097/40'HQ</t>
  </si>
  <si>
    <t xml:space="preserve">558 CTNS </t>
  </si>
  <si>
    <t>3131</t>
  </si>
  <si>
    <t>YMLUI221007750</t>
  </si>
  <si>
    <t>TLLU4931311/YMAG640183/40'HQ
YMLU8417490/YMAG640181/40'HQ</t>
  </si>
  <si>
    <t xml:space="preserve">20 ROLLS </t>
  </si>
  <si>
    <t>314</t>
  </si>
  <si>
    <t>UETU5935410/ML-CN6803425/40'HQ</t>
  </si>
  <si>
    <t>3141</t>
  </si>
  <si>
    <t>JJCSHSGA022085</t>
  </si>
  <si>
    <t>TWCU2042917/SJJB116781/20'GP</t>
  </si>
  <si>
    <t xml:space="preserve">06 ROLLS </t>
  </si>
  <si>
    <t>315</t>
  </si>
  <si>
    <t>YMLUI221007748</t>
  </si>
  <si>
    <t>OFFICE CABINET</t>
  </si>
  <si>
    <t>TCNU2431975/YMAG640082/40'HQ</t>
  </si>
  <si>
    <t>230 CTNS</t>
  </si>
  <si>
    <t>316</t>
  </si>
  <si>
    <t>BRIDGE V.0152N</t>
  </si>
  <si>
    <t>UNITED ARAB EMIRATES</t>
  </si>
  <si>
    <t>CCLU7660780 /EWS9845/40HQ</t>
  </si>
  <si>
    <t>ALLIED MOTORS</t>
  </si>
  <si>
    <t>317</t>
  </si>
  <si>
    <t>GMD20HPHPNH0113</t>
  </si>
  <si>
    <t>20201109/VP-BJC-KH</t>
  </si>
  <si>
    <t>GMDU8184695-40', GMDU8180581-40', GMDU8186337-40'</t>
  </si>
  <si>
    <t>HDMU UWKH1988914</t>
  </si>
  <si>
    <t>BRAND NEW WAGON(LEFT HAND DRIVE), BRAND NAME: TOYOTA ALPHARD
MODEL YEAR: 2021, ENGINE POWER: 3500CC, COUNTRY OF ORIGIN: JAPAN
CHASSIS NO.: JTNGZ3DH708058559</t>
  </si>
  <si>
    <t>TRHU2166896/3252880/ DC20</t>
  </si>
  <si>
    <t>TC PARTNERTRADING CO.,LTD</t>
  </si>
  <si>
    <t>318</t>
  </si>
  <si>
    <t>INTRA BHUM V.102N</t>
  </si>
  <si>
    <t>- Applied TP: 26.10.20, TP Ref: 03635 (26.10.20) 
- Off set: 16.11.2020</t>
  </si>
  <si>
    <t>- TP: 016/2020 (22.10.2020), IM8 T983 (23.10.2020)
- Truck (PPAP): 24.10.2020
- IM4: I300 (12.11.2020), Offset: 16.11.2020</t>
  </si>
  <si>
    <t>-TP: 017/20 (27.10.2020)
- IM8: T10 (27.10.2020), Truck PPAP: 28.10.2020
- IM4: I299 (12.11.2020), OS: 16.11.2020</t>
  </si>
  <si>
    <t>-TP: 018/20 (27.10.2020)
- IM8: T11 (27.10.2020), Truck PPAP: 28.10.2020
- IM4: I298 (12.11.2020), OS: 16.11.2020</t>
  </si>
  <si>
    <t>- TP: 03635 (26.10.20) 
- Off set: 28.10.2020</t>
  </si>
  <si>
    <t>BRAND NEW JEEP, WRANGLER UNLIMITED MY 2020
CHASSIS NO: 1C4HJXFN4LW283547, ENGINE NO: BC0138506, COLOR:BLACK
CHASSIS NO: 1C4HJXFN2LW283546, ENGINE NO: BC0136999, COLOR:STINGRAY
ENGINE CAPACITY - 2.0L,TRANSMISSION – PETROL, AUTOMATIC</t>
  </si>
  <si>
    <t>319</t>
  </si>
  <si>
    <t>3191</t>
  </si>
  <si>
    <t>3192</t>
  </si>
  <si>
    <t>3193</t>
  </si>
  <si>
    <t>320</t>
  </si>
  <si>
    <t>3201</t>
  </si>
  <si>
    <t>3202</t>
  </si>
  <si>
    <t>3203</t>
  </si>
  <si>
    <t>321</t>
  </si>
  <si>
    <t>3211</t>
  </si>
  <si>
    <t>3212</t>
  </si>
  <si>
    <t>322</t>
  </si>
  <si>
    <t>3221</t>
  </si>
  <si>
    <t>PONU7646662/ML-CN5517955/40'HC</t>
  </si>
  <si>
    <t xml:space="preserve">623 CTNS </t>
  </si>
  <si>
    <t>COAU7226938832</t>
  </si>
  <si>
    <t xml:space="preserve">OFFICE CABINET </t>
  </si>
  <si>
    <t>TGBU5630266/CL132959/40'HQ</t>
  </si>
  <si>
    <t xml:space="preserve">232 CTNS </t>
  </si>
  <si>
    <t>COAU7226938833</t>
  </si>
  <si>
    <t>FCIU9935381/CK889294/40'HQ</t>
  </si>
  <si>
    <t xml:space="preserve">144 CTNS </t>
  </si>
  <si>
    <t>COAU7226938831</t>
  </si>
  <si>
    <t>UETU5420076/CM261110/40'HQ</t>
  </si>
  <si>
    <t>COAU7226660893</t>
  </si>
  <si>
    <t>BEAU5796860/8020429/40'HQ</t>
  </si>
  <si>
    <t>MRKU2757701/ML-CN6592465/40'HC</t>
  </si>
  <si>
    <t>SHANGHAI</t>
  </si>
  <si>
    <t>COAU7227094259</t>
  </si>
  <si>
    <t>CERAMIC TOILET</t>
  </si>
  <si>
    <t>BEAU5558630/15700326/40'HQ</t>
  </si>
  <si>
    <t xml:space="preserve">650 CTNS </t>
  </si>
  <si>
    <t>KUN SHAN</t>
  </si>
  <si>
    <t>033A508300</t>
  </si>
  <si>
    <t>WHSU5472808/WHLH682109/40'HQ
WHSU5746827/WHLH682006/40'HQ</t>
  </si>
  <si>
    <t>645 P'KGS</t>
  </si>
  <si>
    <t>MSKU8687368/ML-CN666183/40'HC</t>
  </si>
  <si>
    <t>YIWU MAITENG</t>
  </si>
  <si>
    <t>024A561118</t>
  </si>
  <si>
    <t>WHSU5657910/WHLH8899266/40'HC</t>
  </si>
  <si>
    <t>024A559708</t>
  </si>
  <si>
    <t>WHSU5967330/WHLH851950/40'HC</t>
  </si>
  <si>
    <t>320 P'KGS</t>
  </si>
  <si>
    <t>COAU7227003610</t>
  </si>
  <si>
    <t>CSNU7867143/U409411/40'HQ</t>
  </si>
  <si>
    <t>TLLU5404320/ML-CN5271104/40'HC</t>
  </si>
  <si>
    <t>323</t>
  </si>
  <si>
    <t>CULSHA20024095</t>
  </si>
  <si>
    <t>CHINA GOOD CAR (INVESTMENT) CO., LTD</t>
  </si>
  <si>
    <t>KCB2009302</t>
  </si>
  <si>
    <t xml:space="preserve">NEW JETOUR BRAND CAR </t>
  </si>
  <si>
    <t>FFAU1568620-40’
CULU5900125-40’</t>
  </si>
  <si>
    <t>324</t>
  </si>
  <si>
    <t>CMZ0458561</t>
  </si>
  <si>
    <t>APZU4676435/P7897143/40'ST</t>
  </si>
  <si>
    <t>3241</t>
  </si>
  <si>
    <t>SUDU6554462/ML-CN4675776/40'HQ</t>
  </si>
  <si>
    <t>CHERY COMMERCIAL VEHICLE</t>
  </si>
  <si>
    <t>INTERASIA VISION V.S001</t>
  </si>
  <si>
    <t>325</t>
  </si>
  <si>
    <t>3251</t>
  </si>
  <si>
    <t>3252</t>
  </si>
  <si>
    <t>326</t>
  </si>
  <si>
    <t>3261</t>
  </si>
  <si>
    <t>3262</t>
  </si>
  <si>
    <t>327</t>
  </si>
  <si>
    <t>328</t>
  </si>
  <si>
    <t>YMLUI232183367</t>
  </si>
  <si>
    <t>YMMU6292015/YMAH514546/40'HQ</t>
  </si>
  <si>
    <t>171A501701</t>
  </si>
  <si>
    <t>TCNU4197700/WHLH995310/40'HQ
WHLU5785094/WHLH995309/40'HQ</t>
  </si>
  <si>
    <t>024A560801</t>
  </si>
  <si>
    <t>BEAU4808761/WHLF664138/40'HC</t>
  </si>
  <si>
    <t>024A560082</t>
  </si>
  <si>
    <t>WHSU5755834/WHLH889944/40'HC</t>
  </si>
  <si>
    <t>COAU7227429432</t>
  </si>
  <si>
    <t>CSLU6173921/CL115530/40'HC</t>
  </si>
  <si>
    <t>UR EXPORT</t>
  </si>
  <si>
    <t>024A556992</t>
  </si>
  <si>
    <t>WHSU5482880/WHLH901647/40'HQ</t>
  </si>
  <si>
    <t>KMSRPNH-2020110019</t>
  </si>
  <si>
    <t>OOLU9006305/HQ/19.0356892/45'HC</t>
  </si>
  <si>
    <t>358 CTNS</t>
  </si>
  <si>
    <t>COAU7882268560</t>
  </si>
  <si>
    <t>TGHU9826958/16691246/40'HQ
CSNU7127337/16310109/40'HQ</t>
  </si>
  <si>
    <t>430 CTNS</t>
  </si>
  <si>
    <t>VN-KH 20/01/37009</t>
  </si>
  <si>
    <t>329</t>
  </si>
  <si>
    <t>330</t>
  </si>
  <si>
    <t>3301</t>
  </si>
  <si>
    <t>3302</t>
  </si>
  <si>
    <t>KMSRPNH-2020110020</t>
  </si>
  <si>
    <t>KKFU9078841/HQ/19.0357145/45'HC</t>
  </si>
  <si>
    <t>360 CTNS</t>
  </si>
  <si>
    <t>SUDU6859311/ML-CN4817940/40'HC</t>
  </si>
  <si>
    <t>TCLU8707359/ML-CN6330357/40'HC</t>
  </si>
  <si>
    <t>MRKU2867490/ML-CN4675923/40'HC</t>
  </si>
  <si>
    <t>331</t>
  </si>
  <si>
    <t>3311</t>
  </si>
  <si>
    <t>332</t>
  </si>
  <si>
    <t>TENG LAY</t>
  </si>
  <si>
    <t>SITSGSVG213618</t>
  </si>
  <si>
    <t>C005/20V</t>
  </si>
  <si>
    <t>SITC JAKARTA V.2032S</t>
  </si>
  <si>
    <t>NEW AUDI Q8</t>
  </si>
  <si>
    <t>UETU5718733-40'</t>
  </si>
  <si>
    <t>333</t>
  </si>
  <si>
    <t>334</t>
  </si>
  <si>
    <t>3341</t>
  </si>
  <si>
    <t>3342</t>
  </si>
  <si>
    <t>3343</t>
  </si>
  <si>
    <t>335</t>
  </si>
  <si>
    <t>3351</t>
  </si>
  <si>
    <t>KMSRPNH-2020110024</t>
  </si>
  <si>
    <t>GMTU8000552/HQ/19.0357594/45'HC</t>
  </si>
  <si>
    <t>SITGTASG821493</t>
  </si>
  <si>
    <t>TCLU3797832/SITF069759/20'GP</t>
  </si>
  <si>
    <t>173 P'KGS</t>
  </si>
  <si>
    <t>COAU7227427855</t>
  </si>
  <si>
    <t>OFFICE TABLE</t>
  </si>
  <si>
    <t>TCNU2038079/16585201/40'HQ</t>
  </si>
  <si>
    <t>165 CTNS</t>
  </si>
  <si>
    <t>LIANJIANG</t>
  </si>
  <si>
    <t>COAU7227427856</t>
  </si>
  <si>
    <t>CSLU6025138/16585297/40'HQ
CBHU9516432/16585209/40'HQ</t>
  </si>
  <si>
    <t>647 P'KGS</t>
  </si>
  <si>
    <t>COAU7227432031</t>
  </si>
  <si>
    <t>BEAU4686196/CH567609/40'HQ
CBHU9562931/CM276622/40'HQ</t>
  </si>
  <si>
    <t>2960 P'KGS</t>
  </si>
  <si>
    <t>COAU7226955492</t>
  </si>
  <si>
    <t>CCLU7771758/CL139570/40'HQ
BMOU4540185/CL137947/40'HQ</t>
  </si>
  <si>
    <t>995 CTNS</t>
  </si>
  <si>
    <t>COAU7227242940</t>
  </si>
  <si>
    <t>TCNU1067730/CM262915/40'HQ
TCNU8556619/CL472909/40'HQ</t>
  </si>
  <si>
    <t>- Applied TP: 16.11.20, TP Ref: 03892 (17.11.20) 
- Off set: 27.11.2020</t>
  </si>
  <si>
    <t>- Applied TP: 16.11.20, TP Ref: 03893 (17.11.20) 
- Off set: 27.11.2020</t>
  </si>
  <si>
    <t>- Applied TP: 17.11.20, TP Ref: 03894 (17.11.20) 
- Off set: 27.11.2020</t>
  </si>
  <si>
    <t>- Applied TP: 17.11.20, TP Ref: 03895 (17.11.20) 
- Off set: 27.11.2020</t>
  </si>
  <si>
    <t>- Applied TP: 17.11.20, TP Ref: 03897 (17.11.20) 
- Off set: 27.11.2020</t>
  </si>
  <si>
    <t>- Applied TP: 17.11.20, TP Ref: 03896 (17.11.20) 
- Off set: 27.11.2020</t>
  </si>
  <si>
    <t>- Applied TP: 19.11.20, TP Ref: 03932 (26.10.20) 
- Off set: 27.11.2020</t>
  </si>
  <si>
    <t>- Applied TP: 20.11.20, TP Ref: 03943 (20.11.20) 
- Off set: 27.11.2020</t>
  </si>
  <si>
    <t>- Applied TP: 20.11.20, TP Ref: 03945 (20.11.20) 
- Off set: 27.11.2020</t>
  </si>
  <si>
    <t>- Applied TP: 20.11.20, TP Ref: 03944 (20.11.20) 
- Off set: 27.11.2020</t>
  </si>
  <si>
    <t>- Applied TP: 20.11.20, TP Ref: 03942 (20.11.20) 
- Off set: 27.11.2020</t>
  </si>
  <si>
    <t>- Applied TP: 23.11.20, TP Ref: 03963 (23.11.20) 
- Off set: 27.11.2020</t>
  </si>
  <si>
    <t>- Applied TP: 23.11.20, TP Ref: 03964 (23.11.20) 
- Off set: 27.11.2020</t>
  </si>
  <si>
    <t>- Applied TP:26.11.20 TP Ref: 04023 (26.11.20) 
- Off set: 27.11.2020</t>
  </si>
  <si>
    <t>- Applied TP: 26.11.20, TP Ref: 004024 (26.11.20) 
- Off set: 27.11.2020</t>
  </si>
  <si>
    <t>- Applied TP: 26.11.20, TP Ref: 004022 (26.11.20) 
- Off set: 27.11.2020</t>
  </si>
  <si>
    <t>336</t>
  </si>
  <si>
    <t>337</t>
  </si>
  <si>
    <t>3371</t>
  </si>
  <si>
    <t>3372</t>
  </si>
  <si>
    <t>'SITGSHSGN01767</t>
  </si>
  <si>
    <t>SEGU6715037/SITE920894/40'HC</t>
  </si>
  <si>
    <t>XIAMEN</t>
  </si>
  <si>
    <t>'772010029035</t>
  </si>
  <si>
    <t>RFCU5124308/TSP0406627/40'HQ</t>
  </si>
  <si>
    <t>1150 BUNDLES</t>
  </si>
  <si>
    <t>KMSRPNH-2020110025</t>
  </si>
  <si>
    <t>XNKU8818008/HQ/19.0390957/45'HC</t>
  </si>
  <si>
    <t>COAU7226939092</t>
  </si>
  <si>
    <t>TCNU5102145/CD040493/40'HQ</t>
  </si>
  <si>
    <t>COAU7226660542</t>
  </si>
  <si>
    <t>CBHU9452087/CL472901/40'HQ</t>
  </si>
  <si>
    <t>COAU7226939091</t>
  </si>
  <si>
    <t>TCKU6496630/CD040497/40'HQ</t>
  </si>
  <si>
    <t>338</t>
  </si>
  <si>
    <t>GMD20HPHPNH0119</t>
  </si>
  <si>
    <t>20201117/VP-BJC-KH</t>
  </si>
  <si>
    <t>VN-KH 20/01/37701</t>
  </si>
  <si>
    <t>PHUOC LONG 10 V. 094W</t>
  </si>
  <si>
    <t>63 ROLLS</t>
  </si>
  <si>
    <t>339</t>
  </si>
  <si>
    <t>SHAWD062506</t>
  </si>
  <si>
    <t>GAOU6447276/SB402184/40'HC</t>
  </si>
  <si>
    <t>22 PACKAGES</t>
  </si>
  <si>
    <t>340</t>
  </si>
  <si>
    <t>KMSRPNH-2020110028</t>
  </si>
  <si>
    <t>GMTU8000090/HQ/19.0391005/45'HC</t>
  </si>
  <si>
    <t>341</t>
  </si>
  <si>
    <t>342</t>
  </si>
  <si>
    <t>3421</t>
  </si>
  <si>
    <t>3422</t>
  </si>
  <si>
    <t>343</t>
  </si>
  <si>
    <t>3431</t>
  </si>
  <si>
    <t>3432</t>
  </si>
  <si>
    <t>COAU7227128261</t>
  </si>
  <si>
    <t>FSCU8697164/CM112637/40'HQ</t>
  </si>
  <si>
    <t>KMSRPNH-2020120001</t>
  </si>
  <si>
    <t>STUFFED COTTON</t>
  </si>
  <si>
    <t>GMTU8000212/HQ/19.0391270/45'HC</t>
  </si>
  <si>
    <t>188 BALES</t>
  </si>
  <si>
    <t>KITCHEN SINKS</t>
  </si>
  <si>
    <t>MSKU0373376/ML-CN5984072/40'HC</t>
  </si>
  <si>
    <t xml:space="preserve">560 CTNS </t>
  </si>
  <si>
    <t>SHANTOU</t>
  </si>
  <si>
    <t>COAU7226562561</t>
  </si>
  <si>
    <t>TRHU3724673/16579487/20'GP</t>
  </si>
  <si>
    <t>950 P'KGS</t>
  </si>
  <si>
    <t>SUDU6665975/ML-CN6328615/40'HC</t>
  </si>
  <si>
    <t>SITGSHSGN01808</t>
  </si>
  <si>
    <t>TCKU7161902/SITE779765/40'HC</t>
  </si>
  <si>
    <t>COAU7227627450</t>
  </si>
  <si>
    <t>TLLU3114723/P181070/20'GP</t>
  </si>
  <si>
    <t>220 P'KGS</t>
  </si>
  <si>
    <t>- Applied TP: 27.11.20, TP Ref: 004048 (27.11.20) 
- Off set: 02.12.2020</t>
  </si>
  <si>
    <t>- Applied TP: 27.11.20, TP Ref: 04049 (27.11.20) 
- Off set: 02.12.2020</t>
  </si>
  <si>
    <t>- Applied TP: 01.12.20, TP Ref: 004073 (01.12.20) 
- Off set: 02.12.2020</t>
  </si>
  <si>
    <t>- Applied TP: 27.11.20, TP Ref: 004047 (27.11.20) 
- Off set: 02.12.2020</t>
  </si>
  <si>
    <t>344</t>
  </si>
  <si>
    <t>3441</t>
  </si>
  <si>
    <t>KMSRPNH-2020120002</t>
  </si>
  <si>
    <t>COTTON BLANKET</t>
  </si>
  <si>
    <t>XXLU2020007/HQ/19.0391410/45'HC</t>
  </si>
  <si>
    <t>132 BALES</t>
  </si>
  <si>
    <t>COAU7227301320</t>
  </si>
  <si>
    <t>TCKU6976813/U346786/40'HQ</t>
  </si>
  <si>
    <t>1250 BUNDLES</t>
  </si>
  <si>
    <t>345</t>
  </si>
  <si>
    <t>AAWE022641</t>
  </si>
  <si>
    <t>BL RHENUS IMPORT EXPORT CO., LTD</t>
  </si>
  <si>
    <t>HONGQI CAR</t>
  </si>
  <si>
    <t>CMAU4221215-40'
MAGU5273358-40'
SEGU6130633-40'
TEMU6086305-40'</t>
  </si>
  <si>
    <t>8 UNITS</t>
  </si>
  <si>
    <t xml:space="preserve">CHINA FAW </t>
  </si>
  <si>
    <t>NEWPORT CYPRESS 99 V.027W</t>
  </si>
  <si>
    <t>346</t>
  </si>
  <si>
    <t>ONEYRICADQ618500</t>
  </si>
  <si>
    <t>SOK PISETH IMPORT &amp; EXPORT CO.,
LTD</t>
  </si>
  <si>
    <t>BRIDGE V.0154N</t>
  </si>
  <si>
    <t>USA</t>
  </si>
  <si>
    <t>2010 TOYOTA PRIUS VIN NO JTDKN3DU0A1013822
2007 TOYOTA PRIUS VIN NO JTDKB20U377589239
2005 TOYOTA PRIUS VIN NO JTDKB20U953074105
2008 TOYOTA PRIUS VIN NO JTDKB20U183450932
2008 TOYOTA PRIUS VIN NO JTDKB20UX83458009
2005 TOYOTA PRIUS VIN NO JTDKB20UX53075019</t>
  </si>
  <si>
    <t>SEGU5934160 / FG32157/45'HQ</t>
  </si>
  <si>
    <t>6 UNITS</t>
  </si>
  <si>
    <t>SEGU5934160 / FG32157</t>
  </si>
  <si>
    <t>H-SRUN22641/20</t>
  </si>
  <si>
    <t>C.V.E.T</t>
  </si>
  <si>
    <t>(DEVEL LOG MR. RATANA)</t>
  </si>
  <si>
    <t>347</t>
  </si>
  <si>
    <t>OMPLCHPNH200001</t>
  </si>
  <si>
    <t>-</t>
  </si>
  <si>
    <t>028/2020</t>
  </si>
  <si>
    <t>NP SAMUTSAKHON V.2042S</t>
  </si>
  <si>
    <t>348</t>
  </si>
  <si>
    <t>3481</t>
  </si>
  <si>
    <t>3482</t>
  </si>
  <si>
    <t>349</t>
  </si>
  <si>
    <t>3491</t>
  </si>
  <si>
    <t>350</t>
  </si>
  <si>
    <t>3501</t>
  </si>
  <si>
    <t>024A567034</t>
  </si>
  <si>
    <t>WHSU5478806/WHLH881894/40'HC</t>
  </si>
  <si>
    <t>024A565684</t>
  </si>
  <si>
    <t>WHSU5710681/WHLH893675/40'HC</t>
  </si>
  <si>
    <t>295 CTNS</t>
  </si>
  <si>
    <t>KMSRPNH-2020120004</t>
  </si>
  <si>
    <t>STRETCH FILM</t>
  </si>
  <si>
    <t>HTLU2020201/HQ/19.0391819/45'HC</t>
  </si>
  <si>
    <t>544 CTNS</t>
  </si>
  <si>
    <t>PONU7511610/ML-CN5934529/40'HC
SUDU6909639/ML-CN5934528/40'HC</t>
  </si>
  <si>
    <t>1440 BUNDLES</t>
  </si>
  <si>
    <t>KMTCXGG1775393</t>
  </si>
  <si>
    <t>GESU6764443/CC861694/40'HC</t>
  </si>
  <si>
    <t xml:space="preserve">138 CTNS </t>
  </si>
  <si>
    <t>COAU7228088260</t>
  </si>
  <si>
    <t>TEMU6081849/CK489913/40'HQ</t>
  </si>
  <si>
    <t>260 CTNS</t>
  </si>
  <si>
    <t>YMLUI232185350</t>
  </si>
  <si>
    <t>CHEST FREEZER</t>
  </si>
  <si>
    <t>BEAU4301972/YMAH499065/40'HQ</t>
  </si>
  <si>
    <t>52 CTNS</t>
  </si>
  <si>
    <t>351</t>
  </si>
  <si>
    <t>KMSRPNH-2020120003</t>
  </si>
  <si>
    <t>GMTU8001029/HQ/19.0391635/45'HC</t>
  </si>
  <si>
    <t>FULLWELL MR. KHEAMARA)</t>
  </si>
  <si>
    <t xml:space="preserve">M H SERVICE CENTER CO., LTD </t>
  </si>
  <si>
    <t>352</t>
  </si>
  <si>
    <t>353</t>
  </si>
  <si>
    <t>3531</t>
  </si>
  <si>
    <t>354</t>
  </si>
  <si>
    <t>3541</t>
  </si>
  <si>
    <t>KMSRPNH-2020120006</t>
  </si>
  <si>
    <t>GMTU8000763/HQ/19.0392136/45'HC</t>
  </si>
  <si>
    <t>355</t>
  </si>
  <si>
    <t>ONEYRICAFH843700</t>
  </si>
  <si>
    <t>TWO RCP ASIA CO., LTD</t>
  </si>
  <si>
    <t>DRYU4567063/1711645/45HQ</t>
  </si>
  <si>
    <t>EXPORTOUT</t>
  </si>
  <si>
    <t>BRIDGE V.0155N</t>
  </si>
  <si>
    <t>USED LEFT HAND DRIVE AUTOMOBILE
2012 LEXUS CT 200H, 2005 TOYOTA PRIUS, 2005 TOYOTA PRIUS, 2007 TOYOTA PRIUS, 2008 TOYOTA PRIUS, 2008 TOYOTA PRIUS</t>
  </si>
  <si>
    <t>356</t>
  </si>
  <si>
    <t>3561</t>
  </si>
  <si>
    <t>357</t>
  </si>
  <si>
    <t>3571</t>
  </si>
  <si>
    <t>3572</t>
  </si>
  <si>
    <t>GOSUXNG1018538</t>
  </si>
  <si>
    <t>ZCSU8692100/ZZCXG205517/40'HC</t>
  </si>
  <si>
    <t>452 CTNS</t>
  </si>
  <si>
    <t>HDMUAUWB1998107</t>
  </si>
  <si>
    <t>HDMU2705244/SCS21989/20'DC</t>
  </si>
  <si>
    <t>750 P'KGS</t>
  </si>
  <si>
    <t>MRSU3456650/ML-CN6321689/40'HC</t>
  </si>
  <si>
    <t>WBPU7058992/TSH1197497/40'HQ</t>
  </si>
  <si>
    <t>780010012681</t>
  </si>
  <si>
    <t>OOLU2651454332</t>
  </si>
  <si>
    <t>CSNU7899623/OOLGJC8179/40'HQ</t>
  </si>
  <si>
    <t>(FULLWEL: Mr. KHEMARA)</t>
  </si>
  <si>
    <t>358</t>
  </si>
  <si>
    <t>SHAWD062667</t>
  </si>
  <si>
    <t>TF MOTORS (CAMBODIA) CO., LTD</t>
  </si>
  <si>
    <t>CAM20200909S</t>
  </si>
  <si>
    <t>NEW MG CAR</t>
  </si>
  <si>
    <t>BHCU4981304-40'
BHCU5000305-40'
CAIU4237646-40'
CAIU8378489-40'
DFSU7501883-40'
DRYU9176436-40'
IAAU1686775-40'
IAAU1693619-40'
IAAU1707034-40'
IAAU1716463-40'
IAAU1717161-40'
IAAU1720421-40'
IAAU1769592-40'
IAAU1771012-40'
IAAU1779780-40'
IAAU1782146-40'
IAAU1786286-40'
SEKU4115260-40'
SEKU4116862-40'
TCKU6026750-40'
TCLU8696470-40'
TEMU7578193-40'
TGBU7713420-40'</t>
  </si>
  <si>
    <t>66 UNITS</t>
  </si>
  <si>
    <t>359</t>
  </si>
  <si>
    <t>KMSRPNH-2020120009</t>
  </si>
  <si>
    <t>GMTU8000552/HQ/19.0392411/45'HC</t>
  </si>
  <si>
    <t>360</t>
  </si>
  <si>
    <t>CF20201113-01</t>
  </si>
  <si>
    <t>HYDRO POWER LOWER SESAN 2 CO.LTD</t>
  </si>
  <si>
    <t>PVC PIPE EQUIPMENT, ENGINEERING MATERIALS, RECORDING EQUIPMENT, HIGH VOLTAGE ELECTRICAL APPLIANCES, PLUG AND SOCKET, REFRACTORY, CEMENT MATERIALS, CIRCUIT PROTECTION DEVICE, DATA PROCESSING EQUIPMENT, ELECTRICAL EQUIPMENT, CONSTRUCTION MATERIALS AND SPARE PARTS</t>
  </si>
  <si>
    <t>13 PACKAGES</t>
  </si>
  <si>
    <t>1. APHU4534490/KA001525/45HQ</t>
  </si>
  <si>
    <t>- Applied TP: 03.12.20, TP Ref: 04121 (03.12.20) 
- Off set: 12.12.2020</t>
  </si>
  <si>
    <t>- Applied TP: 02.12.20, TP Ref: 04088 (02.12.20) 
- Off set: 12.12.2020</t>
  </si>
  <si>
    <t>- Applied TP: 02.12.20, TP Ref: 04089 (02.12.20) 
- Off set: 12.12.2020</t>
  </si>
  <si>
    <t>- Applied TP: 02.12.20, TP Ref: 04090 (02.12.20) 
- Off set: 12.12.2020</t>
  </si>
  <si>
    <t>- Applied TP: 02.12.20, TP Ref: 04122 (02.12.20) 
- Off set: 12.12.2020</t>
  </si>
  <si>
    <t>- Applied TP: 04.12.20, TP Ref: 04138 (04.12.20) 
- Off set: 12.12.2020</t>
  </si>
  <si>
    <t>- Applied TP: 04.12.20, TP Ref: Cancel at last minute (04.12.20) 
- Off set: 12.12.2020</t>
  </si>
  <si>
    <t>- Applied TP: 07.12.20, TP Ref: 04153 (07.12.20) 
- Off set: 12.12.2020</t>
  </si>
  <si>
    <t>- Applied TP: 07.12.20, TP Ref: 04162 (08.12.20) 
- Off set: 12.12.2020</t>
  </si>
  <si>
    <t>- Applied TP: 07.12.20, TP Ref: 04163 (08.12.20) 
- Off set: 12.12.2020</t>
  </si>
  <si>
    <t>- Applied TP: 07.12.20, TP Ref: 04161 (08.12.20) 
- Off set: 12.12.2020</t>
  </si>
  <si>
    <t>- Applied TP: 08.12.20, TP Ref: 04192 (09.12.20) 
- Off set: 12.12.2020</t>
  </si>
  <si>
    <t>- Applied TP: 09.12.20, TP Ref: 04193 (09.12.20) 
- Off set: 12.12.2020</t>
  </si>
  <si>
    <t>- Applied TP: 09.12.20, TP Ref: 04194 (09.12.20) 
- Off set: 12.12.2020</t>
  </si>
  <si>
    <t>- Applied TP: 10.12.20, TP Ref: 04216 (10.12.20) 
- Off set: 12.12.2020</t>
  </si>
  <si>
    <t>361</t>
  </si>
  <si>
    <t>KMSRPNH-2020120012</t>
  </si>
  <si>
    <t>1. GMTU8000589/HQ/19.0392862/45'HC</t>
  </si>
  <si>
    <t>12-Dec-2020</t>
  </si>
  <si>
    <t>362</t>
  </si>
  <si>
    <t>ONEYBH8RA1920300</t>
  </si>
  <si>
    <t>BRIDGE V.0156N</t>
  </si>
  <si>
    <t>BAHRAIN ISLAND</t>
  </si>
  <si>
    <t>1. DRYU6045670/BH002191A/40HQ</t>
  </si>
  <si>
    <t>AG AUTO</t>
  </si>
  <si>
    <t>363</t>
  </si>
  <si>
    <t>3631</t>
  </si>
  <si>
    <t>3632</t>
  </si>
  <si>
    <t>364</t>
  </si>
  <si>
    <t>3641</t>
  </si>
  <si>
    <t>GOSUXNG1018539</t>
  </si>
  <si>
    <t>STEEL DOOR FRAME, STEEL DOOR, SCAFFOLDING, OFFICE FURNITURE</t>
  </si>
  <si>
    <t>1. ZCSU8436855/ZZCXG193318/40'HC</t>
  </si>
  <si>
    <t>365 CTNS</t>
  </si>
  <si>
    <t>COAU7227752925</t>
  </si>
  <si>
    <t>STEEL DOOR FRAME, STEEL DOOR, SCAFFOLDING, FURNITURE</t>
  </si>
  <si>
    <t>2. TRLU8152964/CM275567/40'HQ</t>
  </si>
  <si>
    <t>428 CTNS</t>
  </si>
  <si>
    <t>COAU7227752924</t>
  </si>
  <si>
    <t>3. TEMU6004082/CK495730/40'HQ</t>
  </si>
  <si>
    <t>HASLC5T201101503</t>
  </si>
  <si>
    <t>1. TEMU8167031/102227/40'HQ</t>
  </si>
  <si>
    <t xml:space="preserve">KUN SHAN </t>
  </si>
  <si>
    <t>HASLC5T201101502</t>
  </si>
  <si>
    <t>2. TCLU5267852/102226/40'HQ</t>
  </si>
  <si>
    <t>148 CTNS</t>
  </si>
  <si>
    <t>LEXUS LX 570 S-MDL 2021
CHASSIS NO:JTJHY00W2M4335580,JTJHY00W5M4335671
ENGINE NO:3UR-3471609,​ 3UR-3471796</t>
  </si>
  <si>
    <t>365</t>
  </si>
  <si>
    <t>KMSRPNH-2020120014</t>
  </si>
  <si>
    <t>1. WJLU2020008/0393243/45'HC</t>
  </si>
  <si>
    <t>338 CTNS</t>
  </si>
  <si>
    <t>366</t>
  </si>
  <si>
    <t>713010303879</t>
  </si>
  <si>
    <t>1. RFCU5125095/TSP0484861/40'HQ</t>
  </si>
  <si>
    <t>700 CTNS</t>
  </si>
  <si>
    <t>3661</t>
  </si>
  <si>
    <t>NSSLHGHCC2000617</t>
  </si>
  <si>
    <t>2. TGBU5076977/NS1862906/40'HC</t>
  </si>
  <si>
    <t>367</t>
  </si>
  <si>
    <t>024A571075</t>
  </si>
  <si>
    <t>1. WHSU5662074/WHLH898930/40'HC</t>
  </si>
  <si>
    <t>368</t>
  </si>
  <si>
    <t>KMSRPNH-2020120017A</t>
  </si>
  <si>
    <t>1. GMTU8000779/HQ/19.0393805/45'HC</t>
  </si>
  <si>
    <t>3681</t>
  </si>
  <si>
    <t>KMSRPNH-2020120018B</t>
  </si>
  <si>
    <t>BABY TOYS</t>
  </si>
  <si>
    <t>2. XNKU8818023/HQ/19 0393896/45'HC</t>
  </si>
  <si>
    <t>510 CTNS</t>
  </si>
  <si>
    <t>- Applied TP: 11.12.20, TP Ref: 04231 (11.12.20) 
- Off set: 21.12.2020</t>
  </si>
  <si>
    <t>- Applied TP: 14.12.20, TP Ref: 04253 (14.12.20) 
- Off set: 21.12.2020</t>
  </si>
  <si>
    <t>- Applied TP: 15.12.20, TP Ref: 04269 (15.12.20) 
- Off set: 21.12.2020</t>
  </si>
  <si>
    <t>- Applied TP: 15.12.20, TP Ref: 04270 (15.12.20) 
- Off set: 21.12.2020</t>
  </si>
  <si>
    <t>- Applied TP: 16.12.20, TP Ref: 04294 (16.12.20) 
- Off set: 21.12.2020</t>
  </si>
  <si>
    <t>- Applied TP: 18.12.20, TP Ref: 04329 (18.12.20) 
- Off set: 21.12.2020</t>
  </si>
  <si>
    <t>- Applied TP: 18.12.20, TP Ref: 04328 (18.12.20) 
- Off set: 21.12.2020</t>
  </si>
  <si>
    <t>- Applied TP: 15.12.20, TP Ref: 04268 (15.12.20) 
- Off set: 21.12.2020</t>
  </si>
  <si>
    <t>- Applied TP: 28.10.20, TP Ref: 03661 (28.10.20) 
- Off set: 28.10.2020</t>
  </si>
  <si>
    <t>- Applied TP: 03.11.20, TP Ref: 03690 (03.11.20) 
- Off set: 11.11.2020</t>
  </si>
  <si>
    <t>369</t>
  </si>
  <si>
    <t>KMSRPNH-2020120019C</t>
  </si>
  <si>
    <t>1.MOLU1124254/HQ/19 0394099/45'HC</t>
  </si>
  <si>
    <t>- Applied TP: 21.12.20, TP Ref: 04354 (21.12.20) 
- Off set: 22.12.2020</t>
  </si>
  <si>
    <t>GMD20HPHPNH0130</t>
  </si>
  <si>
    <t>370</t>
  </si>
  <si>
    <t>20201209/VP-BJC-KH</t>
  </si>
  <si>
    <t>VN-KH 20/01/40832</t>
  </si>
  <si>
    <t>PHUOC LONG 10  V.097W</t>
  </si>
  <si>
    <t>GMDU8184777-40', GMDU8188290-40'</t>
  </si>
  <si>
    <t>-TP: 018/20 (27.10.2020)
- IM8: T11 (27.10.2020), Truck PPAP: 28.10.2020
- PENDING C/O FORM D FROM THAI
IM4: I298 (12.11.2020), OS: 16.11.2020</t>
  </si>
  <si>
    <t>371</t>
  </si>
  <si>
    <t>COAU7227242700</t>
  </si>
  <si>
    <t>STEEL DOOR FRAME, STEEL DOOR, SCAFFOLDING</t>
  </si>
  <si>
    <t>3711</t>
  </si>
  <si>
    <t>COAU7227262363</t>
  </si>
  <si>
    <t>1. TGHU8937941/CM276944/40'HQ</t>
  </si>
  <si>
    <t>2. GESU6820573/CM106144/40'HQ</t>
  </si>
  <si>
    <t>580 P'KGS</t>
  </si>
  <si>
    <t>372</t>
  </si>
  <si>
    <t>027A713052</t>
  </si>
  <si>
    <t>H U A Y (CAMBODIA) INTERNATIONAL AUTO TRADE CO., LTD</t>
  </si>
  <si>
    <t>TYTCAM2030</t>
  </si>
  <si>
    <t xml:space="preserve">NEW SOUEAST BRAND CAR </t>
  </si>
  <si>
    <t>1. DFSU7595244-40’
2. WHLU5560143-40’
3. WHLU5708734-40’
4. WHLU5762967-40’
5. WHLU5783208-40’
6. WHSU5235175-40’
7. WHSU5260814-40’
8. WHSU5313241-40’
9. WHSU5322639-40’
10. WHSU5585846-40’</t>
  </si>
  <si>
    <t>30 UNITS</t>
  </si>
  <si>
    <t>BAODING</t>
  </si>
  <si>
    <t>373</t>
  </si>
  <si>
    <t>KMSRPNH-2020120021</t>
  </si>
  <si>
    <t>PVC WALL PANEL</t>
  </si>
  <si>
    <t>1. CCLU9945170/HQ/19.0394604/45'HC</t>
  </si>
  <si>
    <t>200 PACKAGES</t>
  </si>
  <si>
    <t>374</t>
  </si>
  <si>
    <t>ONEYRICAEX292900</t>
  </si>
  <si>
    <t>USED LEFT HAND DRIVE AUTOMOBILE
2010 TOYOTA PRIUS, 2002 TOYOTA CAMRY, 2012 TOYOTA PRIUS, 2007 TOYOTA CAMRY, 2010 TOYOTA PRIUS</t>
  </si>
  <si>
    <t>ATLANTIC</t>
  </si>
  <si>
    <t>1.​ SEGU5896455/2631597/45'HQ</t>
  </si>
  <si>
    <t>KMSRPNH-2020120023</t>
  </si>
  <si>
    <t>375</t>
  </si>
  <si>
    <t>1. GMTU8000779/HQ/19.0394746/45'HC</t>
  </si>
  <si>
    <t>131 BALES</t>
  </si>
  <si>
    <t>GMDU8185834-40', GMDU8180302-40', GMDU8180452-40'</t>
  </si>
  <si>
    <t>376</t>
  </si>
  <si>
    <t>3761</t>
  </si>
  <si>
    <t>3762</t>
  </si>
  <si>
    <t>KMSRPNH-2020120025</t>
  </si>
  <si>
    <t>PLASTIC FURNITURE FEET</t>
  </si>
  <si>
    <t>1. NYKU4563110/HQ/19.0395029/45'HC</t>
  </si>
  <si>
    <t>600 CTNS</t>
  </si>
  <si>
    <t>HASLC5T201200554</t>
  </si>
  <si>
    <t>2. DFSU6008126/HASD728290/40'HQ
3. DFSU6226283/HASD728353/40'HQ</t>
  </si>
  <si>
    <t>646 P'KGS</t>
  </si>
  <si>
    <t>HASLC5T201200555</t>
  </si>
  <si>
    <t>4. MAGU5625192/HASD730167/40'HQ</t>
  </si>
  <si>
    <t xml:space="preserve">LIANJIANG </t>
  </si>
  <si>
    <t>377</t>
  </si>
  <si>
    <t>COAU7228508120</t>
  </si>
  <si>
    <t>1. CSNU7233473/T657225/40'HQ</t>
  </si>
  <si>
    <t>1230 BUNDLES</t>
  </si>
  <si>
    <t xml:space="preserve">DONGGUAN </t>
  </si>
  <si>
    <t>3771</t>
  </si>
  <si>
    <t>COAU7227695332</t>
  </si>
  <si>
    <t>,</t>
  </si>
  <si>
    <t>2. CCLU7185886/CM271432/40'HQ</t>
  </si>
  <si>
    <t>395 CTNS</t>
  </si>
  <si>
    <t>3772</t>
  </si>
  <si>
    <t>CULSHK20030156</t>
  </si>
  <si>
    <t>3. TCNU7302796/E158688/40'HC
4. TGBU8970830/E158687/40'HC</t>
  </si>
  <si>
    <t>647 CTNS</t>
  </si>
  <si>
    <t>378</t>
  </si>
  <si>
    <t>MAERSK ATLANTIC V.053N</t>
  </si>
  <si>
    <t>ELIZABETH NJ</t>
  </si>
  <si>
    <t>PRESTIGE</t>
  </si>
  <si>
    <t>2015 PORSCHE Macan S, 2015 MERCEDES-BENZ C-Class C300 4MATIC, 2016 PORSCHE Macan S, 2014 BMW i8 BASE</t>
  </si>
  <si>
    <t>1. MSKU4568611/048520/45'HC</t>
  </si>
  <si>
    <t>379</t>
  </si>
  <si>
    <t>- Applied TP: 22.12.20, TP Ref: 04377 (22.12.20) 
- Off set: 04.01.2021</t>
  </si>
  <si>
    <t>- Applied TP: 23.12.20, TP Ref: 04388 (22.12.20) 
- Off set: 04.01.2021</t>
  </si>
  <si>
    <t>- Applied TP: 25.12.20, TP Ref: 04428 (25.12.20) 
- Off set: 04.01.2021</t>
  </si>
  <si>
    <t>- Applied TP: 28.12.20, TP Ref: 04462 (28.12.20) 
- Off set: 04.01.2021</t>
  </si>
  <si>
    <t>- Applied TP: 29.12.20, TP Ref: 04487 (29.12.20) 
- Off set: 04.01.2021</t>
  </si>
  <si>
    <t>- Applied TP: 31.12.20, TP Ref: 04524 (31.12.20) 
- Off set: 04.01.2021</t>
  </si>
  <si>
    <t>- Applied TP: 25.12.20, TP Ref: 04427 (25.12.20) 
- Off set: 04.01.2021</t>
  </si>
  <si>
    <t>380</t>
  </si>
  <si>
    <t>KMSRPNH-2021010002B</t>
  </si>
  <si>
    <t>1. MAEU4522085/HQ/19.0395798/45'HC</t>
  </si>
  <si>
    <t>3801</t>
  </si>
  <si>
    <t>KMSRPNH-2021010001A</t>
  </si>
  <si>
    <t>2. TTNU9891358/HQ/19.0395758/45'HC</t>
  </si>
  <si>
    <t>381</t>
  </si>
  <si>
    <t>KMSRPNH-2021010003C</t>
  </si>
  <si>
    <t>1. MSKU4505254/HQ/19.0357971/45'HC</t>
  </si>
  <si>
    <t>3811</t>
  </si>
  <si>
    <t>KMSRPNH-2021010005E</t>
  </si>
  <si>
    <t>2. GMTU8000125/HQ/19.0397963/45'HC</t>
  </si>
  <si>
    <t>382</t>
  </si>
  <si>
    <t>YMLUZ580076644</t>
  </si>
  <si>
    <t>KMTCXGG1814362</t>
  </si>
  <si>
    <t>721011420143</t>
  </si>
  <si>
    <t xml:space="preserve">940 P'KGS </t>
  </si>
  <si>
    <t>A78AA13627</t>
  </si>
  <si>
    <t>A78AA13897</t>
  </si>
  <si>
    <t xml:space="preserve">1480 P'KGS </t>
  </si>
  <si>
    <t>YMLUI232186474</t>
  </si>
  <si>
    <t xml:space="preserve">WATER PUMP </t>
  </si>
  <si>
    <t xml:space="preserve">590 CTNS </t>
  </si>
  <si>
    <t>383</t>
  </si>
  <si>
    <t>3831</t>
  </si>
  <si>
    <t>3832</t>
  </si>
  <si>
    <t>384</t>
  </si>
  <si>
    <t>3841</t>
  </si>
  <si>
    <t>3842</t>
  </si>
  <si>
    <t>1. IAAU1765771/IAAF306827/40'SD</t>
  </si>
  <si>
    <t>2. IAAU1687405/IAAF306946/40'HQ</t>
  </si>
  <si>
    <t>3. TLLU5328597/CC860330/40'HC</t>
  </si>
  <si>
    <t>1. WBPU7006520/TSP0503606/40'HQ</t>
  </si>
  <si>
    <t>2. TCKU1254994/YMAH291147/20'DC</t>
  </si>
  <si>
    <t>3. BEAU2540659/YMAI055149/20'DC</t>
  </si>
  <si>
    <t>385</t>
  </si>
  <si>
    <t>LAX-CAM-D2004</t>
  </si>
  <si>
    <t>BRIDGE V.0160N</t>
  </si>
  <si>
    <t>1927 ROLLS ROYCE PHANTOM</t>
  </si>
  <si>
    <t>1. TCKU2760507/SSC0110367/20'GP</t>
  </si>
  <si>
    <t>DN AMERICAN</t>
  </si>
  <si>
    <t>3851</t>
  </si>
  <si>
    <t>LAX-CAM-D2003</t>
  </si>
  <si>
    <t>1934 MERCEDES</t>
  </si>
  <si>
    <t>2. GCXU2282694/SSC0110396/20'GP</t>
  </si>
  <si>
    <t>AAWE022779</t>
  </si>
  <si>
    <t>NEW CAR HONGQI</t>
  </si>
  <si>
    <t>CMAU5739723, CMAU5755895, CMAU7083439, SEGU6215303</t>
  </si>
  <si>
    <t>9 UNITS</t>
  </si>
  <si>
    <t>PKEKOS20C0006</t>
  </si>
  <si>
    <t>H-SRUNC0006/20</t>
  </si>
  <si>
    <t>TW</t>
  </si>
  <si>
    <t>TOYATA GRANVIA</t>
  </si>
  <si>
    <t>GAMA GLOBLA</t>
  </si>
  <si>
    <t>386</t>
  </si>
  <si>
    <t>3861</t>
  </si>
  <si>
    <t>3862</t>
  </si>
  <si>
    <t>387</t>
  </si>
  <si>
    <t>3871</t>
  </si>
  <si>
    <t>3872</t>
  </si>
  <si>
    <t>KMSRPNH-2021010006F</t>
  </si>
  <si>
    <t>1. HSDU2019015/HQ/20.0009683/45'HC</t>
  </si>
  <si>
    <t>YMLUI221009923</t>
  </si>
  <si>
    <t>2. TCNU1852120/YMAI652320/40'HQ</t>
  </si>
  <si>
    <t>713010333203</t>
  </si>
  <si>
    <t>3. TCNU3426778/TSP0475872/40'HQ</t>
  </si>
  <si>
    <t>OOLU2650253160</t>
  </si>
  <si>
    <t>1. OOLU9029548/APEX02266/45'HQ</t>
  </si>
  <si>
    <t>150 CTNS</t>
  </si>
  <si>
    <t>HASLC01201207393</t>
  </si>
  <si>
    <t>2. WBPU7076471/168287/40'HQ</t>
  </si>
  <si>
    <t>YMLUI228353965</t>
  </si>
  <si>
    <t>PLASTIC PLATE</t>
  </si>
  <si>
    <t>3. TCNU3048929/YMAI349811/40'HQ</t>
  </si>
  <si>
    <t>131 CTNS</t>
  </si>
  <si>
    <t>388</t>
  </si>
  <si>
    <t>GAS STOVE</t>
  </si>
  <si>
    <t>1. SHLU8160031/008004/45'HC</t>
  </si>
  <si>
    <t>500 CTNS</t>
  </si>
  <si>
    <t>3881</t>
  </si>
  <si>
    <t>KMSRPNH-2021010008A</t>
  </si>
  <si>
    <t>2. CCLU9921203/HQ/20.0009842/45'HC</t>
  </si>
  <si>
    <t>3882</t>
  </si>
  <si>
    <t>KMSRPNH-2021010010C</t>
  </si>
  <si>
    <t>3. HSDU9988016/HQ/20.0009963/45'HC</t>
  </si>
  <si>
    <t>KMSRPNH-2021010010D</t>
  </si>
  <si>
    <t>1. CAXU5804453/HQ/20.0009798/45'HC</t>
  </si>
  <si>
    <t>389</t>
  </si>
  <si>
    <t>390</t>
  </si>
  <si>
    <t>3901</t>
  </si>
  <si>
    <t>3902</t>
  </si>
  <si>
    <t>3903</t>
  </si>
  <si>
    <t>3904</t>
  </si>
  <si>
    <t>3905</t>
  </si>
  <si>
    <t>391</t>
  </si>
  <si>
    <t>3911</t>
  </si>
  <si>
    <t>3912</t>
  </si>
  <si>
    <t>3913</t>
  </si>
  <si>
    <t>392</t>
  </si>
  <si>
    <t>3921</t>
  </si>
  <si>
    <t>3922</t>
  </si>
  <si>
    <t>713010340898</t>
  </si>
  <si>
    <t>1. DFSU7579752/TSP0476495/40'HQ</t>
  </si>
  <si>
    <t>A78AA13979</t>
  </si>
  <si>
    <t>2. TCNU8385563/IAAF306896/40'HQ</t>
  </si>
  <si>
    <t>KMSRPNH-2021010012E</t>
  </si>
  <si>
    <t>3. PONU3028265/HQ/20 0010112/45'HC</t>
  </si>
  <si>
    <t>498 CTNS</t>
  </si>
  <si>
    <t>KMSRPNH-2021010013F</t>
  </si>
  <si>
    <t>4. HDMU6944150/HQ/20.0010155/45'HC</t>
  </si>
  <si>
    <t>712110001401</t>
  </si>
  <si>
    <t>1. RFCU5126316/TSP0578995/40'HQ</t>
  </si>
  <si>
    <t>1500 PKGS</t>
  </si>
  <si>
    <t>ZONGSHAN</t>
  </si>
  <si>
    <t>712110000299</t>
  </si>
  <si>
    <t>2.BSIU9954687/TSP0578959/40'HQ</t>
  </si>
  <si>
    <t>378 CTNS</t>
  </si>
  <si>
    <t>712110000244</t>
  </si>
  <si>
    <t>3. DRYU9696079/TSP0578839/40'HQ</t>
  </si>
  <si>
    <t>393</t>
  </si>
  <si>
    <t>024A577941</t>
  </si>
  <si>
    <t>26, 600.00</t>
  </si>
  <si>
    <t>1.​WHLU5700116/WHLH882291/40'HC</t>
  </si>
  <si>
    <t>1520 PKGS</t>
  </si>
  <si>
    <t>3931</t>
  </si>
  <si>
    <t>KMSRPNH-2021010014G</t>
  </si>
  <si>
    <t>2.​​APMU4522980/HQ/20.0010505/45'HC</t>
  </si>
  <si>
    <t>394</t>
  </si>
  <si>
    <t>KMSRPNH-2021010015H</t>
  </si>
  <si>
    <t>CERAMIC DISHES</t>
  </si>
  <si>
    <t>1.ZCSU9005277/HQ/20.0010177/45'HC</t>
  </si>
  <si>
    <t>1400 CTNS</t>
  </si>
  <si>
    <t>395</t>
  </si>
  <si>
    <t>396</t>
  </si>
  <si>
    <t>KMSRPNH-2021010016I</t>
  </si>
  <si>
    <t>1. OOLU5423070/HQ/20.0010541/45'HC</t>
  </si>
  <si>
    <t>H-SRUN710107</t>
  </si>
  <si>
    <t>LAND ROVER RANGE ROVER SPORT</t>
  </si>
  <si>
    <t>GOLDEN WORLD INTERTRANS CO.,LTD</t>
  </si>
  <si>
    <t>LAND ROVER RANGE ROVER AUTOBIOGRAPHY</t>
  </si>
  <si>
    <t>075669</t>
  </si>
  <si>
    <t>LAND ROVER RANGE ROVER
EVOQUE &amp; JAGUAR F-PACE</t>
  </si>
  <si>
    <t>JAGUAR XJ &amp; JAGUAR E-PACE</t>
  </si>
  <si>
    <t>1 UNITS</t>
  </si>
  <si>
    <t>TRVS2101001</t>
  </si>
  <si>
    <t>CHIM POLY</t>
  </si>
  <si>
    <t>TADA</t>
  </si>
  <si>
    <t>MVL-201228-1</t>
  </si>
  <si>
    <t>KR</t>
  </si>
  <si>
    <t>ONION" BRAND
PROTO TYPE
NEW CBU OF ELECTRIC 3 WHEELER
MODEL NAME: T1
YEAR: 2020</t>
  </si>
  <si>
    <t>BSIU2785498-20'</t>
  </si>
  <si>
    <t>MYOUNGSHIN</t>
  </si>
  <si>
    <t>-TP Ref: 00012 (04.01.20) 
- Off set: 14.01.2021</t>
  </si>
  <si>
    <t>-TP Ref: 00025 (05.01.20) 
- Off set: 14.01.2021</t>
  </si>
  <si>
    <t>-TP Ref: 00027 (05.01.20) 
- Off set: 14.01.2021</t>
  </si>
  <si>
    <t>-TP Ref: 00048 (06.01.20) 
- Off set: 14.01.2021</t>
  </si>
  <si>
    <t>-TP Ref: 00047 (06.01.20) 
- Off set: 14.01.2021</t>
  </si>
  <si>
    <t>-TP Ref: 00049 (06.01.20) 
- Off set: 14.01.2021</t>
  </si>
  <si>
    <t>-TP Ref: 00073 (08.01.20) 
- Off set: 14.01.2021</t>
  </si>
  <si>
    <t>-TP Ref: 00092 (08.01.20) 
- Off set: 14.01.2021</t>
  </si>
  <si>
    <t>-TP Ref: 00093 (08.01.20) 
- Off set: 14.01.2021</t>
  </si>
  <si>
    <t>-TP Ref: 00127 (12.01.20) 
- Off set: 14.01.2021</t>
  </si>
  <si>
    <t>-TP Ref: 00139 (13.01.20) 
- Off set: 14.01.2021</t>
  </si>
  <si>
    <t>-TP Ref: 00148 (13.01.20) 
- Off set: 14.01.2021</t>
  </si>
  <si>
    <t xml:space="preserve">- Applied TP: 21.10.20, TP Ref: 03568 (21.10.20) 
- Off set: 28.10.2020
- Offset: extend 14.01.2021 </t>
  </si>
  <si>
    <t>- Applied TP:26.11.20 TP Ref: 04023 (26.11.20) 
- Off set IM7: 02.12.2020
-​ Off set: IM4 I425 (1U):14.01.2021</t>
  </si>
  <si>
    <t>-Offset: IM4 I418 (1U): 14.01.2021</t>
  </si>
  <si>
    <t>397</t>
  </si>
  <si>
    <t>3971</t>
  </si>
  <si>
    <t>KMSRPNH-2021010017J</t>
  </si>
  <si>
    <t>1. MFSU8563184/HQ/20.0010739/45'HC</t>
  </si>
  <si>
    <t>124 BALES</t>
  </si>
  <si>
    <t>KMSRPNH-2021010018K</t>
  </si>
  <si>
    <t>2. KALU1145001/HQ/20 0010902/45'HC</t>
  </si>
  <si>
    <t>398</t>
  </si>
  <si>
    <t>3981</t>
  </si>
  <si>
    <t>KMSRPNH-2021010019L</t>
  </si>
  <si>
    <t>1. GMTU8000784/HQ/20.0010989/45'HC</t>
  </si>
  <si>
    <t>CNH0266448</t>
  </si>
  <si>
    <t>2. TRHU3852843/P8187031/20'GP</t>
  </si>
  <si>
    <t>940 P'KGS</t>
  </si>
  <si>
    <t>399</t>
  </si>
  <si>
    <t>3991</t>
  </si>
  <si>
    <t>3992</t>
  </si>
  <si>
    <t>400</t>
  </si>
  <si>
    <t>4001</t>
  </si>
  <si>
    <t>401</t>
  </si>
  <si>
    <t>4011</t>
  </si>
  <si>
    <t>A78AA14078</t>
  </si>
  <si>
    <t>1. IAAU1771162/IAAF307372/40'HC</t>
  </si>
  <si>
    <t>A78AA13940</t>
  </si>
  <si>
    <t>2. SEKU4118232/IAAF306886/40'HC
3. TLLU8225231/IAAF306885/40'HC</t>
  </si>
  <si>
    <t>708 CTNS</t>
  </si>
  <si>
    <t>A78BA00071</t>
  </si>
  <si>
    <t>4. MAGU5429728/IAAF306619/40'HC</t>
  </si>
  <si>
    <t>712010522211</t>
  </si>
  <si>
    <t>1. DFSU7832500/TSP0429402/40'HQ
2. TCNU6542215/TSP0434809/40'HQ</t>
  </si>
  <si>
    <t xml:space="preserve">2960 P'KGS </t>
  </si>
  <si>
    <t>COAU7229065390</t>
  </si>
  <si>
    <t>3. CCLU7730173/T329951/40'HQ</t>
  </si>
  <si>
    <t>KMSRPNH-2021010020M</t>
  </si>
  <si>
    <t>CARPET</t>
  </si>
  <si>
    <t>1. APLU4636504/HQ/20 0011065/45'HC</t>
  </si>
  <si>
    <t>472 ROLLS</t>
  </si>
  <si>
    <t>KMSRPNH-2021010021N</t>
  </si>
  <si>
    <t>2. GESU8606908/HQ/20 0011207/45'HC</t>
  </si>
  <si>
    <t>402</t>
  </si>
  <si>
    <t>1. HASU4321350/9731564/40'HC</t>
  </si>
  <si>
    <t>3 UNIT</t>
  </si>
  <si>
    <t>PRESTIGE SHIPPING INC</t>
  </si>
  <si>
    <t>MAERSK ATLANTIC V.102N</t>
  </si>
  <si>
    <t>USED CAR LEFT HAND DRIVE
2014 MERCEDES-BENZ CLA-CLASS CLA45 AMG, 2015 MERCEDES-BENZ CLA-CLASS CLA250, 2015 BMW I8 BASE</t>
  </si>
  <si>
    <t>403</t>
  </si>
  <si>
    <t>KMSRPNH-2021010022P</t>
  </si>
  <si>
    <t>1. SSDU9003670/HQ/20.0011282/45'HC</t>
  </si>
  <si>
    <t>404</t>
  </si>
  <si>
    <t>OMPLCHS210008</t>
  </si>
  <si>
    <t>001/2021</t>
  </si>
  <si>
    <t>NP SAMUTSAKHON V.2102S</t>
  </si>
  <si>
    <t>CARTON BOX, PLASTIC WRAPPER, SHRINK FILM, STICKER BARCODE, PAPER CORE</t>
  </si>
  <si>
    <t>405</t>
  </si>
  <si>
    <t>406</t>
  </si>
  <si>
    <t>AIR-LCL</t>
  </si>
  <si>
    <t>JSD-RN-0023/AIR</t>
  </si>
  <si>
    <t>FRANKFURT</t>
  </si>
  <si>
    <t>HDMU ETWB3831636</t>
  </si>
  <si>
    <t>H-SRUN31636/20</t>
  </si>
  <si>
    <t>CANADA</t>
  </si>
  <si>
    <t>CADILLAC ESCALADE ESV</t>
  </si>
  <si>
    <t>3,447.00​</t>
  </si>
  <si>
    <t>BSIU9632443-40’</t>
  </si>
  <si>
    <t>407</t>
  </si>
  <si>
    <t>4071</t>
  </si>
  <si>
    <t>4072</t>
  </si>
  <si>
    <t>408</t>
  </si>
  <si>
    <t>4081</t>
  </si>
  <si>
    <t>409</t>
  </si>
  <si>
    <t>4091</t>
  </si>
  <si>
    <t>712110011905</t>
  </si>
  <si>
    <t>YMLUI232187346</t>
  </si>
  <si>
    <t>YMLUI232187369</t>
  </si>
  <si>
    <t>COAU7228695148</t>
  </si>
  <si>
    <t>COAU7229407090</t>
  </si>
  <si>
    <t xml:space="preserve">1450 P'KGS </t>
  </si>
  <si>
    <t>KMSRPNH-2021010023Q</t>
  </si>
  <si>
    <t>KMSRPNH-2021010024R</t>
  </si>
  <si>
    <t>410</t>
  </si>
  <si>
    <t>KMSRPNH-2021010025S</t>
  </si>
  <si>
    <t>1. ECMU8008601/HQ/20.0011813/45'HC</t>
  </si>
  <si>
    <t>1.CBHU7051629/CM271312/40'HQ</t>
  </si>
  <si>
    <t>2.CSNU6109508/CM171662/40'HQ</t>
  </si>
  <si>
    <t>1.TSSU5026980/TSP0575204/40'HQ</t>
  </si>
  <si>
    <t>2.TCNU3061920/YMAI410661/40'HQ</t>
  </si>
  <si>
    <t>3.TEMU4921879/YMAI054391/20'DC</t>
  </si>
  <si>
    <t>1.UESU4842540/HQ/20.0011780/45'HC</t>
  </si>
  <si>
    <t>2.TRIU9748402/HQ/20 0011776/45'HC</t>
  </si>
  <si>
    <t>411</t>
  </si>
  <si>
    <t>HPPNH2101006</t>
  </si>
  <si>
    <t>20210107/VP-BJC-KH</t>
  </si>
  <si>
    <t xml:space="preserve"> GLS 16 V.103N </t>
  </si>
  <si>
    <t>GAOU6458820-40', GAOU6457042-40', GAOU6130656-40', GAOU6458096-40'</t>
  </si>
  <si>
    <t>144 ROLLS</t>
  </si>
  <si>
    <t>412</t>
  </si>
  <si>
    <t>KMSRPNH-2021010026T</t>
  </si>
  <si>
    <t>1.BTDU5002026/HQ/20.0011655/45'HC</t>
  </si>
  <si>
    <t>473 ROLLS</t>
  </si>
  <si>
    <t>413</t>
  </si>
  <si>
    <t>MERCEDES BENZ G63 AMG</t>
  </si>
  <si>
    <t>EMONS AIR</t>
  </si>
  <si>
    <t>414</t>
  </si>
  <si>
    <t>4141</t>
  </si>
  <si>
    <t>4142</t>
  </si>
  <si>
    <t>415</t>
  </si>
  <si>
    <t>4151</t>
  </si>
  <si>
    <t>DXBCB2000203801</t>
  </si>
  <si>
    <t>U.A.E</t>
  </si>
  <si>
    <t>AL MASA</t>
  </si>
  <si>
    <t>DXBCB2000203802</t>
  </si>
  <si>
    <t>DXBCB20002038</t>
  </si>
  <si>
    <t>FERRARI F430</t>
  </si>
  <si>
    <t>KMSRPNH-2021010027U</t>
  </si>
  <si>
    <t>1. HJCU9034133/HQ/20 0011981/45'HC</t>
  </si>
  <si>
    <t>467 CTNS</t>
  </si>
  <si>
    <t>KMSRPNH-2021010028V</t>
  </si>
  <si>
    <t>2. HSDU2019002/HQ/20 0011986/45'HC</t>
  </si>
  <si>
    <t>`</t>
  </si>
  <si>
    <t>416</t>
  </si>
  <si>
    <t>KMSRPNH-2021010029W</t>
  </si>
  <si>
    <t>1. OOLU9009834/HQ/20.0012398/45'HC</t>
  </si>
  <si>
    <t>-TP: 019/20 (10.11.2020)
- IM8: T12(11.11.2020), Truck OMP: 11.11.2020
- IM4: I298 (12.11.2020), OS: 16.11.2020
- Offset: 27.01.21</t>
  </si>
  <si>
    <t>-TP: 020/20
- IM8: T1039 (24.11.2020), Truck PPAP: 25.11.2020
- IM4: I298 (12.11.2020), OS: 16.11.2020
- Offset: 27.01.2021</t>
  </si>
  <si>
    <t>-TP: 018/20 (27.10.2020)
- IM8: T11 (27.10.2020), Truck PPAP: 28.10.2020
- IM4: I298 (12.11.2020), OS: 16.11.2020
- Offset: 27.01.2021</t>
  </si>
  <si>
    <t>- Offset: 04.01.07 (IM7)</t>
  </si>
  <si>
    <t>- Offset: IM7 &amp; IM4 27.01.21</t>
  </si>
  <si>
    <t>- Offset: 27.01.21</t>
  </si>
  <si>
    <t>NAWATA BHUM V.123N</t>
  </si>
  <si>
    <t>2. CAIU6454912/AEDXB1605362/20'GP</t>
  </si>
  <si>
    <t>3. TEMU0027835/AEDXB1605368/20'GP</t>
  </si>
  <si>
    <t>1. TEMU2214711/AEDXB1605378/20'GP</t>
  </si>
  <si>
    <t>LAMBORGHINI GALLARDO</t>
  </si>
  <si>
    <t>BMW 330I</t>
  </si>
  <si>
    <t>417</t>
  </si>
  <si>
    <t>4171</t>
  </si>
  <si>
    <t>4172</t>
  </si>
  <si>
    <t>1. MSKU0152797/ML-CN8017113/40'HC</t>
  </si>
  <si>
    <t>COAU7229402063</t>
  </si>
  <si>
    <t>2. BMOU5131670/CE500683/40'HQ 
3. FFAU2656916/16040791/40'HQ</t>
  </si>
  <si>
    <t>COAU7229402062</t>
  </si>
  <si>
    <t xml:space="preserve">4. TGBU5018008/17938587/40'HQ </t>
  </si>
  <si>
    <t>418</t>
  </si>
  <si>
    <t>KMSRPNH-2021010030X</t>
  </si>
  <si>
    <t>1. MOEU0501499/HQ/20.0012709/45'HC</t>
  </si>
  <si>
    <t>419</t>
  </si>
  <si>
    <t>420</t>
  </si>
  <si>
    <t>421</t>
  </si>
  <si>
    <t>422</t>
  </si>
  <si>
    <t>423</t>
  </si>
  <si>
    <t>4231</t>
  </si>
  <si>
    <t>4232</t>
  </si>
  <si>
    <t>KMSRPNH-2021020056</t>
  </si>
  <si>
    <t>1. CAXU3008678/HQ/20.0013065/45'HC</t>
  </si>
  <si>
    <t>KMSRPNH-2021020062</t>
  </si>
  <si>
    <t>2. JKLU4542614/HQ/20.0013086/45'HC</t>
  </si>
  <si>
    <t>KMSRPNH-2021020059</t>
  </si>
  <si>
    <t>3. FSCU8015860/HQ/20.0013104/45'HC</t>
  </si>
  <si>
    <t>120 BALES</t>
  </si>
  <si>
    <t>424</t>
  </si>
  <si>
    <t>HASLC5T210100071</t>
  </si>
  <si>
    <t>1. TEMU8484904/314637/40'HQ</t>
  </si>
  <si>
    <t>4241</t>
  </si>
  <si>
    <t>COAU7229402070</t>
  </si>
  <si>
    <t>2. FFAU3569056/16040324/40'HQ</t>
  </si>
  <si>
    <t>425</t>
  </si>
  <si>
    <t>KMSRPNH-2021020065</t>
  </si>
  <si>
    <t>PAPER BAG</t>
  </si>
  <si>
    <t>1. DBYU9918012/HQ/20.0013368/45'HC</t>
  </si>
  <si>
    <t>800 BAGS</t>
  </si>
  <si>
    <t>KMSRPNH-2021020068</t>
  </si>
  <si>
    <t>1. APMU4534640/HQ/20.0013513/45'HC</t>
  </si>
  <si>
    <t>712110052793</t>
  </si>
  <si>
    <t>2. TSSU5049538/TSP0431606/40'HQ
3. TSSU5047751/TSP0573674/40'HQ</t>
  </si>
  <si>
    <t xml:space="preserve">ZHEJIANG </t>
  </si>
  <si>
    <t>031B506045</t>
  </si>
  <si>
    <t xml:space="preserve">CHEST FREEZER </t>
  </si>
  <si>
    <t>4. WHSU5400027/WHLM771343/40'HQ</t>
  </si>
  <si>
    <t>426</t>
  </si>
  <si>
    <t>4261</t>
  </si>
  <si>
    <t>4262</t>
  </si>
  <si>
    <t>CT21-02001</t>
  </si>
  <si>
    <t>SEA-LAND-LCL</t>
  </si>
  <si>
    <t>POI PET</t>
  </si>
  <si>
    <t>RANGE ROVER</t>
  </si>
  <si>
    <t>CT21-02002</t>
  </si>
  <si>
    <t>RANGE ROVER &amp; JAQUAR</t>
  </si>
  <si>
    <t>3 UNITS</t>
  </si>
  <si>
    <t>CT21-02003</t>
  </si>
  <si>
    <t>JAGUAR</t>
  </si>
  <si>
    <t>CT21-02004</t>
  </si>
  <si>
    <t>427</t>
  </si>
  <si>
    <t>AIR-LCLO</t>
  </si>
  <si>
    <t>CT21-02005</t>
  </si>
  <si>
    <t>KSJSD-21-0005</t>
  </si>
  <si>
    <t>NEW CAR JAGUAR</t>
  </si>
  <si>
    <t>CARPRICORN</t>
  </si>
  <si>
    <t>428</t>
  </si>
  <si>
    <t>OMPLCHS210019</t>
  </si>
  <si>
    <t>003/2021</t>
  </si>
  <si>
    <t>D2021-0037929</t>
  </si>
  <si>
    <t>NP SAMOUTSAKHON V.2105S</t>
  </si>
  <si>
    <t>- IM7: I401 (15.12.21)
- Offset: 21.12.2020
- Off set IM4 I427 (9U): 14.01.2021, I422(1U): 14.01.2021, I419 &amp; I420 (18U):14.01.2021, IM412(23U): 14.01.2021</t>
  </si>
  <si>
    <t>429</t>
  </si>
  <si>
    <t>430</t>
  </si>
  <si>
    <t>ONEYBH8RA1995800</t>
  </si>
  <si>
    <t>BAHRAIN</t>
  </si>
  <si>
    <t>NEW CAR LUXUS LX570 2021</t>
  </si>
  <si>
    <t>DRYU4264874-40'</t>
  </si>
  <si>
    <t>ALLIED MOTORS TRADING FZE</t>
  </si>
  <si>
    <t>FT20297KH</t>
  </si>
  <si>
    <t>EGLV140100231719</t>
  </si>
  <si>
    <t>CH</t>
  </si>
  <si>
    <t>NEW CARGO TRUCK FORLAND</t>
  </si>
  <si>
    <t>EITU1525450-40'</t>
  </si>
  <si>
    <t>CHANGSHA FOTON</t>
  </si>
  <si>
    <t>-TP Ref: 00151 (14.01.20) 
- Off set: 16.02.2021</t>
  </si>
  <si>
    <t>-TP Ref: 00186 (15.01.20) 
- Off set: 16.02.2021</t>
  </si>
  <si>
    <t>-TP Ref: 00204 (18.01.20) 
- Off set: 16.02.2021</t>
  </si>
  <si>
    <t>-TP Ref: 00207 (18.01.20) 
- Off set: 16.02.2021</t>
  </si>
  <si>
    <t>-TP Ref: 00209 (18.01.20) 
- Off set: 16.02.2021</t>
  </si>
  <si>
    <t>-TP Ref: 00208 (18.01.20) 
- Off set: 16.02.2021</t>
  </si>
  <si>
    <t>-TP Ref: 00223 (18.01.20) 
- Off set: 16.02.2021</t>
  </si>
  <si>
    <t>-TP Ref: 00244 (19.01.20) 
- Off set: 16.02.2021</t>
  </si>
  <si>
    <t>-TP Ref: 00287 (21.01.20) 
- Off set: 16.02.2021</t>
  </si>
  <si>
    <t>-TP Ref: 00286 (21.01.20) 
- Off set: 16.02.2021</t>
  </si>
  <si>
    <t>-TP Ref: 00285 (21.01.20) 
- Off set: 16.02.2021</t>
  </si>
  <si>
    <t>-TP Ref: 00372 (22.01.20) 
- Off set: 16.02.2021</t>
  </si>
  <si>
    <t>-TP Ref: 00373 (22.01.20) 
- Off set: 16.02.2021</t>
  </si>
  <si>
    <t>-TP Ref: 00398 (29.01.20) 
- Off set: 16.02.2021</t>
  </si>
  <si>
    <t>-TP Ref: 00364 (26.01.20) 
- Off set: 16.02.2021</t>
  </si>
  <si>
    <t>-TP Ref: 00388 (27.01.20) 
- Off set: 16.02.2021</t>
  </si>
  <si>
    <t>-TP Ref: 00423 (29.01.20) 
- Off set: 16.02.2021</t>
  </si>
  <si>
    <t>-TP Ref: 00422 (29.01.20) 
- Off set: 16.02.2021</t>
  </si>
  <si>
    <t>-TP Ref: 00477 (02.02.20) 
- Off set: 16.02.2021</t>
  </si>
  <si>
    <t>-TP Ref: 00476 (02.02.20) 
- Off set: 16.02.2021</t>
  </si>
  <si>
    <t>-TP Ref: 00499 (03.02.20) 
- Off set: 16.02.2021</t>
  </si>
  <si>
    <t>-TP Ref: 00519 (05.02.20) 
- Off set: 16.02.2021</t>
  </si>
  <si>
    <t>-TP Ref: 00128 (12.01.20) 
- Off set: 14.01.2021
- Extend: 02.02.2021 (03.02.21)
- Offset: 16.02.21</t>
  </si>
  <si>
    <t>-TP Ref: 00074 (08.01.20) 
- Off set: 14.01.2021
- Extend: 02.02.2021 (03.02.21)
- Offset: 16.02.21</t>
  </si>
  <si>
    <t>- Applied TP: 03.12.20, TP Ref: 04123 (03.12.20) 
- Off set: 12.12.2020
- ET TP: 20.01.21 (20.01.21)
- Offset: 16.02.21</t>
  </si>
  <si>
    <t>431</t>
  </si>
  <si>
    <t>OOLU2655728960</t>
  </si>
  <si>
    <t>BRIDGE V.0165N</t>
  </si>
  <si>
    <t>HAMBURG</t>
  </si>
  <si>
    <t xml:space="preserve">USED ROLLS ROYCE SILVER CLOUD II
S/N: SZD475, MODEL 1961
</t>
  </si>
  <si>
    <t>OOLU2936070/CTSD003791/20GP</t>
  </si>
  <si>
    <t>WOLFGANG</t>
  </si>
  <si>
    <t>432</t>
  </si>
  <si>
    <t>433</t>
  </si>
  <si>
    <t>434</t>
  </si>
  <si>
    <t>435</t>
  </si>
  <si>
    <t>436</t>
  </si>
  <si>
    <t>437</t>
  </si>
  <si>
    <t>438</t>
  </si>
  <si>
    <t>SHAWD063548</t>
  </si>
  <si>
    <t>SITC HANSHIN V.2102S</t>
  </si>
  <si>
    <t>BEAU2694530/SITF149156/20'GP</t>
  </si>
  <si>
    <t>18 PACKAGES</t>
  </si>
  <si>
    <t>SSK SR</t>
  </si>
  <si>
    <t>TF SR</t>
  </si>
  <si>
    <t>439</t>
  </si>
  <si>
    <t>440</t>
  </si>
  <si>
    <t>441</t>
  </si>
  <si>
    <t>60 UNITS</t>
  </si>
  <si>
    <t>- Offse: IM7 27.01.21
-Offset: IM4 (I58): 15.02.21</t>
  </si>
  <si>
    <t>- Offset: 21.12.2020
- Offset: IM4 I433 (1U): 14.01.2021
- Offset: IM4 I50 (1U): 15.02.21
- Offset: IM4 I85  (1U)15.02.21</t>
  </si>
  <si>
    <t>- IM4: 390/2021 (710107): IM4 I94 (15.02.21)
- IM4: 390/2021 (21739): IM4 I97 (15.02.21)
- IM4: 390/2021 (075669): IM4 I102 (15.02.21)</t>
  </si>
  <si>
    <t>- Offset: IM4 I101 (15.02.21)</t>
  </si>
  <si>
    <t>- Offset: IM7 (I87) &amp; IM4 (I91): 15.02.21</t>
  </si>
  <si>
    <t>- Offset: IM7 (I108): 15.02.21</t>
  </si>
  <si>
    <t>- Offset: IM7 (I112): 15.02.21</t>
  </si>
  <si>
    <t>- Offset: IM7 (I113): 15.02.21</t>
  </si>
  <si>
    <t>- Offset: IM7 (I109): 15.02.21</t>
  </si>
  <si>
    <t>- Offset: IM7 (I120): 15.02.21</t>
  </si>
  <si>
    <t>- Offset: IM4 (I96) 15.02.21</t>
  </si>
  <si>
    <t>OOLU2659297830</t>
  </si>
  <si>
    <t>H-SRUN97830/21</t>
  </si>
  <si>
    <t>NEW CAR LEXUS LX570</t>
  </si>
  <si>
    <t>1. CBHU8745136-40'</t>
  </si>
  <si>
    <t>AUTO VISION</t>
  </si>
  <si>
    <t>ONEYKW0TA0423300</t>
  </si>
  <si>
    <t>H-SRUN23300/21</t>
  </si>
  <si>
    <t>1. NYKU0855108-40'</t>
  </si>
  <si>
    <t xml:space="preserve">WMC NEW AUTO </t>
  </si>
  <si>
    <t>ONEYKW0TA0427700</t>
  </si>
  <si>
    <t>H-SRUN27700/21</t>
  </si>
  <si>
    <t>1. MOTU0646314-40'</t>
  </si>
  <si>
    <t>H-SRUN97500/21</t>
  </si>
  <si>
    <t>NEW CAR LEXUS LX570 AND TOYOTA GRAVIA</t>
  </si>
  <si>
    <t>1. TCNU4312276-40'</t>
  </si>
  <si>
    <t>H-SRUN18700/21</t>
  </si>
  <si>
    <t>ONEYKW0TA0418700</t>
  </si>
  <si>
    <t>1. NYKU5163904-40'</t>
  </si>
  <si>
    <t>LUSTROUS</t>
  </si>
  <si>
    <t>H-SRUN38800/21</t>
  </si>
  <si>
    <t>HDMU DOHA17438800</t>
  </si>
  <si>
    <t>1. HDMU6753282-40'</t>
  </si>
  <si>
    <t>EMIRATE NATIONAL</t>
  </si>
  <si>
    <t>IM7</t>
  </si>
  <si>
    <t>- IM4: I943 (23.01.21)
- Offset: 22.02.21</t>
  </si>
  <si>
    <t>COMPLETE</t>
  </si>
  <si>
    <t>COMPLETED</t>
  </si>
  <si>
    <t>157-13480073</t>
  </si>
  <si>
    <t>CAM20201105S2WD</t>
  </si>
  <si>
    <t>SHAWD063420</t>
  </si>
  <si>
    <t>NEW CAR MG HS &amp; ZS</t>
  </si>
  <si>
    <t>442</t>
  </si>
  <si>
    <t>NEW CAR MERCEDES BENZ G63</t>
  </si>
  <si>
    <t>CAPRICORN</t>
  </si>
  <si>
    <t>H-SRUN386811</t>
  </si>
  <si>
    <t>NEW CAR MERCEDES BENZ MAYBACH GLS600</t>
  </si>
  <si>
    <t>SHAWD059070</t>
  </si>
  <si>
    <t>OMPLCHS210041</t>
  </si>
  <si>
    <t>443</t>
  </si>
  <si>
    <t>444</t>
  </si>
  <si>
    <t>445</t>
  </si>
  <si>
    <t>CT21-02006</t>
  </si>
  <si>
    <t>LAND-LCL</t>
  </si>
  <si>
    <t>NEW LAND ROVER DEFENDER FIRST EDITION 110</t>
  </si>
  <si>
    <t>KS SR</t>
  </si>
  <si>
    <t>CT21-02007</t>
  </si>
  <si>
    <t>CKS SR</t>
  </si>
  <si>
    <t>ONEYDXBB01297500</t>
  </si>
  <si>
    <t xml:space="preserve">1. BEAU5039321-40'
2. BEAU5141605-40'
3. BSIU9693285-40'
4. CAIU4250925-40'
5. GAOU6097331-40'
6. GAOU6105627-40'
7. GCXU5343197-40'
8. KSSU1002359-40'
9. KSSU1004897-40'
10. KSSU1009688-40'
11. TCKU7154098-40'
12. TCNU2502359-40'
13. TCNU2756060-40'
14. TCNU8187700-40'
15. TGCU5075320-40'
16. TGHU6062603-40'
17. ZCSU7124641-40'
18. ZCSU8518700-40'
19. ZCSU8680563-40'
20. ZCSU8843315-40'
</t>
  </si>
  <si>
    <t>446</t>
  </si>
  <si>
    <t>SRMT202102020026</t>
  </si>
  <si>
    <t>CASTOR</t>
  </si>
  <si>
    <t>1. NYKU4528682/HQ/20.0014723/45'HQ</t>
  </si>
  <si>
    <t>568 CTNS</t>
  </si>
  <si>
    <t>FENGHEYUAN</t>
  </si>
  <si>
    <t>447</t>
  </si>
  <si>
    <t>448</t>
  </si>
  <si>
    <t>SRMT202102030001</t>
  </si>
  <si>
    <t>1.​​ LTIU8040138/HQ/20.0014914/45'HQ</t>
  </si>
  <si>
    <t>4481</t>
  </si>
  <si>
    <t>SRMT202102030002</t>
  </si>
  <si>
    <t>2.​ TGHU8792236/HQ/20.0014883/45'HQ</t>
  </si>
  <si>
    <t>449</t>
  </si>
  <si>
    <t>SRMT202102030003</t>
  </si>
  <si>
    <t>PLASTIC KITCHEN BOX</t>
  </si>
  <si>
    <t>1. IMEU2020021/HQ/20.0015133/45'HQ</t>
  </si>
  <si>
    <t>412 CTNS</t>
  </si>
  <si>
    <t>005/2021</t>
  </si>
  <si>
    <t>450</t>
  </si>
  <si>
    <t>CT21-02008</t>
  </si>
  <si>
    <t>NEW CAR RANG ROVER</t>
  </si>
  <si>
    <t>451</t>
  </si>
  <si>
    <t>SRMT202102030004</t>
  </si>
  <si>
    <t>1.HSDU2019098/HQ/20.0015187/45'HQ</t>
  </si>
  <si>
    <t>452</t>
  </si>
  <si>
    <t>SRMT202102030005</t>
  </si>
  <si>
    <t>1. GMTU8001190/HQ/20.0015376/45'HC</t>
  </si>
  <si>
    <t>810 BAGS</t>
  </si>
  <si>
    <t>4521</t>
  </si>
  <si>
    <t>SRMT202102030006</t>
  </si>
  <si>
    <t>2. TCNU7377064/HQ/20.0015378/45'HC</t>
  </si>
  <si>
    <t>355 CARTONS</t>
  </si>
  <si>
    <t>4522</t>
  </si>
  <si>
    <t>COAU7229932447</t>
  </si>
  <si>
    <t xml:space="preserve">WOODEN FLOORING PANEL </t>
  </si>
  <si>
    <t>3. DFSU7002800/16873076/40'HQ
4. SEGU5015229/16873075/40'HQ</t>
  </si>
  <si>
    <t>1062 CARTONS</t>
  </si>
  <si>
    <t>453</t>
  </si>
  <si>
    <t>GBPNH2102010</t>
  </si>
  <si>
    <t>KEYPLUS</t>
  </si>
  <si>
    <t>20210225/VP-BJC-KH</t>
  </si>
  <si>
    <t>VN-KH 21/01/07383</t>
  </si>
  <si>
    <t>DRYU9963811-40', DRYU9955478-40', DRYU9964490-40'</t>
  </si>
  <si>
    <t>TENG LAY (CHAMROEUN)</t>
  </si>
  <si>
    <t>SITSGSVG226944</t>
  </si>
  <si>
    <t>C001/21V</t>
  </si>
  <si>
    <t>AUTOMOTIVE ASIA</t>
  </si>
  <si>
    <t>AUTO SR</t>
  </si>
  <si>
    <t>BEAU4344315-40', SEGU5434550-40'</t>
  </si>
  <si>
    <t>TSLGZ21010000128</t>
  </si>
  <si>
    <t>LAND-FCL</t>
  </si>
  <si>
    <t>1.VOSU8801691/HQ/20.0015810/45'HQ</t>
  </si>
  <si>
    <t xml:space="preserve">354 CARTONS </t>
  </si>
  <si>
    <t xml:space="preserve"> TSLGZ21010000126</t>
  </si>
  <si>
    <t>2.DBYU9918012/HQ/20.0015615/45'HQ</t>
  </si>
  <si>
    <t>356 CARTONS</t>
  </si>
  <si>
    <t>ONEYDXBB01896300</t>
  </si>
  <si>
    <t>JI SHUN DA TRADING CO., LTD</t>
  </si>
  <si>
    <t>BRIDGE V.0168N</t>
  </si>
  <si>
    <t>ALLIED</t>
  </si>
  <si>
    <t>EGLV040100042189</t>
  </si>
  <si>
    <t>EVER CALM 0149 V.22S</t>
  </si>
  <si>
    <t>4 BLKS</t>
  </si>
  <si>
    <t>RM CORP</t>
  </si>
  <si>
    <t>454</t>
  </si>
  <si>
    <t>4541</t>
  </si>
  <si>
    <t>455</t>
  </si>
  <si>
    <t>456</t>
  </si>
  <si>
    <t>1 UNIT -LHD SUZUKI JIMNY, COLOR: GREY, MODEL: 2020
1 UNIT -LHD SUZUKI JIMNY, COLOR: WHITE, MODEL: 2020</t>
  </si>
  <si>
    <t>1.GESU5518297/KW001356A/40'HC</t>
  </si>
  <si>
    <t>KOREAN NEW ELECTRIC VEHICLE
*U217MT-LI 517, *U217MT-LI 518
BRAND: DONGYANG INNOVATE, MODEL: APRO A-UM5 (LITHIUM), YEAR: 2021 MODEL (NEW), DETAIL MODEL : 8SEAT ELECTIRC VEHICLE ,  BASIC INSTALLED : FRONT WINDOW, SIDE MIRRIER, LED LIGHT
*2 Q'TY OF LED LIGHTS (PARTS)</t>
  </si>
  <si>
    <t>1.MAGU5303030/40'H/EMCJUN8640</t>
  </si>
  <si>
    <t>157-13480014</t>
  </si>
  <si>
    <t>457</t>
  </si>
  <si>
    <t>ONEYKW0TA0481700</t>
  </si>
  <si>
    <t>DHONNA JIA CHENG IMP EXP CO., LTD.</t>
  </si>
  <si>
    <t>H-SRUN81700/21</t>
  </si>
  <si>
    <t>LEXUS LX570</t>
  </si>
  <si>
    <t>1.TCLU9274654 / KW002015A / FCL/40HQ</t>
  </si>
  <si>
    <t>WMC</t>
  </si>
  <si>
    <t>458</t>
  </si>
  <si>
    <t>GBPNH2103023</t>
  </si>
  <si>
    <t>20210309/VP-BJC-KH</t>
  </si>
  <si>
    <t>144 Rolls</t>
  </si>
  <si>
    <t>VINA</t>
  </si>
  <si>
    <t xml:space="preserve">Napkin Tissue Paper </t>
  </si>
  <si>
    <t>459</t>
  </si>
  <si>
    <t>TCMAA01745556</t>
  </si>
  <si>
    <t>1.OOLU5457424/HQ/20.0016206/45'HQ</t>
  </si>
  <si>
    <t>812 BAGS</t>
  </si>
  <si>
    <t>460</t>
  </si>
  <si>
    <t>024B510741</t>
  </si>
  <si>
    <t>CONSTRUCTION MATERIAL AND FOODSTUFF</t>
  </si>
  <si>
    <t>1.WHLU5532455/WHLL882264/40'HQ
2.WHSU6064858/WHLH878257/40'HQ</t>
  </si>
  <si>
    <t>2 CTRS</t>
  </si>
  <si>
    <t>4601</t>
  </si>
  <si>
    <t>024B510038</t>
  </si>
  <si>
    <t>3.CAAU5022716/WHLH896073/40'HQ</t>
  </si>
  <si>
    <t>1 CTR</t>
  </si>
  <si>
    <t>ASIATIC BAY V.S042</t>
  </si>
  <si>
    <t>DOUNG PUM AGRI IMPORT &amp; EXPORT CO,.LTD</t>
  </si>
  <si>
    <t>461</t>
  </si>
  <si>
    <t>TSLGZ21010000130</t>
  </si>
  <si>
    <t>XNKU8818027/HQ/20.0016122/45'HQ</t>
  </si>
  <si>
    <t>462</t>
  </si>
  <si>
    <t>463</t>
  </si>
  <si>
    <t>4631</t>
  </si>
  <si>
    <t>TCMAA01745572</t>
  </si>
  <si>
    <t>1. PONU3014744/HQ/20.0016586/45'HQ</t>
  </si>
  <si>
    <t>814 BAGS</t>
  </si>
  <si>
    <t>4632</t>
  </si>
  <si>
    <t>TCMAA01745568</t>
  </si>
  <si>
    <t>HELMETS</t>
  </si>
  <si>
    <t>2. CAXU5820114/ HQ/20.0016313/45'HQ</t>
  </si>
  <si>
    <t>945 CARTONS</t>
  </si>
  <si>
    <t>TSLGZ21010000134</t>
  </si>
  <si>
    <t>3. GMTU8000613/HQ/20.0016657/45'HQ</t>
  </si>
  <si>
    <t>354 CARTONS</t>
  </si>
  <si>
    <t>SHAWD063661</t>
  </si>
  <si>
    <t>CAM20201204S2WDA</t>
  </si>
  <si>
    <t>NEW CAR MG</t>
  </si>
  <si>
    <t>1. AXIU1355070 -40'
2. BEAU5041720 -40'
3. BSIU9681474 -40'
4. DRYU9172894 -40'
5. FCIU9042481 -40'
6. FSCU8174190 -40'
7.  GAOU6044352-40'
8.  GAOU6098596-40'
9.  GAOU6111553-40'
10.  GAOU6442187-40'
11.  GCXU5080927-40'
12.  INKU6644316-40'
13.  SEGU5778827-40'
14.  TCNU1764436-40'
15.  TCNU4865950-40'
16.  TCNU5406826-40'
17.  TCNU8185185-40'
18.  TCNU8394523-40'
19.  TEMU6650396-40'
20.  TEMU8147415-40'
21. TGBU5705299-40'
22. TGBU7208861-40'
23. TGBU7261207-40'
24. TGHU6413539-40'
25. ZCSU7141968-40'
26. ZCSU7179876-40'
27. ZCSU8569478-40'
28. ZCSU8611074-40'
29. ZCSU8757027-40'
30. ZCSU8783582-40'
31. ZCSU8814451-40'</t>
  </si>
  <si>
    <t>92 UNITS</t>
  </si>
  <si>
    <t>464</t>
  </si>
  <si>
    <t>ONEYDXBB01722500</t>
  </si>
  <si>
    <t>A.T GLORY TRADING CO., LTD</t>
  </si>
  <si>
    <t>SHB02</t>
  </si>
  <si>
    <t>ONEROAD</t>
  </si>
  <si>
    <t>COAU7230313412</t>
  </si>
  <si>
    <t>1.SEGU4034693/18631207/40'HQ
2.TGCU5049764/18632935/40'HQ
3.TCKU7544856/18632987/40'HQ</t>
  </si>
  <si>
    <t>1595 CARTONS</t>
  </si>
  <si>
    <t>465</t>
  </si>
  <si>
    <t>466</t>
  </si>
  <si>
    <t>GOSUSHH30423768</t>
  </si>
  <si>
    <t>SHEKOU(GD)</t>
  </si>
  <si>
    <t>1.GAOU6095339/40HQ</t>
  </si>
  <si>
    <t>273 PACKAGES</t>
  </si>
  <si>
    <t>467</t>
  </si>
  <si>
    <t>MAKHA BHUM V.21005/S</t>
  </si>
  <si>
    <t>COAU7230301680</t>
  </si>
  <si>
    <t>1.TGHU6868353/P192722/40'HQ</t>
  </si>
  <si>
    <t>532 CARTONS</t>
  </si>
  <si>
    <t>4671</t>
  </si>
  <si>
    <t>YMLUI232189034</t>
  </si>
  <si>
    <t>WATER PUMP</t>
  </si>
  <si>
    <t>2.TEMU1685091/YMAI422658/20'DC</t>
  </si>
  <si>
    <t>587 CARTONS</t>
  </si>
  <si>
    <t>4672</t>
  </si>
  <si>
    <t>YMLUI232189035</t>
  </si>
  <si>
    <t>3.MAGU2546736/YMAI422659/20'DC</t>
  </si>
  <si>
    <t>590 CARTONS</t>
  </si>
  <si>
    <t>468</t>
  </si>
  <si>
    <t>TSLGZ21010000135</t>
  </si>
  <si>
    <t>1.CAXU9082776/HQ/20.0016738/45'HQ</t>
  </si>
  <si>
    <t>4681</t>
  </si>
  <si>
    <t>TSLGZ21010000136</t>
  </si>
  <si>
    <t>2.WJLU2020005/HQ/20.0016891/45'HQ</t>
  </si>
  <si>
    <t>4682</t>
  </si>
  <si>
    <t>TCMAA01745574</t>
  </si>
  <si>
    <t>COTTON TOWEL</t>
  </si>
  <si>
    <t>3.XXLU2020011/HQ/20.0016886/45'HQ</t>
  </si>
  <si>
    <t>600 CARTONS</t>
  </si>
  <si>
    <t>DIESEL GENERATOR, CHAIRS</t>
  </si>
  <si>
    <t>469</t>
  </si>
  <si>
    <t>YMLUI232189033</t>
  </si>
  <si>
    <t>1.TTNU1217030/YMAI422151/20'DC</t>
  </si>
  <si>
    <t>4691</t>
  </si>
  <si>
    <t>TCMAA01745578</t>
  </si>
  <si>
    <t>BABY BATHTUB</t>
  </si>
  <si>
    <t>2. CAXU9011519/HQ/20.0017017/45'HQ</t>
  </si>
  <si>
    <t>455 CARTONS</t>
  </si>
  <si>
    <t>4692</t>
  </si>
  <si>
    <t>TCMAA01745576</t>
  </si>
  <si>
    <t>3. FSCU7039127/HQ/20/0017090/45'HQ</t>
  </si>
  <si>
    <t>GCXU5241934-40'</t>
  </si>
  <si>
    <t>SR</t>
  </si>
  <si>
    <t>IM8</t>
  </si>
  <si>
    <t>IM4</t>
  </si>
  <si>
    <t>CV</t>
  </si>
  <si>
    <t>ACTIVITIES</t>
  </si>
  <si>
    <t>ONEROAD SR</t>
  </si>
  <si>
    <t>TOS</t>
  </si>
  <si>
    <t>ORG</t>
  </si>
  <si>
    <t>VIEW1</t>
  </si>
  <si>
    <t>CUSTOMS REGIRSTRATION IM7, IM4</t>
  </si>
  <si>
    <t>E-CUMSTOMS</t>
  </si>
  <si>
    <t>TRANSIT REGISTRATION IM8</t>
  </si>
  <si>
    <t>IMPORT Permit (QIP)</t>
  </si>
  <si>
    <t>No</t>
  </si>
  <si>
    <t>CHECK CARGO HISTORY (CONTAINER GATE OUT &amp; IN)</t>
  </si>
  <si>
    <t>USER</t>
  </si>
  <si>
    <t>PASS</t>
  </si>
  <si>
    <t>T3260 18.03.21</t>
  </si>
  <si>
    <t>I176 20.03.21</t>
  </si>
  <si>
    <t>BORAMEY 19.03.21</t>
  </si>
  <si>
    <t>01060 17.03.21</t>
  </si>
  <si>
    <t>124 20.03.21</t>
  </si>
  <si>
    <t>SR NAME</t>
  </si>
  <si>
    <t>DRYU9972182-40', DRYU9972407-40', DRYU9950795-40', KDCU5131944-40'</t>
  </si>
  <si>
    <t>105 12.03.21</t>
  </si>
  <si>
    <t>I162 12.03.21</t>
  </si>
  <si>
    <t>LINA</t>
  </si>
  <si>
    <t>TSLGZ21010000138</t>
  </si>
  <si>
    <t>1. VHLU2020016/HQ/20.0017313/45'HQ</t>
  </si>
  <si>
    <t>TCMAA01745582</t>
  </si>
  <si>
    <t>2. SEAU8758773/HQ/20/0017353/45'HQ</t>
  </si>
  <si>
    <t>TCMAA01745580</t>
  </si>
  <si>
    <t>STAINLESS STEEL HINGES, PAPER BAG</t>
  </si>
  <si>
    <t>3. JYLU2020008/HQ/20.0017247/45'HQ</t>
  </si>
  <si>
    <t>470</t>
  </si>
  <si>
    <t>4701</t>
  </si>
  <si>
    <t>4702</t>
  </si>
  <si>
    <t>720 BAGS</t>
  </si>
  <si>
    <t>690 PACKAGES</t>
  </si>
  <si>
    <t>471</t>
  </si>
  <si>
    <t>TSLGZ21010000140</t>
  </si>
  <si>
    <t>LAMP,STEEL SPRINGS,PAPER BAG</t>
  </si>
  <si>
    <t>1.XXLU2020014/HQ/20.0017726/45'HQ</t>
  </si>
  <si>
    <t>650 PACKAGES</t>
  </si>
  <si>
    <t>4711</t>
  </si>
  <si>
    <t>TCMAA01745584</t>
  </si>
  <si>
    <t>2.MIGU5477300/HQ/20.0017605/45'HQ</t>
  </si>
  <si>
    <t>4712</t>
  </si>
  <si>
    <t>NSASGNG036598</t>
  </si>
  <si>
    <t>3.TGBU7821560/SITK820815/40'HC</t>
  </si>
  <si>
    <t>4713</t>
  </si>
  <si>
    <t>COAU7230313443</t>
  </si>
  <si>
    <t>M</t>
  </si>
  <si>
    <t>4.FFAU2465870/16864519/40'HQ</t>
  </si>
  <si>
    <t>535 CARTONS</t>
  </si>
  <si>
    <t>472</t>
  </si>
  <si>
    <t>TSLGZ21010000141</t>
  </si>
  <si>
    <t>BABY TOY,STRETCH FILM,PAPER BAG</t>
  </si>
  <si>
    <t>1.MIGU5432482/HQ/20.0017777/45'HQ</t>
  </si>
  <si>
    <t>830 PACKAGES</t>
  </si>
  <si>
    <t>4721</t>
  </si>
  <si>
    <t>TCMAA01745586</t>
  </si>
  <si>
    <t>PAPER BAG,NONWOVEN FABRIC</t>
  </si>
  <si>
    <t>2.KMTU9216431/HQ/20.0018953/45'HQ</t>
  </si>
  <si>
    <t>690 BAGS</t>
  </si>
  <si>
    <t>FROM</t>
  </si>
  <si>
    <t>473</t>
  </si>
  <si>
    <t>TSLGZ21010000142</t>
  </si>
  <si>
    <t>LAMP,STRETCH FILM</t>
  </si>
  <si>
    <t>1.NAMU0000303/HQ/20.0018048/45'HQ</t>
  </si>
  <si>
    <t>4731</t>
  </si>
  <si>
    <t>TCMAA01745587</t>
  </si>
  <si>
    <t>2.CCLU6410663/HQ/20.0018090/45'HQ</t>
  </si>
  <si>
    <t>730 BAGS</t>
  </si>
  <si>
    <t>TSLGZ21010000144</t>
  </si>
  <si>
    <t>474</t>
  </si>
  <si>
    <t>LAMP, STRETCH FILM, PAPER BAG</t>
  </si>
  <si>
    <t>1. HJOU9007755/HQ/20.0018195/45'HQ</t>
  </si>
  <si>
    <t>475</t>
  </si>
  <si>
    <t>TCMAA01745329</t>
  </si>
  <si>
    <t>1.KKLU9056982/HQ/20.0018518/45'HQ</t>
  </si>
  <si>
    <t>4751</t>
  </si>
  <si>
    <t>TSLGZ21010000168</t>
  </si>
  <si>
    <t>2.XNKU8818014/HQ/20.0018514/45'HQ</t>
  </si>
  <si>
    <t xml:space="preserve">590 CARTONS </t>
  </si>
  <si>
    <t>4752</t>
  </si>
  <si>
    <t>COAU7230530462</t>
  </si>
  <si>
    <t>WOODEN FLOORING PANEL</t>
  </si>
  <si>
    <t>3.TGBU8600840/17970326/40'HQ
4.BMOU4498640/17970468/40'HQ</t>
  </si>
  <si>
    <t>1064 CARTONS</t>
  </si>
  <si>
    <t>QUANZHOU</t>
  </si>
  <si>
    <t>476</t>
  </si>
  <si>
    <t>477</t>
  </si>
  <si>
    <t>MAAPNHL00490</t>
  </si>
  <si>
    <t>EIC/2021/013/0083023A/00079059</t>
  </si>
  <si>
    <t>PHOC LONG 8 V.046S</t>
  </si>
  <si>
    <t>IN</t>
  </si>
  <si>
    <t>ROYAL ENFIELD MOTORCYCLES</t>
  </si>
  <si>
    <t>1. CAIU4553578/ INMAA2100002/ 40´HC</t>
  </si>
  <si>
    <t>29 BOX (ES)</t>
  </si>
  <si>
    <t>EICHER MOTOR</t>
  </si>
  <si>
    <t>EIC/2021/013/0080279A/00076689</t>
  </si>
  <si>
    <t>MAAPNHL00489</t>
  </si>
  <si>
    <t>1. CAIU9556224/ INMAA2100017/ 40 'HC</t>
  </si>
  <si>
    <t>30 BOX (ES)</t>
  </si>
  <si>
    <t>KMTCMAA0172246</t>
  </si>
  <si>
    <t>WALLPAPER</t>
  </si>
  <si>
    <t>1. KMTU7348212/SSA0203497/20'GP</t>
  </si>
  <si>
    <t>479</t>
  </si>
  <si>
    <t>478</t>
  </si>
  <si>
    <t>4781</t>
  </si>
  <si>
    <t>710 CARTONS</t>
  </si>
  <si>
    <t>480</t>
  </si>
  <si>
    <t>481</t>
  </si>
  <si>
    <t>18 UNITS</t>
  </si>
  <si>
    <t>TSLGZ21010000170</t>
  </si>
  <si>
    <t>TCMAA01745590</t>
  </si>
  <si>
    <t>LAMP, MENTAL CHAIR, PAPER BAG</t>
  </si>
  <si>
    <t>1. XNKU8818005/HQ/20.0018771/45'HQ</t>
  </si>
  <si>
    <t xml:space="preserve">ZHONGSHAN </t>
  </si>
  <si>
    <t>2. HSDU9988018/HQ/20.0018609/45'HQ</t>
  </si>
  <si>
    <t>692 PACKAGES</t>
  </si>
  <si>
    <t>SHAWD063785</t>
  </si>
  <si>
    <t>20345767ETC</t>
  </si>
  <si>
    <t>E210781997181099</t>
  </si>
  <si>
    <t>SHAWD063786</t>
  </si>
  <si>
    <t>20345783ETC</t>
  </si>
  <si>
    <t>E210781997181100</t>
  </si>
  <si>
    <t>NEW CAR MAXUS T60, G50, D60</t>
  </si>
  <si>
    <t>482</t>
  </si>
  <si>
    <t>OOLU2661003310</t>
  </si>
  <si>
    <t>483</t>
  </si>
  <si>
    <t>TSLGZ21010000172</t>
  </si>
  <si>
    <t>LAMP, STAINLESS STEEL LUNCH BOX, PAPER BAG</t>
  </si>
  <si>
    <t>630 PACKAGES</t>
  </si>
  <si>
    <t>1. DBYU8818006/HQ/20.0019091</t>
  </si>
  <si>
    <t>03-04-2021</t>
  </si>
  <si>
    <t>45'HQ</t>
  </si>
  <si>
    <t>484</t>
  </si>
  <si>
    <t>TCMAA01745592</t>
  </si>
  <si>
    <t>1.IMEU2020017/HQ/20.0019345</t>
  </si>
  <si>
    <t>4841</t>
  </si>
  <si>
    <t>TSLGZ21010000174</t>
  </si>
  <si>
    <t>MENTAL CHAIR,LAMP,PAPER BAG</t>
  </si>
  <si>
    <t>2.NYKU4581459/HQ/20.0019250</t>
  </si>
  <si>
    <t>684 PACKAGES</t>
  </si>
  <si>
    <t>485</t>
  </si>
  <si>
    <t>COAU7230786436</t>
  </si>
  <si>
    <t>1.CCLU6285216/CM812035</t>
  </si>
  <si>
    <t>40'HQ</t>
  </si>
  <si>
    <t>05-04-2021</t>
  </si>
  <si>
    <t>486</t>
  </si>
  <si>
    <t>TSLGZ21010000175</t>
  </si>
  <si>
    <t>METAL CHAIR,LAMP,PAPER BAG</t>
  </si>
  <si>
    <t>1.EOLU5446857/HQ/20.0049058</t>
  </si>
  <si>
    <t>720 PACKAGES</t>
  </si>
  <si>
    <t>487</t>
  </si>
  <si>
    <t>TCMAA01745594</t>
  </si>
  <si>
    <t>08-04-2021</t>
  </si>
  <si>
    <t>1.HDMU6938685/HQ/20.0049255</t>
  </si>
  <si>
    <t>815 BAGS</t>
  </si>
  <si>
    <t>4871</t>
  </si>
  <si>
    <t>COAU7230530543</t>
  </si>
  <si>
    <t>2.BEAU5118570/17970661
3.CSNU6240626/17949736</t>
  </si>
  <si>
    <t>40'HQ
40'HQ</t>
  </si>
  <si>
    <t>DONGUAN</t>
  </si>
  <si>
    <t>488</t>
  </si>
  <si>
    <t>ZH21030453HAA</t>
  </si>
  <si>
    <t xml:space="preserve">1 SET OF  WHEEL LOADER </t>
  </si>
  <si>
    <t>1.TEMU8546971/CKL941330
2.CKLU4108807/CKL941324</t>
  </si>
  <si>
    <t>40'HC
40'HC</t>
  </si>
  <si>
    <t>17 PACKAGES</t>
  </si>
  <si>
    <t>489</t>
  </si>
  <si>
    <t>TSLGZ21010000178</t>
  </si>
  <si>
    <t>LAMP, WOMEN'S SANDALS, CHILDEN'S TOY CAR</t>
  </si>
  <si>
    <t>1.WSCU8437400/HQ/20.0049243</t>
  </si>
  <si>
    <t>530 PACKAGES</t>
  </si>
  <si>
    <t>4891</t>
  </si>
  <si>
    <t>COAU7231121460</t>
  </si>
  <si>
    <t>2.CSLU6015736/CN231372</t>
  </si>
  <si>
    <t>540 CARTONS</t>
  </si>
  <si>
    <t>PHENGSOVANNA-Broker@CVDS</t>
  </si>
  <si>
    <t>FmgU0j%oS</t>
  </si>
  <si>
    <t>CUSTOMS VALUATION</t>
  </si>
  <si>
    <t>GE</t>
  </si>
  <si>
    <t>BENTLEY BENTAYGA V8</t>
  </si>
  <si>
    <t>OOCU8427094-40'</t>
  </si>
  <si>
    <t>20 UNITS</t>
  </si>
  <si>
    <t>MAKANSI</t>
  </si>
  <si>
    <t>JSDEXP-04004/KS</t>
  </si>
  <si>
    <t>RE-KSJSD-21-0001</t>
  </si>
  <si>
    <t>KREAL</t>
  </si>
  <si>
    <t>LAOS</t>
  </si>
  <si>
    <t>NEW CAR RANGE ROVER SPORT</t>
  </si>
  <si>
    <t>RE-EXPORT</t>
  </si>
  <si>
    <t>JSDEXP-04003/KS</t>
  </si>
  <si>
    <t>RE-KSJSD-21-0002/A</t>
  </si>
  <si>
    <t>NEW CAR RANGE ROVER AUTOBIOGRAPHY LWB</t>
  </si>
  <si>
    <t>JSDEXP-04002/KS</t>
  </si>
  <si>
    <t>RE-KSJSD-21-0004/A</t>
  </si>
  <si>
    <t>NEW CAR LAND ROVER DISCOVERY</t>
  </si>
  <si>
    <t>419 REEXP04004/KS</t>
  </si>
  <si>
    <t>420 REEXP04003/KS</t>
  </si>
  <si>
    <t>422 REEXP04002/KS</t>
  </si>
  <si>
    <t>490</t>
  </si>
  <si>
    <t>4901</t>
  </si>
  <si>
    <t>TCMAA01745596</t>
  </si>
  <si>
    <t>TSLGZ21010000182</t>
  </si>
  <si>
    <t>LAMP, STRETCH FILM</t>
  </si>
  <si>
    <t>552 CARTONS</t>
  </si>
  <si>
    <t>1. HSHU6868869/HQ/20.0049614</t>
  </si>
  <si>
    <t>2. XXLU2021088/HQ/20.0049499</t>
  </si>
  <si>
    <t>09-04-2021</t>
  </si>
  <si>
    <t>491</t>
  </si>
  <si>
    <t>KMTCMAA0173542</t>
  </si>
  <si>
    <t>11-04-2021</t>
  </si>
  <si>
    <t>45'HC</t>
  </si>
  <si>
    <t>1280 CARTONS</t>
  </si>
  <si>
    <t>1.MSKU4535325/HQ/20.0049640</t>
  </si>
  <si>
    <t>492</t>
  </si>
  <si>
    <t>4921</t>
  </si>
  <si>
    <t>TSLGZ21010000184</t>
  </si>
  <si>
    <t>NEW BICYCLE, CHILDREN'S TOY CAR</t>
  </si>
  <si>
    <t>1.NYKU8818023/HQ/20.0049679</t>
  </si>
  <si>
    <t>594 CARTONS</t>
  </si>
  <si>
    <t>TSLGZ21010000185</t>
  </si>
  <si>
    <t>PVC U PIPE FITTINGS, PAPER BAG</t>
  </si>
  <si>
    <t>2.XNKU8818024/HQ/20.0049735</t>
  </si>
  <si>
    <t>493</t>
  </si>
  <si>
    <t>TSLGZ21010000186</t>
  </si>
  <si>
    <t>12-04-2021</t>
  </si>
  <si>
    <t>PLASTIC LUNCH BOX, PAPER BAG, CHILDEN'S TOY CAR</t>
  </si>
  <si>
    <t>1.MIGU5477300/HQ/20.0049783</t>
  </si>
  <si>
    <t>640 PACKAGES</t>
  </si>
  <si>
    <t>4931</t>
  </si>
  <si>
    <t>TSLGZ21010000188</t>
  </si>
  <si>
    <t>2.CMAU5338762/HQ/20.0049852</t>
  </si>
  <si>
    <t>4932</t>
  </si>
  <si>
    <t>TCMAA01745610</t>
  </si>
  <si>
    <t>3.GLDU7449289/HQ/20.0049958</t>
  </si>
  <si>
    <t>494</t>
  </si>
  <si>
    <t>COAU7230793900</t>
  </si>
  <si>
    <t>4941</t>
  </si>
  <si>
    <t>COAU7231213031</t>
  </si>
  <si>
    <t>NEW BABY TOYS</t>
  </si>
  <si>
    <t>675 CARTONS</t>
  </si>
  <si>
    <t>495</t>
  </si>
  <si>
    <t>COAU7230469471</t>
  </si>
  <si>
    <t>1604 CARTONS</t>
  </si>
  <si>
    <t>1.FCIU9666600/17936797
2.TLLU6869359/17971388
3.CSNU6958280/16069603</t>
  </si>
  <si>
    <t>40'HQ
40'HQ
40'HQ</t>
  </si>
  <si>
    <t>HDMUSHAZ20933000</t>
  </si>
  <si>
    <t>4.HMMU6190994/193100989</t>
  </si>
  <si>
    <t>40'HC</t>
  </si>
  <si>
    <t>17-04-2021</t>
  </si>
  <si>
    <t>4951</t>
  </si>
  <si>
    <t>680 CARTONS</t>
  </si>
  <si>
    <t>1.CSNU8038580/17951571
2.CAIU8412428/17948179</t>
  </si>
  <si>
    <t>3.OOLU9420167/CM582509</t>
  </si>
  <si>
    <t>496</t>
  </si>
  <si>
    <t>TCMAA01745816</t>
  </si>
  <si>
    <t>19-04-2021</t>
  </si>
  <si>
    <t>1.KMTU9216431/HQ/20.0050257</t>
  </si>
  <si>
    <t>4961</t>
  </si>
  <si>
    <t>TSLGZ21010000202</t>
  </si>
  <si>
    <t>2.JYLU2020007/HQ/20.0005256</t>
  </si>
  <si>
    <t>497</t>
  </si>
  <si>
    <t>TSLGZ21010001109</t>
  </si>
  <si>
    <t>1.VHLU2020001/HQ/20.0050624</t>
  </si>
  <si>
    <t>4971</t>
  </si>
  <si>
    <t>HDMUSHAZ20934290</t>
  </si>
  <si>
    <t>2.XNKU8818060/HQ20.0050414</t>
  </si>
  <si>
    <t>686 CARTONS</t>
  </si>
  <si>
    <t>498</t>
  </si>
  <si>
    <t>TCMAA01746616</t>
  </si>
  <si>
    <t>1.HTLU2020077/HQ/20.0050742</t>
  </si>
  <si>
    <t>801 BAGS</t>
  </si>
  <si>
    <t>D2021-0009797</t>
  </si>
  <si>
    <t>VN-KH 21/01/02135</t>
  </si>
  <si>
    <t>VN-KH 21/01/09058</t>
  </si>
  <si>
    <t>499</t>
  </si>
  <si>
    <t>NAM4292782</t>
  </si>
  <si>
    <t>VEHICLES</t>
  </si>
  <si>
    <t>WEST COAST</t>
  </si>
  <si>
    <t>500</t>
  </si>
  <si>
    <t>TSLGZ21010001642</t>
  </si>
  <si>
    <t>20-04-2021</t>
  </si>
  <si>
    <t>1.HSDU2019102/HQ/20.0050808</t>
  </si>
  <si>
    <t>18-04-2021</t>
  </si>
  <si>
    <t>BRIDGE V.0174N</t>
  </si>
  <si>
    <t>501</t>
  </si>
  <si>
    <t>ONEYBH1RA0094400</t>
  </si>
  <si>
    <t>H-SRUN94400/21</t>
  </si>
  <si>
    <t>502</t>
  </si>
  <si>
    <t>TSLGZ21010000204</t>
  </si>
  <si>
    <t>21-04-2021</t>
  </si>
  <si>
    <t>1.HSDU9988018/HQ/20.0050927</t>
  </si>
  <si>
    <t>5021</t>
  </si>
  <si>
    <t>SITPUSG093555G</t>
  </si>
  <si>
    <t>HE SHUN YUAN CHILLI SAUCE, HENGSHUN WHITE VINEGAR</t>
  </si>
  <si>
    <t>2.BEAU2873578/SITK688862
3.SITU2879621/SITK688829
4.TEMU4408486/SITK688870</t>
  </si>
  <si>
    <t>20'GP
20'GP
20'GP</t>
  </si>
  <si>
    <t>5000 CARTONS</t>
  </si>
  <si>
    <t>503</t>
  </si>
  <si>
    <t>ZH21030735HCM</t>
  </si>
  <si>
    <t>1.MRKU4046169/ML-CN7047231</t>
  </si>
  <si>
    <t>09 PACKAGES</t>
  </si>
  <si>
    <t>MY SR</t>
  </si>
  <si>
    <t>27A SR</t>
  </si>
  <si>
    <t>1.​TLLU6038458-40'</t>
  </si>
  <si>
    <t>504</t>
  </si>
  <si>
    <t>CAM20210201Z</t>
  </si>
  <si>
    <t>SHAWD063921</t>
  </si>
  <si>
    <t>505</t>
  </si>
  <si>
    <t>ONEYDXBB04916601</t>
  </si>
  <si>
    <t>H-SRUN16601/21</t>
  </si>
  <si>
    <t xml:space="preserve">LEXUS LX570 </t>
  </si>
  <si>
    <t>1.TCLU8928811-40'</t>
  </si>
  <si>
    <t>SHAYAN</t>
  </si>
  <si>
    <t>506</t>
  </si>
  <si>
    <t>TSLGZ21010001206</t>
  </si>
  <si>
    <t>22-04-2021</t>
  </si>
  <si>
    <t>1.HDMU6977765/HQ/20.0051160</t>
  </si>
  <si>
    <t>507</t>
  </si>
  <si>
    <t>MEDUGL955150</t>
  </si>
  <si>
    <t>H-SRUN55150/21</t>
  </si>
  <si>
    <t>GERMANY</t>
  </si>
  <si>
    <t xml:space="preserve">LAND ROVER DEFENDER </t>
  </si>
  <si>
    <t>1.XINU8236230-40'</t>
  </si>
  <si>
    <t>1.ECMU8149765/UL6866826</t>
  </si>
  <si>
    <r>
      <rPr>
        <sz val="11"/>
        <color rgb="FFFF0000"/>
        <rFont val="Calibri"/>
        <family val="2"/>
        <scheme val="minor"/>
      </rPr>
      <t>CAIU8389307-40'</t>
    </r>
    <r>
      <rPr>
        <sz val="11"/>
        <color theme="1"/>
        <rFont val="Calibri"/>
        <family val="2"/>
        <scheme val="minor"/>
      </rPr>
      <t xml:space="preserve">
</t>
    </r>
    <r>
      <rPr>
        <sz val="11"/>
        <color rgb="FFFF0000"/>
        <rFont val="Calibri"/>
        <family val="2"/>
        <scheme val="minor"/>
      </rPr>
      <t>DFSU6295875-40'</t>
    </r>
    <r>
      <rPr>
        <sz val="11"/>
        <color theme="1"/>
        <rFont val="Calibri"/>
        <family val="2"/>
        <scheme val="minor"/>
      </rPr>
      <t xml:space="preserve">
</t>
    </r>
    <r>
      <rPr>
        <sz val="11"/>
        <color rgb="FFFF0000"/>
        <rFont val="Calibri"/>
        <family val="2"/>
        <scheme val="minor"/>
      </rPr>
      <t>IAAU1698272-40'</t>
    </r>
    <r>
      <rPr>
        <sz val="11"/>
        <color theme="1"/>
        <rFont val="Calibri"/>
        <family val="2"/>
        <scheme val="minor"/>
      </rPr>
      <t xml:space="preserve">
</t>
    </r>
    <r>
      <rPr>
        <sz val="11"/>
        <color rgb="FFFF0000"/>
        <rFont val="Calibri"/>
        <family val="2"/>
        <scheme val="minor"/>
      </rPr>
      <t>IAAU1698781-40'</t>
    </r>
    <r>
      <rPr>
        <sz val="11"/>
        <color theme="1"/>
        <rFont val="Calibri"/>
        <family val="2"/>
        <scheme val="minor"/>
      </rPr>
      <t xml:space="preserve">
</t>
    </r>
    <r>
      <rPr>
        <sz val="11"/>
        <color rgb="FFFF0000"/>
        <rFont val="Calibri"/>
        <family val="2"/>
        <scheme val="minor"/>
      </rPr>
      <t>IAAU1715940-40'</t>
    </r>
    <r>
      <rPr>
        <sz val="11"/>
        <color theme="1"/>
        <rFont val="Calibri"/>
        <family val="2"/>
        <scheme val="minor"/>
      </rPr>
      <t xml:space="preserve">
</t>
    </r>
    <r>
      <rPr>
        <sz val="11"/>
        <color rgb="FFFF0000"/>
        <rFont val="Calibri"/>
        <family val="2"/>
        <scheme val="minor"/>
      </rPr>
      <t>IAAU1751952-40'</t>
    </r>
    <r>
      <rPr>
        <sz val="11"/>
        <color theme="1"/>
        <rFont val="Calibri"/>
        <family val="2"/>
        <scheme val="minor"/>
      </rPr>
      <t xml:space="preserve">
</t>
    </r>
    <r>
      <rPr>
        <sz val="11"/>
        <color rgb="FFFF0000"/>
        <rFont val="Calibri"/>
        <family val="2"/>
        <scheme val="minor"/>
      </rPr>
      <t>TCLU5142942-40'</t>
    </r>
    <r>
      <rPr>
        <sz val="11"/>
        <color theme="1"/>
        <rFont val="Calibri"/>
        <family val="2"/>
        <scheme val="minor"/>
      </rPr>
      <t xml:space="preserve">
</t>
    </r>
    <r>
      <rPr>
        <sz val="11"/>
        <color rgb="FFFF0000"/>
        <rFont val="Calibri"/>
        <family val="2"/>
        <scheme val="minor"/>
      </rPr>
      <t>TEMU7443515-40'</t>
    </r>
    <r>
      <rPr>
        <sz val="11"/>
        <color theme="1"/>
        <rFont val="Calibri"/>
        <family val="2"/>
        <scheme val="minor"/>
      </rPr>
      <t xml:space="preserve">
</t>
    </r>
    <r>
      <rPr>
        <sz val="11"/>
        <color rgb="FFFF0000"/>
        <rFont val="Calibri"/>
        <family val="2"/>
        <scheme val="minor"/>
      </rPr>
      <t>TEMU7972611-40'</t>
    </r>
  </si>
  <si>
    <r>
      <rPr>
        <sz val="11"/>
        <color rgb="FFFF0000"/>
        <rFont val="Calibri"/>
        <family val="2"/>
        <scheme val="minor"/>
      </rPr>
      <t>IAAU1696310-40'</t>
    </r>
    <r>
      <rPr>
        <sz val="11"/>
        <color theme="1"/>
        <rFont val="Calibri"/>
        <family val="2"/>
        <scheme val="minor"/>
      </rPr>
      <t xml:space="preserve">
</t>
    </r>
    <r>
      <rPr>
        <sz val="11"/>
        <color rgb="FFFF0000"/>
        <rFont val="Calibri"/>
        <family val="2"/>
        <scheme val="minor"/>
      </rPr>
      <t>IAAU1707693-40'</t>
    </r>
    <r>
      <rPr>
        <sz val="11"/>
        <color theme="1"/>
        <rFont val="Calibri"/>
        <family val="2"/>
        <scheme val="minor"/>
      </rPr>
      <t xml:space="preserve">
</t>
    </r>
    <r>
      <rPr>
        <sz val="11"/>
        <color rgb="FFFF0000"/>
        <rFont val="Calibri"/>
        <family val="2"/>
        <scheme val="minor"/>
      </rPr>
      <t>IAAU1716062-40'</t>
    </r>
    <r>
      <rPr>
        <sz val="11"/>
        <color theme="1"/>
        <rFont val="Calibri"/>
        <family val="2"/>
        <scheme val="minor"/>
      </rPr>
      <t xml:space="preserve">
</t>
    </r>
    <r>
      <rPr>
        <sz val="11"/>
        <color rgb="FFFF0000"/>
        <rFont val="Calibri"/>
        <family val="2"/>
        <scheme val="minor"/>
      </rPr>
      <t>IAAU1718851-40'</t>
    </r>
    <r>
      <rPr>
        <sz val="11"/>
        <color theme="1"/>
        <rFont val="Calibri"/>
        <family val="2"/>
        <scheme val="minor"/>
      </rPr>
      <t xml:space="preserve">
</t>
    </r>
    <r>
      <rPr>
        <sz val="11"/>
        <color rgb="FFFF0000"/>
        <rFont val="Calibri"/>
        <family val="2"/>
        <scheme val="minor"/>
      </rPr>
      <t>IAAU1730498-40'</t>
    </r>
    <r>
      <rPr>
        <sz val="11"/>
        <color theme="1"/>
        <rFont val="Calibri"/>
        <family val="2"/>
        <scheme val="minor"/>
      </rPr>
      <t xml:space="preserve">
</t>
    </r>
    <r>
      <rPr>
        <sz val="11"/>
        <color rgb="FFFF0000"/>
        <rFont val="Calibri"/>
        <family val="2"/>
        <scheme val="minor"/>
      </rPr>
      <t>IAAU1734180-40'</t>
    </r>
    <r>
      <rPr>
        <sz val="11"/>
        <color theme="1"/>
        <rFont val="Calibri"/>
        <family val="2"/>
        <scheme val="minor"/>
      </rPr>
      <t xml:space="preserve">
</t>
    </r>
    <r>
      <rPr>
        <sz val="11"/>
        <color rgb="FFFF0000"/>
        <rFont val="Calibri"/>
        <family val="2"/>
        <scheme val="minor"/>
      </rPr>
      <t>IAAU1768810-40'</t>
    </r>
    <r>
      <rPr>
        <sz val="11"/>
        <color theme="1"/>
        <rFont val="Calibri"/>
        <family val="2"/>
        <scheme val="minor"/>
      </rPr>
      <t xml:space="preserve">
</t>
    </r>
    <r>
      <rPr>
        <sz val="11"/>
        <color rgb="FFFF0000"/>
        <rFont val="Calibri"/>
        <family val="2"/>
        <scheme val="minor"/>
      </rPr>
      <t>TCNU7355625-40'</t>
    </r>
    <r>
      <rPr>
        <sz val="11"/>
        <color theme="1"/>
        <rFont val="Calibri"/>
        <family val="2"/>
        <scheme val="minor"/>
      </rPr>
      <t xml:space="preserve">
</t>
    </r>
    <r>
      <rPr>
        <sz val="11"/>
        <color rgb="FFFF0000"/>
        <rFont val="Calibri"/>
        <family val="2"/>
        <scheme val="minor"/>
      </rPr>
      <t>TEMU6975215-40'</t>
    </r>
    <r>
      <rPr>
        <sz val="11"/>
        <color theme="1"/>
        <rFont val="Calibri"/>
        <family val="2"/>
        <scheme val="minor"/>
      </rPr>
      <t xml:space="preserve">
</t>
    </r>
    <r>
      <rPr>
        <sz val="11"/>
        <color rgb="FFFF0000"/>
        <rFont val="Calibri"/>
        <family val="2"/>
        <scheme val="minor"/>
      </rPr>
      <t>TEMU7863020-40'</t>
    </r>
  </si>
  <si>
    <t>508</t>
  </si>
  <si>
    <t>TSLGZ21010001208</t>
  </si>
  <si>
    <t>25-04-2021</t>
  </si>
  <si>
    <t>MENTAL CHAIR, LAMP, PAPER BAG</t>
  </si>
  <si>
    <t>1.DBYU9918008 /HQ/20.0050931</t>
  </si>
  <si>
    <t>714 P'KGS</t>
  </si>
  <si>
    <t>TSLGZ21010001646</t>
  </si>
  <si>
    <t>2.MOEU0003496/HQ/20.0051198</t>
  </si>
  <si>
    <t>509</t>
  </si>
  <si>
    <t>CMZ0536201</t>
  </si>
  <si>
    <t>LAMP, POTATO STARCH, MANIOC STARCH, WOLFBERRY JAM</t>
  </si>
  <si>
    <t>1.FCIU9054121/AEDXB2003758</t>
  </si>
  <si>
    <t>1250 CARTONS</t>
  </si>
  <si>
    <t>5091</t>
  </si>
  <si>
    <t>COAU7231213010</t>
  </si>
  <si>
    <t>2.CSNU6931314/CN229442</t>
  </si>
  <si>
    <t>5092</t>
  </si>
  <si>
    <t>COAU7231213030</t>
  </si>
  <si>
    <t>3.CBHU9118505/CN231297</t>
  </si>
  <si>
    <t>5081</t>
  </si>
  <si>
    <t>510</t>
  </si>
  <si>
    <t>VT204SH004</t>
  </si>
  <si>
    <t>DUMP TRUCK  6x4</t>
  </si>
  <si>
    <t>SHAANXI</t>
  </si>
  <si>
    <t>RECOVERY COLLECTION CONSULTANT CO.,LTD.</t>
  </si>
  <si>
    <t>20SQ2601064120C-3</t>
  </si>
  <si>
    <t>511</t>
  </si>
  <si>
    <t>COAU7231127200</t>
  </si>
  <si>
    <t>ONEROAD INDUSTRIAL (CAMBODIA) CO.,LTD</t>
  </si>
  <si>
    <t>JFQCEX20210324015</t>
  </si>
  <si>
    <t>26-04-2021</t>
  </si>
  <si>
    <t>HONGQI HS7, HONGQI H9, MAXUS G20</t>
  </si>
  <si>
    <t>1.TCKU6826921-40'HQ
2.OOLU6971607-40'HQ
3.CSNU7579260-40'HQ</t>
  </si>
  <si>
    <t>HYUNDAI</t>
  </si>
  <si>
    <t>512</t>
  </si>
  <si>
    <t>SHAWD064058</t>
  </si>
  <si>
    <t>YMC021001</t>
  </si>
  <si>
    <t>E217041721501007</t>
  </si>
  <si>
    <t>NEW MAXUS TRUCK</t>
  </si>
  <si>
    <t>NANJING</t>
  </si>
  <si>
    <t>513</t>
  </si>
  <si>
    <t>TSLGZ21010001652</t>
  </si>
  <si>
    <t>27-04-2021</t>
  </si>
  <si>
    <t>1.KKLU1056982/HQ/20.0051463</t>
  </si>
  <si>
    <t>514</t>
  </si>
  <si>
    <t>YMLUI232190933</t>
  </si>
  <si>
    <t>28-04-2022</t>
  </si>
  <si>
    <t>1.YMLU8881432/YMAI430087</t>
  </si>
  <si>
    <t>5141</t>
  </si>
  <si>
    <t>031B521641</t>
  </si>
  <si>
    <t>2.WHSU6165391/WHLK875135</t>
  </si>
  <si>
    <t>682 CARTONS</t>
  </si>
  <si>
    <t>5142</t>
  </si>
  <si>
    <t>031B521642</t>
  </si>
  <si>
    <t>3.WHSU6174916/WHLK875139</t>
  </si>
  <si>
    <t>5143</t>
  </si>
  <si>
    <t>031B521643</t>
  </si>
  <si>
    <t>4.BEAU5984472/WHLM809173</t>
  </si>
  <si>
    <t>515</t>
  </si>
  <si>
    <t>OMPLCHS210073</t>
  </si>
  <si>
    <t>006/2021</t>
  </si>
  <si>
    <t>D2021-0112023</t>
  </si>
  <si>
    <t>CCLU4636538-40'</t>
  </si>
  <si>
    <t>LCL RORO</t>
  </si>
  <si>
    <t>516</t>
  </si>
  <si>
    <t>COAU7231163751</t>
  </si>
  <si>
    <t>1.DFSU7628646/18659981
2.CSNU6283382/17963431
3.TCKU6102778/17937219</t>
  </si>
  <si>
    <t>1600 CARTONS</t>
  </si>
  <si>
    <t>5161</t>
  </si>
  <si>
    <t>031B524101</t>
  </si>
  <si>
    <t>4.WHSU5111256/WHLC898950</t>
  </si>
  <si>
    <t>673 CARTONS</t>
  </si>
  <si>
    <t>CNH0277400</t>
  </si>
  <si>
    <t xml:space="preserve">OYSTER SAUCE, DARK SOYA SAUCE </t>
  </si>
  <si>
    <t>5.FTAU1128341/SSA0207297</t>
  </si>
  <si>
    <t>20'GP</t>
  </si>
  <si>
    <t>1970 CARTONS</t>
  </si>
  <si>
    <t>5162</t>
  </si>
  <si>
    <t>517</t>
  </si>
  <si>
    <t>MOLU18001950699</t>
  </si>
  <si>
    <t>MINGYANG GUOJI TRADING CO.,LTD</t>
  </si>
  <si>
    <t>HZX20200315A</t>
  </si>
  <si>
    <t>HONGQI H9 CA7205
HONGQI H9 CA7205
HONGQI E-HS9 CA6520</t>
  </si>
  <si>
    <t>CHINA FAW GROUP</t>
  </si>
  <si>
    <t>518</t>
  </si>
  <si>
    <t>H-SRUN64258/21</t>
  </si>
  <si>
    <t>1.MSKU6000092-40</t>
  </si>
  <si>
    <t>ARIVIR</t>
  </si>
  <si>
    <t>519</t>
  </si>
  <si>
    <t>TSLGZ21010001658</t>
  </si>
  <si>
    <t>04-05-2021</t>
  </si>
  <si>
    <t>07-05-2021</t>
  </si>
  <si>
    <t>1.MSKU4535325/HQ/20.0052672</t>
  </si>
  <si>
    <t>UMG</t>
  </si>
  <si>
    <t>SREY CHINDA</t>
  </si>
  <si>
    <t>520</t>
  </si>
  <si>
    <t>TSLGZ21010001662</t>
  </si>
  <si>
    <t>10-05-2021</t>
  </si>
  <si>
    <t>1.KKFU9009840/HQ/20.0052875</t>
  </si>
  <si>
    <t xml:space="preserve">596 CTNS </t>
  </si>
  <si>
    <t>5201</t>
  </si>
  <si>
    <t>TCMAA01746624</t>
  </si>
  <si>
    <t>2.GLDU0821990/HQ/20.0052938</t>
  </si>
  <si>
    <t>521</t>
  </si>
  <si>
    <t>TENG LAY (MS. HONG)</t>
  </si>
  <si>
    <t>AAWE023283</t>
  </si>
  <si>
    <t>HONGQI H9</t>
  </si>
  <si>
    <t>1. CMAU1437833-20'
2. TRHU2936322-20'</t>
  </si>
  <si>
    <t>HANGZHOU</t>
  </si>
  <si>
    <t>522</t>
  </si>
  <si>
    <t>523</t>
  </si>
  <si>
    <t>SHAWD064130</t>
  </si>
  <si>
    <t>CAM20210201ZA</t>
  </si>
  <si>
    <t>E21MA40JYKR91028</t>
  </si>
  <si>
    <t xml:space="preserve">1.BMOU4093030-40'HQ
2.BSIU9703465-40'HQ
3.GLDU7409563-40'HQ
4.TEMU6563141-40'HQ
5.TGBU5776707-40'HQ
6.ZCSU7016210-40'HQ
7.ZCSU7063926-40'HQ
8.ZCSU8452898-40'HQ
9.ZCSU8610057-40'HQ
10.ZCSU8618607-40'HQ
11.ZCSU8858790-40'HQ
12.ZCSU8875924-40'HQ
13.ZCSU8944286-40'HQ
</t>
  </si>
  <si>
    <t>SHAWD064166</t>
  </si>
  <si>
    <t>CAM20210201NRX8A</t>
  </si>
  <si>
    <t>E217331624455004</t>
  </si>
  <si>
    <t>1.ZCSU8249772-40'HQ</t>
  </si>
  <si>
    <t>E21MA40JYKR91024</t>
  </si>
  <si>
    <r>
      <rPr>
        <sz val="11"/>
        <color rgb="FFFF0000"/>
        <rFont val="Calibri"/>
        <family val="2"/>
        <scheme val="minor"/>
      </rPr>
      <t>1.ZCSU6528470</t>
    </r>
    <r>
      <rPr>
        <sz val="11"/>
        <color theme="1"/>
        <rFont val="Calibri"/>
        <family val="2"/>
        <scheme val="minor"/>
      </rPr>
      <t xml:space="preserve">-40'HQ
</t>
    </r>
    <r>
      <rPr>
        <sz val="11"/>
        <color rgb="FFFF0000"/>
        <rFont val="Calibri"/>
        <family val="2"/>
        <scheme val="minor"/>
      </rPr>
      <t>2.ZCSU7028587</t>
    </r>
    <r>
      <rPr>
        <sz val="11"/>
        <color theme="1"/>
        <rFont val="Calibri"/>
        <family val="2"/>
        <scheme val="minor"/>
      </rPr>
      <t>-40'HQ</t>
    </r>
  </si>
  <si>
    <r>
      <t xml:space="preserve">1. </t>
    </r>
    <r>
      <rPr>
        <sz val="11"/>
        <color rgb="FFFF0000"/>
        <rFont val="Calibri"/>
        <family val="2"/>
        <scheme val="minor"/>
      </rPr>
      <t>FSCU8153936</t>
    </r>
    <r>
      <rPr>
        <sz val="11"/>
        <color theme="1"/>
        <rFont val="Calibri"/>
        <family val="2"/>
        <scheme val="minor"/>
      </rPr>
      <t xml:space="preserve">-40'
2. </t>
    </r>
    <r>
      <rPr>
        <sz val="11"/>
        <color rgb="FFFF0000"/>
        <rFont val="Calibri"/>
        <family val="2"/>
        <scheme val="minor"/>
      </rPr>
      <t>GCXU5344043</t>
    </r>
    <r>
      <rPr>
        <sz val="11"/>
        <color theme="1"/>
        <rFont val="Calibri"/>
        <family val="2"/>
        <scheme val="minor"/>
      </rPr>
      <t xml:space="preserve">-40'
3. </t>
    </r>
    <r>
      <rPr>
        <sz val="11"/>
        <color rgb="FFFF0000"/>
        <rFont val="Calibri"/>
        <family val="2"/>
        <scheme val="minor"/>
      </rPr>
      <t>SEGU5680070</t>
    </r>
    <r>
      <rPr>
        <sz val="11"/>
        <color theme="1"/>
        <rFont val="Calibri"/>
        <family val="2"/>
        <scheme val="minor"/>
      </rPr>
      <t xml:space="preserve">-40'
4. </t>
    </r>
    <r>
      <rPr>
        <sz val="11"/>
        <color rgb="FFFF0000"/>
        <rFont val="Calibri"/>
        <family val="2"/>
        <scheme val="minor"/>
      </rPr>
      <t>TCNU4419670</t>
    </r>
    <r>
      <rPr>
        <sz val="11"/>
        <color theme="1"/>
        <rFont val="Calibri"/>
        <family val="2"/>
        <scheme val="minor"/>
      </rPr>
      <t xml:space="preserve">-40'
5. </t>
    </r>
    <r>
      <rPr>
        <sz val="11"/>
        <color rgb="FFFF0000"/>
        <rFont val="Calibri"/>
        <family val="2"/>
        <scheme val="minor"/>
      </rPr>
      <t>TCNU8771308</t>
    </r>
    <r>
      <rPr>
        <sz val="11"/>
        <color theme="1"/>
        <rFont val="Calibri"/>
        <family val="2"/>
        <scheme val="minor"/>
      </rPr>
      <t xml:space="preserve">-40'
6. </t>
    </r>
    <r>
      <rPr>
        <sz val="11"/>
        <color rgb="FFFF0000"/>
        <rFont val="Calibri"/>
        <family val="2"/>
        <scheme val="minor"/>
      </rPr>
      <t>TLLU4781280</t>
    </r>
    <r>
      <rPr>
        <sz val="11"/>
        <color theme="1"/>
        <rFont val="Calibri"/>
        <family val="2"/>
        <scheme val="minor"/>
      </rPr>
      <t xml:space="preserve">-40'
7. </t>
    </r>
    <r>
      <rPr>
        <sz val="11"/>
        <color rgb="FFFF0000"/>
        <rFont val="Calibri"/>
        <family val="2"/>
        <scheme val="minor"/>
      </rPr>
      <t>ZCSU6548856</t>
    </r>
    <r>
      <rPr>
        <sz val="11"/>
        <color theme="1"/>
        <rFont val="Calibri"/>
        <family val="2"/>
        <scheme val="minor"/>
      </rPr>
      <t xml:space="preserve">-40'
8. </t>
    </r>
    <r>
      <rPr>
        <sz val="11"/>
        <color rgb="FFFF0000"/>
        <rFont val="Calibri"/>
        <family val="2"/>
        <scheme val="minor"/>
      </rPr>
      <t>ZCSU8656510</t>
    </r>
    <r>
      <rPr>
        <sz val="11"/>
        <color theme="1"/>
        <rFont val="Calibri"/>
        <family val="2"/>
        <scheme val="minor"/>
      </rPr>
      <t xml:space="preserve">-40'
9. </t>
    </r>
    <r>
      <rPr>
        <sz val="11"/>
        <color rgb="FFFF0000"/>
        <rFont val="Calibri"/>
        <family val="2"/>
        <scheme val="minor"/>
      </rPr>
      <t>ZCSU8677678</t>
    </r>
    <r>
      <rPr>
        <sz val="11"/>
        <color theme="1"/>
        <rFont val="Calibri"/>
        <family val="2"/>
        <scheme val="minor"/>
      </rPr>
      <t xml:space="preserve">-40'
10. </t>
    </r>
    <r>
      <rPr>
        <sz val="11"/>
        <color rgb="FFFF0000"/>
        <rFont val="Calibri"/>
        <family val="2"/>
        <scheme val="minor"/>
      </rPr>
      <t>ZCSU8830914</t>
    </r>
    <r>
      <rPr>
        <sz val="11"/>
        <color theme="1"/>
        <rFont val="Calibri"/>
        <family val="2"/>
        <scheme val="minor"/>
      </rPr>
      <t xml:space="preserve">-40'
11. </t>
    </r>
    <r>
      <rPr>
        <sz val="11"/>
        <color rgb="FFFF0000"/>
        <rFont val="Calibri"/>
        <family val="2"/>
        <scheme val="minor"/>
      </rPr>
      <t>ZCSU8843640</t>
    </r>
    <r>
      <rPr>
        <sz val="11"/>
        <color theme="1"/>
        <rFont val="Calibri"/>
        <family val="2"/>
        <scheme val="minor"/>
      </rPr>
      <t xml:space="preserve">-40'
12. </t>
    </r>
    <r>
      <rPr>
        <sz val="11"/>
        <color rgb="FFFF0000"/>
        <rFont val="Calibri"/>
        <family val="2"/>
        <scheme val="minor"/>
      </rPr>
      <t>ZCSU8873496</t>
    </r>
    <r>
      <rPr>
        <sz val="11"/>
        <color theme="1"/>
        <rFont val="Calibri"/>
        <family val="2"/>
        <scheme val="minor"/>
      </rPr>
      <t>-40'</t>
    </r>
  </si>
  <si>
    <t>524</t>
  </si>
  <si>
    <t>TSLGZ21010001668</t>
  </si>
  <si>
    <t>13-05-2021</t>
  </si>
  <si>
    <t>LAMP, PAPER BAG, CHILDEN'S TOY CAR</t>
  </si>
  <si>
    <t>1.COAU9002378/HQ/20.0053262</t>
  </si>
  <si>
    <t>525</t>
  </si>
  <si>
    <t>MAAPNHL01039</t>
  </si>
  <si>
    <t>PHUOC LONG 6 V.136W</t>
  </si>
  <si>
    <t>INDIA</t>
  </si>
  <si>
    <t xml:space="preserve">EICHER </t>
  </si>
  <si>
    <t>526</t>
  </si>
  <si>
    <t>15-05-2021</t>
  </si>
  <si>
    <t>1.MSKU8253799/ML-CN8330109</t>
  </si>
  <si>
    <t>527</t>
  </si>
  <si>
    <t>TSLGZ21010001672</t>
  </si>
  <si>
    <t>1.HSDU2019022/HQ/20.0053524</t>
  </si>
  <si>
    <t>210235501</t>
  </si>
  <si>
    <t>EIC/2021/130/0184244A/00177401</t>
  </si>
  <si>
    <t>30 BOX(ES)</t>
  </si>
  <si>
    <t>1.NYKU0748943/IN0663814</t>
  </si>
  <si>
    <t>40´HC</t>
  </si>
  <si>
    <t>528</t>
  </si>
  <si>
    <t>529</t>
  </si>
  <si>
    <t>TSLGZ21010001676</t>
  </si>
  <si>
    <t>PLASTIC LUNCH BOX, LAMP, CHILDEN'S TOY CAR</t>
  </si>
  <si>
    <t>17-05-2021</t>
  </si>
  <si>
    <t>530</t>
  </si>
  <si>
    <t>ONEYBH1RA0130900</t>
  </si>
  <si>
    <t>H-SRUN30900/21</t>
  </si>
  <si>
    <t>1.UETU4077580-40</t>
  </si>
  <si>
    <t>531</t>
  </si>
  <si>
    <t xml:space="preserve"> EGLV703180513825</t>
  </si>
  <si>
    <t>H-SRUN13825/21</t>
  </si>
  <si>
    <t>CADILLAC ESCALADE</t>
  </si>
  <si>
    <t>1.TCLU4953800-40</t>
  </si>
  <si>
    <t>ARIVIR CORP</t>
  </si>
  <si>
    <t>532</t>
  </si>
  <si>
    <t>ONEYBH1RA0111800</t>
  </si>
  <si>
    <t>H-SRUN11800/21</t>
  </si>
  <si>
    <t>1.TCLU2687872-20</t>
  </si>
  <si>
    <t>MAKS MOTORS</t>
  </si>
  <si>
    <t>533</t>
  </si>
  <si>
    <t>TSLGZ21010001678</t>
  </si>
  <si>
    <t>18-05-2021</t>
  </si>
  <si>
    <t>PLASTIC LUNCH BOX, LAMP, PAPER BAG</t>
  </si>
  <si>
    <t>1.VHLU2020001/HQ/20.0053866</t>
  </si>
  <si>
    <t>680 PACKAGES</t>
  </si>
  <si>
    <t>5331</t>
  </si>
  <si>
    <t>TSLGZ21010001680</t>
  </si>
  <si>
    <t>2.HDMU6977765/HQ/20.0053945</t>
  </si>
  <si>
    <t>690 CARTONS</t>
  </si>
  <si>
    <t>1.  HJCU9014013/HQ/20.0053603</t>
  </si>
  <si>
    <t xml:space="preserve">460 PACKAGES </t>
  </si>
  <si>
    <t>534</t>
  </si>
  <si>
    <t>COAU7882574960</t>
  </si>
  <si>
    <t>19-05-2021</t>
  </si>
  <si>
    <t>1.TEMU8177045/18243536</t>
  </si>
  <si>
    <t>535</t>
  </si>
  <si>
    <t>TSLGZ21010001684</t>
  </si>
  <si>
    <t>5351</t>
  </si>
  <si>
    <t>1.​  DHLU2021010/HQ/20.0054585</t>
  </si>
  <si>
    <t>TSLGZ21010001686</t>
  </si>
  <si>
    <t>FLIP FLOP, PLASTIC LUNCH BOX, CHILDEN'S TOY CAR</t>
  </si>
  <si>
    <t>2.  IMEU2020018/HQ/20.0054581</t>
  </si>
  <si>
    <t>OMPLCHS210100</t>
  </si>
  <si>
    <t>008/2021</t>
  </si>
  <si>
    <t>009/2021</t>
  </si>
  <si>
    <t xml:space="preserve">JUMBO ROLL TISSUE PAPER, </t>
  </si>
  <si>
    <t>5281</t>
  </si>
  <si>
    <t>CARTON BOX, PLASTIC WRAPPR, PAPER CORE, KRAFT PAPER, SPARE PART</t>
  </si>
  <si>
    <t>62 ROLLS</t>
  </si>
  <si>
    <t>TCKU9552470-40', TTNU9518175-40'</t>
  </si>
  <si>
    <t>OMPL9918195-40', DRYU2029161-20'</t>
  </si>
  <si>
    <t>33 PALLETS</t>
  </si>
  <si>
    <t>536</t>
  </si>
  <si>
    <t>5361</t>
  </si>
  <si>
    <t>TSLGZ21010001688</t>
  </si>
  <si>
    <t>23-05-2021</t>
  </si>
  <si>
    <t>1. MSKU4535325/HQ/20.0054850</t>
  </si>
  <si>
    <t>TCMAA01768845</t>
  </si>
  <si>
    <t>2. XXLU2020018/HQ/20.0054855</t>
  </si>
  <si>
    <t>700 PACKAGES</t>
  </si>
  <si>
    <t>720 CARTONS</t>
  </si>
  <si>
    <t>537</t>
  </si>
  <si>
    <t>TSLGZ21010001690</t>
  </si>
  <si>
    <t>5371</t>
  </si>
  <si>
    <t>1. CCLU9928553/HQ/20.0054992</t>
  </si>
  <si>
    <t>TSLGZ21010001692</t>
  </si>
  <si>
    <t>2. DHLU2021020/HQ/20.0055012</t>
  </si>
  <si>
    <t>24-05-2021</t>
  </si>
  <si>
    <t>538</t>
  </si>
  <si>
    <t>TCMAA01768848</t>
  </si>
  <si>
    <t>25-05-2021</t>
  </si>
  <si>
    <t xml:space="preserve">730 CARTONS </t>
  </si>
  <si>
    <t>1. NYKU4528682/HQ/20.0055089</t>
  </si>
  <si>
    <t>539</t>
  </si>
  <si>
    <t>167BA00460</t>
  </si>
  <si>
    <t>H-SRUN00460/21</t>
  </si>
  <si>
    <t xml:space="preserve">CADILLAC ESCALADE </t>
  </si>
  <si>
    <t>1.TRHU4924974-40</t>
  </si>
  <si>
    <t>540</t>
  </si>
  <si>
    <t>TSLGZ21010001696</t>
  </si>
  <si>
    <t>27-05-2021</t>
  </si>
  <si>
    <t>1.YMLU9508510/HQ/20.0055299</t>
  </si>
  <si>
    <t xml:space="preserve">354 PACKAGES </t>
  </si>
  <si>
    <t>09-05-2021</t>
  </si>
  <si>
    <t>541</t>
  </si>
  <si>
    <t>TSLGZ21010001699</t>
  </si>
  <si>
    <t>28-05-2021</t>
  </si>
  <si>
    <t>1.OOLU9013217/HQ/20.0055379</t>
  </si>
  <si>
    <t xml:space="preserve">720 BAGS </t>
  </si>
  <si>
    <t>542</t>
  </si>
  <si>
    <t>ONEYRICBA3190700</t>
  </si>
  <si>
    <t>HHJSD-00133</t>
  </si>
  <si>
    <t>NEW CAR FORD F-150 KING RANCH PICK UP</t>
  </si>
  <si>
    <t>1.MOEU0703226/45'</t>
  </si>
  <si>
    <t>EXPORTOUT LLC</t>
  </si>
  <si>
    <t>543</t>
  </si>
  <si>
    <t>544</t>
  </si>
  <si>
    <t>545</t>
  </si>
  <si>
    <t>546</t>
  </si>
  <si>
    <t>547</t>
  </si>
  <si>
    <t>548</t>
  </si>
  <si>
    <t>549</t>
  </si>
  <si>
    <t>550</t>
  </si>
  <si>
    <t>SHAWD064526</t>
  </si>
  <si>
    <t>CAM20210316SHS</t>
  </si>
  <si>
    <t>E211322602505006</t>
  </si>
  <si>
    <t>NEW CAR MG HS</t>
  </si>
  <si>
    <t>1.DFSU6297292-40'HQ
2.FCIU8639214-40'HQ</t>
  </si>
  <si>
    <t>SHAWD064527</t>
  </si>
  <si>
    <t>CAM20210301SHS</t>
  </si>
  <si>
    <t>E211322602505005</t>
  </si>
  <si>
    <t>NEW CAR MG 1.5T</t>
  </si>
  <si>
    <t>SHAWD064528</t>
  </si>
  <si>
    <t>CAM20210316N</t>
  </si>
  <si>
    <t>E217331624455005</t>
  </si>
  <si>
    <t>NEW CAR MG 6 1.5T DCT</t>
  </si>
  <si>
    <t>1.FCIU8685267-40'HQ
2.GAOU6077490-40'HQ
3.TCKU7153553-40'HQ</t>
  </si>
  <si>
    <t>SHAWD064529</t>
  </si>
  <si>
    <t>CAM20210301N</t>
  </si>
  <si>
    <t>E217331624455006</t>
  </si>
  <si>
    <t>1.AMFU8822321/A4200263423
2.JXLU7003505/A4200263372
3.TCNU4243621/A4200263473
4.TCNU7614177/A4200263319
5.TCNU8549590/A4200263478
6.TEMU7838691/A4200263321
7.TLLU4595881/A4200263327
8.ZCSU7096703/A4200263476
9.ZCSU7102283/A4200263406
10.ZCSU8513397/A4200263430
11.ZCSU8681370/A4200263460
12.ZCSU8923719/A4200263349</t>
  </si>
  <si>
    <t>40'HQ
40'HQ
40'HQ
40'HQ
40'HQ
40'HQ
40'HQ
40'HQ
40'HQ
40'HQ
40'HQ
40'HQ</t>
  </si>
  <si>
    <t>SHAWD064454</t>
  </si>
  <si>
    <t>CAM20210201ZB</t>
  </si>
  <si>
    <t>E21MA40JYKR91033</t>
  </si>
  <si>
    <t>1.GAOU6046226/A4200263407
2.TEMU6746374/A4200263486
3.TRLU8255540/A4200263330
4.ZCSU7126027/A4200263328
5.ZCSU8740873/ZZCSB462831</t>
  </si>
  <si>
    <t>40'HQ
40'HQ
40'HQ
40'HQ
40'HQ</t>
  </si>
  <si>
    <t>ONEYKW0TA0621300</t>
  </si>
  <si>
    <t>H-SRUN21300/21</t>
  </si>
  <si>
    <t>1. TCNU7777512-40HQ</t>
  </si>
  <si>
    <t>E200781997181172</t>
  </si>
  <si>
    <t>E200781997181171</t>
  </si>
  <si>
    <t>TSLGZ21010001702</t>
  </si>
  <si>
    <t>LAMP, PAPER BAG</t>
  </si>
  <si>
    <t>1.DHLU2021015/HQ/20.0055546</t>
  </si>
  <si>
    <t>JM210411005YHSIH</t>
  </si>
  <si>
    <t>SITC JIANGS V.2108S</t>
  </si>
  <si>
    <t>USED CAR  BRAND: TOYOTA CROWN</t>
  </si>
  <si>
    <t>1.BEAU2714679/SITK910769</t>
  </si>
  <si>
    <t>551</t>
  </si>
  <si>
    <t>TCMAA01768856</t>
  </si>
  <si>
    <t>31-05-2021</t>
  </si>
  <si>
    <t>NEW PLASTIC TOY CAR, NEW BICYCLE</t>
  </si>
  <si>
    <t>1.PONU3025395/HQ/20.0055726</t>
  </si>
  <si>
    <t xml:space="preserve">660 CARTONS </t>
  </si>
  <si>
    <t>552</t>
  </si>
  <si>
    <t>TCMAA01768862</t>
  </si>
  <si>
    <t>1.DHHU2020666/ HQ/20.0055920</t>
  </si>
  <si>
    <t>20321693ETC</t>
  </si>
  <si>
    <t xml:space="preserve">722 CARTONS </t>
  </si>
  <si>
    <t>5521</t>
  </si>
  <si>
    <t>TSLGZ21010001706</t>
  </si>
  <si>
    <t>2.TSTU1680070/HQ/20.0055979</t>
  </si>
  <si>
    <t>620 PACKAGES</t>
  </si>
  <si>
    <t>553</t>
  </si>
  <si>
    <t>YMLUN688027221</t>
  </si>
  <si>
    <t>H-SRUN27221/21</t>
  </si>
  <si>
    <t>NEW CAR LAND ROVER DEFENDER</t>
  </si>
  <si>
    <t>1.TLLU6006738-40</t>
  </si>
  <si>
    <t>6177 GROVEDALE</t>
  </si>
  <si>
    <t>554</t>
  </si>
  <si>
    <t>CT2021-2005</t>
  </si>
  <si>
    <t xml:space="preserve"> JSD-RN-0034</t>
  </si>
  <si>
    <t>NEW MERCEDES BENZ G63 AMG</t>
  </si>
  <si>
    <t>POI01</t>
  </si>
  <si>
    <t>555</t>
  </si>
  <si>
    <t>SHAWD064333</t>
  </si>
  <si>
    <t>20 PACKAGES</t>
  </si>
  <si>
    <t>1.TGBU7071423 / A4200263466</t>
  </si>
  <si>
    <t>ST GREEN V.045S</t>
  </si>
  <si>
    <t>556</t>
  </si>
  <si>
    <t>TSLGZ21010001714</t>
  </si>
  <si>
    <t>1.GLDU0821990/HQ/20.0056136</t>
  </si>
  <si>
    <t>5561</t>
  </si>
  <si>
    <t>TSLGZ21010001712</t>
  </si>
  <si>
    <t>2. SALU9990005/HQ/20.0056134</t>
  </si>
  <si>
    <t>5562</t>
  </si>
  <si>
    <t>CMZ0545383</t>
  </si>
  <si>
    <t>3.FCIU8106339/P7929871</t>
  </si>
  <si>
    <t>557</t>
  </si>
  <si>
    <t>03-06-2021</t>
  </si>
  <si>
    <t>MOLU18001983100</t>
  </si>
  <si>
    <t>HUAN YA HE ZHONG (CAMBODIA) TRADING CO., LTD</t>
  </si>
  <si>
    <t>CI-PV-21-600038-1</t>
  </si>
  <si>
    <t>NEW CAR BYD E2 ELECTRONIC CAR</t>
  </si>
  <si>
    <t>558</t>
  </si>
  <si>
    <t>TC21-0106</t>
  </si>
  <si>
    <t>SAN FENG JIAN ZHU CO.,LTD.</t>
  </si>
  <si>
    <t>HHSFJ-00134</t>
  </si>
  <si>
    <t>TC PARTNER</t>
  </si>
  <si>
    <t>NEW CAR LEXUS LX570 BLACK EDITION</t>
  </si>
  <si>
    <t>BYD</t>
  </si>
  <si>
    <t>HHA</t>
  </si>
  <si>
    <t>POI02</t>
  </si>
  <si>
    <t>01-06-2021</t>
  </si>
  <si>
    <t>BAV01</t>
  </si>
  <si>
    <t>559</t>
  </si>
  <si>
    <t>560</t>
  </si>
  <si>
    <t>TSLGZ21010001716</t>
  </si>
  <si>
    <t>05-06-2021</t>
  </si>
  <si>
    <t>1.DHLU2021022/HQ/20.0056372</t>
  </si>
  <si>
    <t xml:space="preserve">800 BAGS </t>
  </si>
  <si>
    <t>5601</t>
  </si>
  <si>
    <t>YMLUI232194112</t>
  </si>
  <si>
    <t>PLASTIC LUNCH BOX , LAMP, PAPER BAG</t>
  </si>
  <si>
    <t>2.SEGU4690644/YMAI750405</t>
  </si>
  <si>
    <t xml:space="preserve">640 PACKAGES </t>
  </si>
  <si>
    <t>NULL</t>
  </si>
  <si>
    <t>RTN</t>
  </si>
  <si>
    <t>561</t>
  </si>
  <si>
    <t>TSLGZ21010001718</t>
  </si>
  <si>
    <t>06-06-2021</t>
  </si>
  <si>
    <t>1.MOEU0003496/HQ/20.0056421</t>
  </si>
  <si>
    <t>562</t>
  </si>
  <si>
    <t>ONEYKW0TA0581800</t>
  </si>
  <si>
    <t>OBSEO IMPEX CO., LTD.</t>
  </si>
  <si>
    <t>HS-097</t>
  </si>
  <si>
    <t>1.BEAU5252960-40</t>
  </si>
  <si>
    <t>563</t>
  </si>
  <si>
    <t>ONEYKW0TA0674400</t>
  </si>
  <si>
    <t>H-SRUN74400/21</t>
  </si>
  <si>
    <t>1.TCLU4543637-40</t>
  </si>
  <si>
    <t>WMC NEW</t>
  </si>
  <si>
    <t>V99</t>
  </si>
  <si>
    <t>564</t>
  </si>
  <si>
    <t>DXB0561352</t>
  </si>
  <si>
    <t>HHJSD-00121</t>
  </si>
  <si>
    <t>NEW CAR  TOYOTA COASTER HIROOF (30 SEATS)</t>
  </si>
  <si>
    <t>1.CMAU5153901-40</t>
  </si>
  <si>
    <t>565</t>
  </si>
  <si>
    <t>ONEYDXBB03604601</t>
  </si>
  <si>
    <t>HHJSD-00119</t>
  </si>
  <si>
    <t>NEW CAR  TOYOTA LEXUS LX 570</t>
  </si>
  <si>
    <t>1.TCNU9630813-40</t>
  </si>
  <si>
    <t>566</t>
  </si>
  <si>
    <t>MEDUSV282828</t>
  </si>
  <si>
    <t>HHJSD-00117</t>
  </si>
  <si>
    <t>BELIZE</t>
  </si>
  <si>
    <t>NEW CAR MERCEDES-BENZ G500</t>
  </si>
  <si>
    <t>1.MSCU4746442-40</t>
  </si>
  <si>
    <t>BUK-AUTO</t>
  </si>
  <si>
    <t>567</t>
  </si>
  <si>
    <t>TSLGZ21010001721</t>
  </si>
  <si>
    <t>07-06-2021</t>
  </si>
  <si>
    <t>1.DHLU2021006/HQ/20.0056607</t>
  </si>
  <si>
    <t>568</t>
  </si>
  <si>
    <t>TSLGZ21010001724</t>
  </si>
  <si>
    <t>09-06-2021</t>
  </si>
  <si>
    <t>1.DHLU2021009/HQ/20.0056865</t>
  </si>
  <si>
    <t xml:space="preserve">625 PACKAGES </t>
  </si>
  <si>
    <t>TCMAA01768912</t>
  </si>
  <si>
    <t>2.MSKU4509687/HQ/20.0056863</t>
  </si>
  <si>
    <t>5681</t>
  </si>
  <si>
    <t>SEA-LCL</t>
  </si>
  <si>
    <t>569</t>
  </si>
  <si>
    <t>ONEYBH1RA0176500</t>
  </si>
  <si>
    <t>BRIDGE V.0181N</t>
  </si>
  <si>
    <t>1.DFSU2941030/ BH000709A</t>
  </si>
  <si>
    <t>570</t>
  </si>
  <si>
    <t>ONEYHAMB46368400</t>
  </si>
  <si>
    <t>NEW MOTORBIKES BMW R 1250 RT</t>
  </si>
  <si>
    <t>1.NYKU5260458/ CTSD004753</t>
  </si>
  <si>
    <t>LUXURY CARS</t>
  </si>
  <si>
    <t>NEW CAR TOYOTA LAND CRUISER PICK UP D-CAB DSL 4.5 FULL - 2021 MODEL</t>
  </si>
  <si>
    <t>SCAN STATION</t>
  </si>
  <si>
    <t>571</t>
  </si>
  <si>
    <t>COAU7882632800</t>
  </si>
  <si>
    <t>10-06-2021</t>
  </si>
  <si>
    <t>1.UETU5302788/19295631
2.TRLU8170818/19295605</t>
  </si>
  <si>
    <t>1065 CARTONS</t>
  </si>
  <si>
    <t>5711</t>
  </si>
  <si>
    <t>COAU7882632790</t>
  </si>
  <si>
    <t>3.UETU5219884/19295619</t>
  </si>
  <si>
    <t>715 CARTONS</t>
  </si>
  <si>
    <t>5712</t>
  </si>
  <si>
    <t>TCMAA01768914</t>
  </si>
  <si>
    <t>4.DHLU2021012/HQ/20.0057055</t>
  </si>
  <si>
    <t xml:space="preserve">730 CTNS </t>
  </si>
  <si>
    <t>11.06.2021</t>
  </si>
  <si>
    <t>1 TRAILER</t>
  </si>
  <si>
    <t>572</t>
  </si>
  <si>
    <t>573</t>
  </si>
  <si>
    <t>TCMAA01768936</t>
  </si>
  <si>
    <t>ALUMINUM KITCHENWARE</t>
  </si>
  <si>
    <t>1.TRLU5499420/HQ/20. 0057240</t>
  </si>
  <si>
    <t>760 CARTONS</t>
  </si>
  <si>
    <t>024B530789</t>
  </si>
  <si>
    <t>13.06.2021</t>
  </si>
  <si>
    <t>1.WHLU5574851/WHLJ557488</t>
  </si>
  <si>
    <t>COAU7232262640</t>
  </si>
  <si>
    <t>CL</t>
  </si>
  <si>
    <t>JFQCEX20210611</t>
  </si>
  <si>
    <t>HONGQI H9,HONGQI H5, HONGQI HS5, HONGQI E-HS9</t>
  </si>
  <si>
    <t>1.CSNU6966408-40HQ
2.OOCU8105293-40HQ
3.TRHU5833689-40HQ
4.CBHU9529390-40HQ</t>
  </si>
  <si>
    <t>574</t>
  </si>
  <si>
    <t>TCMAA01768942</t>
  </si>
  <si>
    <t>14.06.2021</t>
  </si>
  <si>
    <t>1.APLU4636504/HQ/20. 0057520</t>
  </si>
  <si>
    <t>716 CARTONS</t>
  </si>
  <si>
    <t>5751</t>
  </si>
  <si>
    <t>TSLGZ21010001745</t>
  </si>
  <si>
    <t>2.MSKU4535325/HQ/20. 0057519</t>
  </si>
  <si>
    <t xml:space="preserve">626 PACKAGES </t>
  </si>
  <si>
    <t>575</t>
  </si>
  <si>
    <t>576</t>
  </si>
  <si>
    <t>SHAWD064546</t>
  </si>
  <si>
    <t>YMC021008</t>
  </si>
  <si>
    <t>E217041721501012</t>
  </si>
  <si>
    <t>NEW MAXUS REFRIGERATOR TRUCK</t>
  </si>
  <si>
    <t xml:space="preserve">1.AMFU1500540 / 20'FR </t>
  </si>
  <si>
    <t xml:space="preserve">20'FR </t>
  </si>
  <si>
    <t>D2021-0130584</t>
  </si>
  <si>
    <t>TSLGZ21010001732</t>
  </si>
  <si>
    <t>24000</t>
  </si>
  <si>
    <t>1.DHLU2021014/HQ/20.0057374</t>
  </si>
  <si>
    <t>577</t>
  </si>
  <si>
    <t>TSLGZ21010001752</t>
  </si>
  <si>
    <t>16.06.2021</t>
  </si>
  <si>
    <t>1.KKFU9040390/HQ/20.0057951</t>
  </si>
  <si>
    <t>5771</t>
  </si>
  <si>
    <t>TSLGZ21010001754</t>
  </si>
  <si>
    <t>LAMP, PLASTIC LUNCH BOX, PAPER BAG</t>
  </si>
  <si>
    <t>2.BTDU5002004/HQ/20.0057878</t>
  </si>
  <si>
    <t>624 PACKAGES</t>
  </si>
  <si>
    <t>578</t>
  </si>
  <si>
    <t>OOLU2663065010</t>
  </si>
  <si>
    <t>BRIDGE V.0182N</t>
  </si>
  <si>
    <t>15.06.2021</t>
  </si>
  <si>
    <t>SCHENEFELD</t>
  </si>
  <si>
    <t>1.TGBU8573766 /CTSD004843
2.SEGU4169662 /CTSD004959</t>
  </si>
  <si>
    <t>LUXURY</t>
  </si>
  <si>
    <t>12 PACKAGES</t>
  </si>
  <si>
    <t>579</t>
  </si>
  <si>
    <t>SITGTASV874693</t>
  </si>
  <si>
    <t>HZX20210603</t>
  </si>
  <si>
    <t>1.BMOU6468686-40
2.CXDU2121888-40</t>
  </si>
  <si>
    <t>CHINA FAW</t>
  </si>
  <si>
    <t>MYGT</t>
  </si>
  <si>
    <t>580</t>
  </si>
  <si>
    <t>COAU7232186870</t>
  </si>
  <si>
    <t xml:space="preserve">PHUOC LONG 8 V.058W </t>
  </si>
  <si>
    <t>LAUNDRY DETERGENT</t>
  </si>
  <si>
    <t>1.TCNU5576340 /17968607</t>
  </si>
  <si>
    <t>2089 CARTONS</t>
  </si>
  <si>
    <t>40HQ</t>
  </si>
  <si>
    <t>HUIZHOU CITY</t>
  </si>
  <si>
    <t>581</t>
  </si>
  <si>
    <t>OOLU2121835749</t>
  </si>
  <si>
    <t>17.06.2021</t>
  </si>
  <si>
    <t>1.CBHU9423047/OOLGSN7422</t>
  </si>
  <si>
    <t>582</t>
  </si>
  <si>
    <t>LAX-CAM-D2101</t>
  </si>
  <si>
    <t>BRIDGE V.0183N</t>
  </si>
  <si>
    <t>22.06.2021</t>
  </si>
  <si>
    <t>1.OOLU1635370/181978</t>
  </si>
  <si>
    <t>20'STD</t>
  </si>
  <si>
    <t>USED AUTO:1992 CHEVROLET CAVALIER</t>
  </si>
  <si>
    <t>583</t>
  </si>
  <si>
    <t>MAERSK ATLANTIC V.124N</t>
  </si>
  <si>
    <t>18.06.2021</t>
  </si>
  <si>
    <t>CALIFORNIA</t>
  </si>
  <si>
    <t>2016 RANGE ROVER, 2021 JEEP GLADIATOR</t>
  </si>
  <si>
    <t>1.MSKU4603353/UL6445898</t>
  </si>
  <si>
    <t>45 DRY</t>
  </si>
  <si>
    <t>LGS LOGISTIC</t>
  </si>
  <si>
    <t>584</t>
  </si>
  <si>
    <t>TCMAA01768969</t>
  </si>
  <si>
    <t>TSLGZ21010001758</t>
  </si>
  <si>
    <t>20.06.2021</t>
  </si>
  <si>
    <t>1.DHLU2021020/HQ/20.0058274</t>
  </si>
  <si>
    <t>585</t>
  </si>
  <si>
    <t>21.06.2021</t>
  </si>
  <si>
    <t>1.SLAU5447845/HQ/20.0058394</t>
  </si>
  <si>
    <t xml:space="preserve">720 CARTONS </t>
  </si>
  <si>
    <t>5851</t>
  </si>
  <si>
    <t>031B538861</t>
  </si>
  <si>
    <t xml:space="preserve">CERAMIC ROOF TILES </t>
  </si>
  <si>
    <t xml:space="preserve">2.WHSU5603174/WHLM790785 </t>
  </si>
  <si>
    <t xml:space="preserve">1305 PACKAGES </t>
  </si>
  <si>
    <t>586</t>
  </si>
  <si>
    <t>TSLGZ21010001762</t>
  </si>
  <si>
    <t>1.CCLU9912243/HQ/20.0058448</t>
  </si>
  <si>
    <t>560 PACKAGES</t>
  </si>
  <si>
    <t>5861</t>
  </si>
  <si>
    <t>TCMAA01768976</t>
  </si>
  <si>
    <t>2.HPCU2117183/HQ/20.0058699</t>
  </si>
  <si>
    <t>5862</t>
  </si>
  <si>
    <t>TSLGZ21010001764</t>
  </si>
  <si>
    <t>3.DHLU2021016/HQ/20.0058672</t>
  </si>
  <si>
    <t>587</t>
  </si>
  <si>
    <t>09.06.2021</t>
  </si>
  <si>
    <t xml:space="preserve"> FORD DELUXE COUPE</t>
  </si>
  <si>
    <t>20 DC</t>
  </si>
  <si>
    <t>ALL WEST</t>
  </si>
  <si>
    <t>588</t>
  </si>
  <si>
    <t>SZXCB21012863</t>
  </si>
  <si>
    <t>23.06.2021</t>
  </si>
  <si>
    <t>1.TGHU6267727/CNSHK2107046</t>
  </si>
  <si>
    <t>5881</t>
  </si>
  <si>
    <t>COAU7232135773</t>
  </si>
  <si>
    <t>2.TCLU9785443/17962626</t>
  </si>
  <si>
    <t>HDMU DALA58894500</t>
  </si>
  <si>
    <t>589</t>
  </si>
  <si>
    <t>DXBCB21000487</t>
  </si>
  <si>
    <t>SUPA BHUM V.098N</t>
  </si>
  <si>
    <t>09.05.2021</t>
  </si>
  <si>
    <t>UAE</t>
  </si>
  <si>
    <t>LAMBORGHINI AVENTADOR</t>
  </si>
  <si>
    <t>1.REGU3211176/AEDXB2008183</t>
  </si>
  <si>
    <t>20GP</t>
  </si>
  <si>
    <t>AUTO CARE</t>
  </si>
  <si>
    <t>590</t>
  </si>
  <si>
    <t>LHSA</t>
  </si>
  <si>
    <t>591</t>
  </si>
  <si>
    <t>GOSUSNH1502246</t>
  </si>
  <si>
    <t>592</t>
  </si>
  <si>
    <t>TSLGZ21010001768</t>
  </si>
  <si>
    <t>25.06.2021</t>
  </si>
  <si>
    <t>METAL BED, LAMP, PAPER BAG</t>
  </si>
  <si>
    <t>1.DHLU2021006/HQ/20.0059011</t>
  </si>
  <si>
    <t xml:space="preserve">616 PACKAGES </t>
  </si>
  <si>
    <t>TYCA2129</t>
  </si>
  <si>
    <t>NEW CAR SOUEAST</t>
  </si>
  <si>
    <t>SOUEAST</t>
  </si>
  <si>
    <t>593</t>
  </si>
  <si>
    <t>TCMAA01768988</t>
  </si>
  <si>
    <t>26.06.2021</t>
  </si>
  <si>
    <t>1.KKLU9056982/HQ/20.0059166</t>
  </si>
  <si>
    <t>594</t>
  </si>
  <si>
    <t>GOSUSNH1502374</t>
  </si>
  <si>
    <t>SEM-HUAY-2105</t>
  </si>
  <si>
    <t>SOUTH EAST</t>
  </si>
  <si>
    <t>OMPLCHS210126</t>
  </si>
  <si>
    <t>011/2021</t>
  </si>
  <si>
    <t>NP SAMUTSAKHON V.2123S</t>
  </si>
  <si>
    <t>TCKU9552470-40', TTNU9803655-40'</t>
  </si>
  <si>
    <t>56 ROLL(S)</t>
  </si>
  <si>
    <t>595</t>
  </si>
  <si>
    <t>DXBCB21000492</t>
  </si>
  <si>
    <t>SUPA BHUM V.101N</t>
  </si>
  <si>
    <t>21.05.2021</t>
  </si>
  <si>
    <t>MERCEDES G63, LHD</t>
  </si>
  <si>
    <t>1.GESU3852520/AEDXB2008171</t>
  </si>
  <si>
    <t>596</t>
  </si>
  <si>
    <t>ONEYDXBB08436700</t>
  </si>
  <si>
    <t>LAMBORGHINI AVENTADOR, DUCATI ENDURO 1200 MOTOR CYCLE</t>
  </si>
  <si>
    <t>1.FCIU4404443/002242</t>
  </si>
  <si>
    <t>597</t>
  </si>
  <si>
    <t>115B507751</t>
  </si>
  <si>
    <t>SON DARA IMEX CO.,LTD.</t>
  </si>
  <si>
    <t>SU8910305Q-21</t>
  </si>
  <si>
    <t>JAC MINI CARGO TRUCK X200, JAC CARGO LIGHT TRUCK N200, JAC CARGO LIGHT TRUCK N200, JAC CARGO LIGHT TRUCK N350, JAC CARGO LIGHT TRUCK N500</t>
  </si>
  <si>
    <t>1.TCLU8776283-40'SD
2.WHSU5104431-40'SD
3.WHSU5148888-40'SD
4.WHSU5337238-40'SD
5.WHSU5696496-40'SD</t>
  </si>
  <si>
    <t>SUMEC COMPLETE</t>
  </si>
  <si>
    <t>598</t>
  </si>
  <si>
    <t>TSLGZ21010002822</t>
  </si>
  <si>
    <t>29.06.2021</t>
  </si>
  <si>
    <t>1.DHLU2021021/HQ/20.0059304</t>
  </si>
  <si>
    <t>5981</t>
  </si>
  <si>
    <t>TSLGZ21010002820</t>
  </si>
  <si>
    <t>2.QFQU9125912/HQ/20.0059719</t>
  </si>
  <si>
    <t xml:space="preserve">595 PACKAGES </t>
  </si>
  <si>
    <t>599</t>
  </si>
  <si>
    <t>CAM20210316S</t>
  </si>
  <si>
    <t>1.TLLU4308826-40'HQ
2.TLLU4875687-40'HQ
3.ZCSU7465993-40'HQ
4.ZCSU8544280-40'HQ</t>
  </si>
  <si>
    <t>600</t>
  </si>
  <si>
    <t>SHAWD064795</t>
  </si>
  <si>
    <t>E21MA40JYKR91038</t>
  </si>
  <si>
    <t>E211322602505007</t>
  </si>
  <si>
    <t>601</t>
  </si>
  <si>
    <t>SHAWD064793</t>
  </si>
  <si>
    <t>1.BMOU4551404-40'HQ
2.BSIU9700960-40'HQ
3.CAAU5451069-40'HQ
4.CAIU4428880-40'HQ
5.TCNU6585330-40'HQ
6.TGBU5775552-40'HQ
7.ZCSU7003207-40'HQ
8.ZCSU7465020-40'HQ
9.ZCSU8212937-40'HQ
10.ZCSU8630897-40'HQ
11.ZCSU8689030-40'HQ
12.ZCSU8748787-40'HQ</t>
  </si>
  <si>
    <t>CAM20210301Z</t>
  </si>
  <si>
    <t>E21MA40JYKR91039</t>
  </si>
  <si>
    <t>1.CAIU8393992-40'HQ
2.CAIU9228307-40'HQ
3.FCIU8684677-40'HQ
4.SEGU5694032-40'HQ
5.SEGU5786993-40'HQ
6.TCKU7335218-40'HQ
7.TCNU5336523-40'HQ
8.TEMU8107900-40'HQ
9.TGBU7125999-40'HQ
10.TGHU6681022-40'HQ
11.ZCSU7167448-40'HQ
12.ZCSU7207849-40'HQ
13.ZCSU7264134-40'HQ
14.ZCSU7293087-40'HQ
15.ZCSU7294268-40'HQ
16.ZCSU7305866-40'HQ
17.ZCSU7466048-40'HQ
18.ZCSU7468396-40'HQ
19.ZCSU7475142-40'HQ</t>
  </si>
  <si>
    <t>SHAWD064794</t>
  </si>
  <si>
    <t>602</t>
  </si>
  <si>
    <t>6021</t>
  </si>
  <si>
    <t>YMLUI235190240</t>
  </si>
  <si>
    <t/>
  </si>
  <si>
    <t>30.06.2021</t>
  </si>
  <si>
    <t>TEMU8595744/YMAJ497061</t>
  </si>
  <si>
    <t>COAU7882716530</t>
  </si>
  <si>
    <t>CHEST FREEZER, LAMP, PAPER BAG</t>
  </si>
  <si>
    <t>TCLU5329260/19302552</t>
  </si>
  <si>
    <t xml:space="preserve">250 PACKAGES </t>
  </si>
  <si>
    <t>603</t>
  </si>
  <si>
    <t>6031</t>
  </si>
  <si>
    <t>COAU7882714750</t>
  </si>
  <si>
    <t>OOLU6956747/19299337</t>
  </si>
  <si>
    <t xml:space="preserve">205 PACKAGES </t>
  </si>
  <si>
    <t>712110352077</t>
  </si>
  <si>
    <t>FSCU8321182/TSP0656008</t>
  </si>
  <si>
    <t>536 CARTONS</t>
  </si>
  <si>
    <t>604</t>
  </si>
  <si>
    <t>MOLU18002171306</t>
  </si>
  <si>
    <t>CI-PV-21-600038-2</t>
  </si>
  <si>
    <t>BYD E2 EV BYD7002BEV5</t>
  </si>
  <si>
    <t>CHANGSHA BYD</t>
  </si>
  <si>
    <t>605</t>
  </si>
  <si>
    <t>MOLU18002171116</t>
  </si>
  <si>
    <t>CI-PV-21-600052</t>
  </si>
  <si>
    <t>BYD SONG PRO BYD6461ST6A</t>
  </si>
  <si>
    <t>BYD AUTO</t>
  </si>
  <si>
    <t>E216918417211012</t>
  </si>
  <si>
    <t>E212942040080002</t>
  </si>
  <si>
    <t>606</t>
  </si>
  <si>
    <t>HLCUSIN210622200</t>
  </si>
  <si>
    <t>EVERSAILING SUPPLY CHAIN (CAMBODIA) CO.,LTD</t>
  </si>
  <si>
    <t>SP</t>
  </si>
  <si>
    <t>49.5 MTS HIGH DENSITY POLYETHYLENE P6006AD</t>
  </si>
  <si>
    <t>1.GATU8750504/1550553
2.TLLU5217633/1550556</t>
  </si>
  <si>
    <t>1980 BAGS</t>
  </si>
  <si>
    <t>SABIC ASIA</t>
  </si>
  <si>
    <t>607</t>
  </si>
  <si>
    <t>ONEYSINB51857900</t>
  </si>
  <si>
    <t>49.50 MTS HIGH DENSITY POLYETHYLENE P6006AD</t>
  </si>
  <si>
    <t>1.TCNU6455002/1533773
2.TCNU7822550/1499325</t>
  </si>
  <si>
    <t xml:space="preserve">40'HQ      </t>
  </si>
  <si>
    <t>LS209SH008</t>
  </si>
  <si>
    <t>2021-LINYU-W002</t>
  </si>
  <si>
    <t>2 UNITS OF WATER TRUCK</t>
  </si>
  <si>
    <t>LUOYANG CIMC</t>
  </si>
  <si>
    <t>024B535529</t>
  </si>
  <si>
    <t>CAPE FELTON V.S005</t>
  </si>
  <si>
    <t>28.06.2021</t>
  </si>
  <si>
    <t>3640 CTNS</t>
  </si>
  <si>
    <t>WHSU5190430/WHLJ567950
WHSU6447585/WHLJ567949</t>
  </si>
  <si>
    <t>40'SD96
40'SD96</t>
  </si>
  <si>
    <t>TSLGZ21010002025</t>
  </si>
  <si>
    <t>03.07.2021</t>
  </si>
  <si>
    <t>1.TTCU9871107/HQ/20.0060185</t>
  </si>
  <si>
    <t>TSLGZ21010002032</t>
  </si>
  <si>
    <t>04.07.2021</t>
  </si>
  <si>
    <t>1.FXLU2021101/HQ/20.0060258</t>
  </si>
  <si>
    <t>KMTCMAA0184582</t>
  </si>
  <si>
    <t>05.07.2021</t>
  </si>
  <si>
    <t>2080 CARTONS</t>
  </si>
  <si>
    <t>1.OCGU2039615/INMAA2109825
2.REGU5120619/INMAA2109829</t>
  </si>
  <si>
    <t>20'GP
40'HC</t>
  </si>
  <si>
    <t>608</t>
  </si>
  <si>
    <t>609</t>
  </si>
  <si>
    <t>610</t>
  </si>
  <si>
    <t>611</t>
  </si>
  <si>
    <t>612</t>
  </si>
  <si>
    <t>NEW CAR MG RX5</t>
  </si>
  <si>
    <t>613</t>
  </si>
  <si>
    <t>TSLGZ21010002035</t>
  </si>
  <si>
    <t>1.DHLU2021008/HQ/20.0060428</t>
  </si>
  <si>
    <t>614</t>
  </si>
  <si>
    <t>NSASHVG043931</t>
  </si>
  <si>
    <t>CSCL OSAKA V.2120S</t>
  </si>
  <si>
    <t>1.BMOU4904836/SITF727765</t>
  </si>
  <si>
    <t>1820 CARTON(S)</t>
  </si>
  <si>
    <t>615</t>
  </si>
  <si>
    <t>TSLGZ21010002046</t>
  </si>
  <si>
    <t>06.07.2021</t>
  </si>
  <si>
    <t>NEW BICYCLE, CHILDREN'S TOY CAR, LAMP</t>
  </si>
  <si>
    <t>1.APMU4540200/HQ/20.0060683</t>
  </si>
  <si>
    <t xml:space="preserve">482 PACKAGES </t>
  </si>
  <si>
    <t>6151</t>
  </si>
  <si>
    <t>TCMAA01769012</t>
  </si>
  <si>
    <t>2.SLAU5447845/HQ/20.0060684</t>
  </si>
  <si>
    <t>730 CARTONS</t>
  </si>
  <si>
    <t>616</t>
  </si>
  <si>
    <t>OOLU2122974914</t>
  </si>
  <si>
    <t>1.OOLU8400103/OOLGSP4569</t>
  </si>
  <si>
    <t>6161</t>
  </si>
  <si>
    <t>OOLU2122974912</t>
  </si>
  <si>
    <t>2.OOLU9199117/OOLGSQ0135
3.OOLU8682389/OOLGSP4562</t>
  </si>
  <si>
    <t>1068 CARTONS</t>
  </si>
  <si>
    <t>6162</t>
  </si>
  <si>
    <t>COAU7882728380</t>
  </si>
  <si>
    <t>4.TCNU2592007/19602858</t>
  </si>
  <si>
    <t>617</t>
  </si>
  <si>
    <t>MEDUII635729</t>
  </si>
  <si>
    <t>SUPA BHUM V.310N</t>
  </si>
  <si>
    <t>SL</t>
  </si>
  <si>
    <t>1971 MERCEDES BENZ 280 SE 3.5 COUPE, LHD</t>
  </si>
  <si>
    <t>1.CAIU3191448/BS522675</t>
  </si>
  <si>
    <t>SCL</t>
  </si>
  <si>
    <t>618</t>
  </si>
  <si>
    <t>DXBCB21000491</t>
  </si>
  <si>
    <t>MERCEDES C63, LHD</t>
  </si>
  <si>
    <t>1.REGU3242351/AEDXB2008184</t>
  </si>
  <si>
    <t>AUTO</t>
  </si>
  <si>
    <t>619</t>
  </si>
  <si>
    <t>TSLGZ21010002052</t>
  </si>
  <si>
    <t>07.07.2021</t>
  </si>
  <si>
    <t>1.FSCU9563920/HQ/20.0060883</t>
  </si>
  <si>
    <t xml:space="preserve">1320 CARTONS </t>
  </si>
  <si>
    <t>620</t>
  </si>
  <si>
    <t>COAU7232264934</t>
  </si>
  <si>
    <t>08.07.2021</t>
  </si>
  <si>
    <t>1.CSNU7894703/CN220726</t>
  </si>
  <si>
    <t>6201</t>
  </si>
  <si>
    <t>COAU7232135991</t>
  </si>
  <si>
    <t>2.FSCU8788768/CN455117</t>
  </si>
  <si>
    <t>293389771UWS</t>
  </si>
  <si>
    <t xml:space="preserve">WALLPAPER </t>
  </si>
  <si>
    <t>3.MSKU8843964/CN1822043</t>
  </si>
  <si>
    <t>1185 CARTONS</t>
  </si>
  <si>
    <t>6202</t>
  </si>
  <si>
    <t>621</t>
  </si>
  <si>
    <t>TSLGZ21010002056</t>
  </si>
  <si>
    <t>09.07.2021</t>
  </si>
  <si>
    <t>1. HSDU1663674/HQ/20 0060977</t>
  </si>
  <si>
    <t>6211</t>
  </si>
  <si>
    <t>TSLGZ21010002124</t>
  </si>
  <si>
    <t>2.FXLU2020058/HQ/20.0061038</t>
  </si>
  <si>
    <t>584 PACKAGES</t>
  </si>
  <si>
    <t>622</t>
  </si>
  <si>
    <t>TCMAA01769036</t>
  </si>
  <si>
    <t>1.OOLU8093840/HQ/20.0061184</t>
  </si>
  <si>
    <t>623</t>
  </si>
  <si>
    <t>624</t>
  </si>
  <si>
    <t>GBPNH2106060</t>
  </si>
  <si>
    <t>20210629/VP-BJC-KH</t>
  </si>
  <si>
    <t>VN-KH21/01/24811</t>
  </si>
  <si>
    <t>GAOU6458347-40', GAOU6458286-40'</t>
  </si>
  <si>
    <t>OMPLCHS210143</t>
  </si>
  <si>
    <t>013/2021</t>
  </si>
  <si>
    <t>CAXU6424680-20'</t>
  </si>
  <si>
    <t>10 PALLETS</t>
  </si>
  <si>
    <t>625</t>
  </si>
  <si>
    <t>TSLGZ21010002135</t>
  </si>
  <si>
    <t>12.07.2021</t>
  </si>
  <si>
    <t>1.MSKU4536300/HQ/20 0061407</t>
  </si>
  <si>
    <t>6251</t>
  </si>
  <si>
    <t>TCMAA01769112</t>
  </si>
  <si>
    <t>2.MSKU4535325/HQ/20.0061422</t>
  </si>
  <si>
    <t>724 CTNS</t>
  </si>
  <si>
    <r>
      <rPr>
        <sz val="11"/>
        <color rgb="FFFF0000"/>
        <rFont val="Calibri"/>
        <family val="2"/>
        <scheme val="minor"/>
      </rPr>
      <t>1.TRHU8311380-40'HC</t>
    </r>
    <r>
      <rPr>
        <sz val="11"/>
        <color theme="1"/>
        <rFont val="Calibri"/>
        <family val="2"/>
        <scheme val="minor"/>
      </rPr>
      <t xml:space="preserve">
</t>
    </r>
    <r>
      <rPr>
        <sz val="11"/>
        <color rgb="FFFF0000"/>
        <rFont val="Calibri"/>
        <family val="2"/>
        <scheme val="minor"/>
      </rPr>
      <t>2.TRHU8347021-40'HC</t>
    </r>
    <r>
      <rPr>
        <sz val="11"/>
        <color theme="1"/>
        <rFont val="Calibri"/>
        <family val="2"/>
        <scheme val="minor"/>
      </rPr>
      <t xml:space="preserve">
</t>
    </r>
    <r>
      <rPr>
        <sz val="11"/>
        <color rgb="FFFF0000"/>
        <rFont val="Calibri"/>
        <family val="2"/>
        <scheme val="minor"/>
      </rPr>
      <t>3.TRHU8309314-40'HC</t>
    </r>
    <r>
      <rPr>
        <sz val="11"/>
        <color theme="1"/>
        <rFont val="Calibri"/>
        <family val="2"/>
        <scheme val="minor"/>
      </rPr>
      <t xml:space="preserve">
</t>
    </r>
    <r>
      <rPr>
        <sz val="11"/>
        <color rgb="FFFF0000"/>
        <rFont val="Calibri"/>
        <family val="2"/>
        <scheme val="minor"/>
      </rPr>
      <t>4.TRHU8347211-40'HC</t>
    </r>
    <r>
      <rPr>
        <sz val="11"/>
        <color theme="1"/>
        <rFont val="Calibri"/>
        <family val="2"/>
        <scheme val="minor"/>
      </rPr>
      <t xml:space="preserve">
</t>
    </r>
    <r>
      <rPr>
        <sz val="11"/>
        <color rgb="FFFF0000"/>
        <rFont val="Calibri"/>
        <family val="2"/>
        <scheme val="minor"/>
      </rPr>
      <t>5.TRHU8309150-40'HC</t>
    </r>
    <r>
      <rPr>
        <sz val="11"/>
        <color theme="1"/>
        <rFont val="Calibri"/>
        <family val="2"/>
        <scheme val="minor"/>
      </rPr>
      <t xml:space="preserve">
</t>
    </r>
    <r>
      <rPr>
        <sz val="11"/>
        <color rgb="FFFF0000"/>
        <rFont val="Calibri"/>
        <family val="2"/>
        <scheme val="minor"/>
      </rPr>
      <t>6.TRHU8352877-40'HC</t>
    </r>
  </si>
  <si>
    <r>
      <rPr>
        <sz val="11"/>
        <color rgb="FFFF0000"/>
        <rFont val="Calibri"/>
        <family val="2"/>
        <scheme val="minor"/>
      </rPr>
      <t>1.TCKU6758508-40'HC</t>
    </r>
    <r>
      <rPr>
        <sz val="11"/>
        <color theme="1"/>
        <rFont val="Calibri"/>
        <family val="2"/>
        <scheme val="minor"/>
      </rPr>
      <t xml:space="preserve">
</t>
    </r>
    <r>
      <rPr>
        <sz val="11"/>
        <color rgb="FFFF0000"/>
        <rFont val="Calibri"/>
        <family val="2"/>
        <scheme val="minor"/>
      </rPr>
      <t>2.ZCSU8760571-40'HC</t>
    </r>
    <r>
      <rPr>
        <sz val="11"/>
        <color theme="1"/>
        <rFont val="Calibri"/>
        <family val="2"/>
        <scheme val="minor"/>
      </rPr>
      <t xml:space="preserve">
</t>
    </r>
    <r>
      <rPr>
        <sz val="11"/>
        <color rgb="FFFF0000"/>
        <rFont val="Calibri"/>
        <family val="2"/>
        <scheme val="minor"/>
      </rPr>
      <t>3.BSIU9713720-40'HC</t>
    </r>
  </si>
  <si>
    <t>626</t>
  </si>
  <si>
    <t>TSLGZ21010002146</t>
  </si>
  <si>
    <t>14.07.2021</t>
  </si>
  <si>
    <t>FLIP FLOP, LAMP, PAPER BAG</t>
  </si>
  <si>
    <t>1.DHCU2021001/HQ/20.0061686</t>
  </si>
  <si>
    <t>500 PACKAGES</t>
  </si>
  <si>
    <t>627</t>
  </si>
  <si>
    <t>CMZ0568199</t>
  </si>
  <si>
    <t xml:space="preserve">CHAIR, DINING TABLE, MARBLE  </t>
  </si>
  <si>
    <t>1.DRYU9697080/C0868514</t>
  </si>
  <si>
    <t xml:space="preserve">622 PACKAGES </t>
  </si>
  <si>
    <t>628</t>
  </si>
  <si>
    <t>TCMAA01769126</t>
  </si>
  <si>
    <t>16.07.2021</t>
  </si>
  <si>
    <t>1.FXLU2020055/HQ/20.0062037</t>
  </si>
  <si>
    <t>716 CTNS</t>
  </si>
  <si>
    <t>6281</t>
  </si>
  <si>
    <t>TSLGZ21010002154</t>
  </si>
  <si>
    <t>2.DHLU2021014/HQ/20.0061979</t>
  </si>
  <si>
    <t>570 PACKAGES</t>
  </si>
  <si>
    <t>629</t>
  </si>
  <si>
    <t>ONEYDXBB09217500</t>
  </si>
  <si>
    <t>BRIDGE V.0186N</t>
  </si>
  <si>
    <t>13.07.2021</t>
  </si>
  <si>
    <t>1.TGBU9824531 / H0549999</t>
  </si>
  <si>
    <t>TOY.HIACE HIGH ROOF AUTO GL 2.8L DIESEL -21YM AMBULANCE, LHD</t>
  </si>
  <si>
    <t>630</t>
  </si>
  <si>
    <t>TSLGZ21010002162</t>
  </si>
  <si>
    <t>18.07.2021</t>
  </si>
  <si>
    <t>1.FSCU7018510/HQ/20.0062297</t>
  </si>
  <si>
    <t>631</t>
  </si>
  <si>
    <t>TSLGZ21010002175</t>
  </si>
  <si>
    <t>19.07.2021</t>
  </si>
  <si>
    <t>1.KKFU9118081/HQ/20.0062296</t>
  </si>
  <si>
    <t>6311</t>
  </si>
  <si>
    <t>TSLGZ21010002178</t>
  </si>
  <si>
    <t>21.07.2021</t>
  </si>
  <si>
    <t>2.MOEU0323468/HQ/20.0062483</t>
  </si>
  <si>
    <t>632</t>
  </si>
  <si>
    <t>TCMAA01769134</t>
  </si>
  <si>
    <t>1.FXLU2020059/HQ/20.0062643</t>
  </si>
  <si>
    <t>718 CTNS</t>
  </si>
  <si>
    <t>D2021-0168559</t>
  </si>
  <si>
    <t>633</t>
  </si>
  <si>
    <t>OOLU2667406300</t>
  </si>
  <si>
    <t>BRIDGE V.0187N</t>
  </si>
  <si>
    <t>1.TCNU6227471  /CTSD004104</t>
  </si>
  <si>
    <t>6 PACKAGES</t>
  </si>
  <si>
    <t>634</t>
  </si>
  <si>
    <t>A14BX00622</t>
  </si>
  <si>
    <t>1.TGBU2642324/IAAF290795</t>
  </si>
  <si>
    <t>20'SD</t>
  </si>
  <si>
    <t xml:space="preserve">315 PACKAGES </t>
  </si>
  <si>
    <t>635</t>
  </si>
  <si>
    <t>6341</t>
  </si>
  <si>
    <t>EGLV149105950946</t>
  </si>
  <si>
    <t>2.EGHU8304907/EMCKUE6670</t>
  </si>
  <si>
    <t>BKKOS-21241A</t>
  </si>
  <si>
    <t>TUOBATE INTERNATIONAL TRADING (CAMBODIA) CO.,LTD</t>
  </si>
  <si>
    <t>YUNYAN (SP RUYI XX) CIGARETTE (200 CASES), HONGTASHAN (HP CLASSIC DF) CIGARETTE ( 200 CASES)</t>
  </si>
  <si>
    <t>1.COTU8380105/N182577</t>
  </si>
  <si>
    <t>400 CASES</t>
  </si>
  <si>
    <t xml:space="preserve">LAOS </t>
  </si>
  <si>
    <t>6351</t>
  </si>
  <si>
    <t>BKKOS-21241B</t>
  </si>
  <si>
    <t>CHIAUG LAAN V.2133</t>
  </si>
  <si>
    <t>HUASHANG HUITONGTIANXIA (HP) CIGARETTE, GEM (NEW SILK ROAD IMPRESSION H MEDIUM X) CIGARETTE</t>
  </si>
  <si>
    <t>20 CASES</t>
  </si>
  <si>
    <t>636</t>
  </si>
  <si>
    <t>TSLGZ21010002182</t>
  </si>
  <si>
    <t>23.07.2021</t>
  </si>
  <si>
    <t>1.FXLU2021101/HQ/20.0063085</t>
  </si>
  <si>
    <t>637</t>
  </si>
  <si>
    <t>638</t>
  </si>
  <si>
    <t>639</t>
  </si>
  <si>
    <t>OOLU2671231913</t>
  </si>
  <si>
    <t>1.CSNU8096098/OOLHAN2150</t>
  </si>
  <si>
    <t>6391</t>
  </si>
  <si>
    <t>COAU7882766190</t>
  </si>
  <si>
    <t>2.CSNU8414270/19596179</t>
  </si>
  <si>
    <t>6392</t>
  </si>
  <si>
    <t>EGLV149105950954</t>
  </si>
  <si>
    <t>3.EGHU8308076/EMCKUE7310</t>
  </si>
  <si>
    <t>MOLU18002239474</t>
  </si>
  <si>
    <t>CI-PV-21-600198-203</t>
  </si>
  <si>
    <t>E217917385531009</t>
  </si>
  <si>
    <t>ASTRAL ACE V.0312A</t>
  </si>
  <si>
    <t>BYD TANG EV AND HAN EV</t>
  </si>
  <si>
    <t>MOLU18002239793</t>
  </si>
  <si>
    <t>CI-PV-21-600038-3</t>
  </si>
  <si>
    <t>E216918417211015</t>
  </si>
  <si>
    <t>640</t>
  </si>
  <si>
    <t>TSLGZ21010002186</t>
  </si>
  <si>
    <t>24.07.2021</t>
  </si>
  <si>
    <t>1.PBKU6542576/HQ/20.0063226</t>
  </si>
  <si>
    <t>574 PACKAGES</t>
  </si>
  <si>
    <t>641</t>
  </si>
  <si>
    <t>NAL SRUN 62 IMPORT EXPORT CO.,LTD.</t>
  </si>
  <si>
    <t>2021FAW0609E01</t>
  </si>
  <si>
    <t>NEW FAW BRAND TRUCK BALING CA1040K3LE5 CHASSIS WITHOUT CARRIAGE</t>
  </si>
  <si>
    <t>1.MRSU4149215-40'DRY
2.SUDU6943490-40'DRY
3.MRKU5517155-40'DRY
4.TRHU6468174-40'DRY
5.MSKU0598840-40'DRY
6.TGHU6694040-40'DRY</t>
  </si>
  <si>
    <t>FSC</t>
  </si>
  <si>
    <t>642</t>
  </si>
  <si>
    <t>TSLGZ21010002205</t>
  </si>
  <si>
    <t>26.07.2021</t>
  </si>
  <si>
    <t>LAMP, STEEL PIPE, PLYWOOD</t>
  </si>
  <si>
    <t>1.GVCU5084642/HQ/20.0063470</t>
  </si>
  <si>
    <t>1164 PACKAGES</t>
  </si>
  <si>
    <t>643</t>
  </si>
  <si>
    <t>GBPNH2107020</t>
  </si>
  <si>
    <t>20210713/VP-BJC-KH</t>
  </si>
  <si>
    <t>VN-KH21/01/26818</t>
  </si>
  <si>
    <t>DRYU9955272-40', KDCU5140680-40'</t>
  </si>
  <si>
    <t>644</t>
  </si>
  <si>
    <t>TCMAA01774122</t>
  </si>
  <si>
    <t>27.07.2021</t>
  </si>
  <si>
    <t>721 CTNS</t>
  </si>
  <si>
    <t>1.IMEU8821051/HQ/20.0063632</t>
  </si>
  <si>
    <t>6441</t>
  </si>
  <si>
    <t>TSLGZ21010003618</t>
  </si>
  <si>
    <t>2.KKFU9100668/HQ/20.0063587</t>
  </si>
  <si>
    <t>586 PACKAGES</t>
  </si>
  <si>
    <t>645</t>
  </si>
  <si>
    <t>646</t>
  </si>
  <si>
    <t>647</t>
  </si>
  <si>
    <t>28.07.2021</t>
  </si>
  <si>
    <t>TSLGZ21010003626</t>
  </si>
  <si>
    <t>29.07.2021</t>
  </si>
  <si>
    <t>21480</t>
  </si>
  <si>
    <t>1.DHLU2021012/HQ/20.0063837</t>
  </si>
  <si>
    <t>716 BAGES</t>
  </si>
  <si>
    <t>LEDA80030200</t>
  </si>
  <si>
    <t>BRIDGE V.0188N</t>
  </si>
  <si>
    <t>MERCEDES-BENZ S 400 MAYBACH, LHD</t>
  </si>
  <si>
    <t>1.KOCU4504644 / 1139667</t>
  </si>
  <si>
    <t>4370</t>
  </si>
  <si>
    <t>LEDA80030201</t>
  </si>
  <si>
    <t>1.TGBU6488182 / 1139580</t>
  </si>
  <si>
    <t>648</t>
  </si>
  <si>
    <t>SHAWD065016</t>
  </si>
  <si>
    <t>SH</t>
  </si>
  <si>
    <t>1.BMOU3123783/SITF890808</t>
  </si>
  <si>
    <t>40'GP</t>
  </si>
  <si>
    <t>14 PACKAGES</t>
  </si>
  <si>
    <t>649</t>
  </si>
  <si>
    <t>TSLGZ21010003648</t>
  </si>
  <si>
    <t>31.07.2021</t>
  </si>
  <si>
    <t>LAMP,NEW PLASTIC TOY CAR, PAPER BAG</t>
  </si>
  <si>
    <t>1.FXLU2020058/HQ/20.0085373</t>
  </si>
  <si>
    <t>730 PACKAGES</t>
  </si>
  <si>
    <t>Importer</t>
  </si>
  <si>
    <t>Client Name</t>
  </si>
  <si>
    <t>650</t>
  </si>
  <si>
    <t>TSLGZ21010003658</t>
  </si>
  <si>
    <t>02.08.2021</t>
  </si>
  <si>
    <t>NEW BICYCLE, CHILDREN'S TOY CAR, PAPER BAG</t>
  </si>
  <si>
    <t>1.TGHU7249461/HQ/20.0085699</t>
  </si>
  <si>
    <t>690 P'KGS</t>
  </si>
  <si>
    <t>651</t>
  </si>
  <si>
    <t>TSLGZ21010003669</t>
  </si>
  <si>
    <t>03.08.2021</t>
  </si>
  <si>
    <t>1.FXLU2021189/HQ/20.0085782</t>
  </si>
  <si>
    <t>805 BAGS</t>
  </si>
  <si>
    <t>652</t>
  </si>
  <si>
    <t>SHAWD065272</t>
  </si>
  <si>
    <t>653</t>
  </si>
  <si>
    <t>SHAWD065270</t>
  </si>
  <si>
    <t>654</t>
  </si>
  <si>
    <t>SHAWD065271</t>
  </si>
  <si>
    <t>655</t>
  </si>
  <si>
    <t>NEW CAR MAXUS T60 2.8T AT LUX, 4WD,5 SEATS, LHD, DIESEL, MY2021, 2776CC</t>
  </si>
  <si>
    <t>1.TCNU5543583/A4200273707</t>
  </si>
  <si>
    <t>NEW CAR MAXUS D60 1.5T AT LUX, 2WD, 7 SEATS, LHD, GASOLINE, MY2021, 1490CC</t>
  </si>
  <si>
    <t>1.TCNU2727083/A4200290563</t>
  </si>
  <si>
    <t>40'HQ
20'GP</t>
  </si>
  <si>
    <t>1.ZCSU8637870/A4200290569
2.ZIMU3142883/A4210416663</t>
  </si>
  <si>
    <t>E210781997181260</t>
  </si>
  <si>
    <t>E210781997181258</t>
  </si>
  <si>
    <t>E210781997181259</t>
  </si>
  <si>
    <t>656</t>
  </si>
  <si>
    <t>TSLGZ21010003672</t>
  </si>
  <si>
    <t>05.08.2021</t>
  </si>
  <si>
    <t>1.SHLU8160036/HQ/20.0086330</t>
  </si>
  <si>
    <t>716 BAGS</t>
  </si>
  <si>
    <t>6561</t>
  </si>
  <si>
    <t>SZXF2100215</t>
  </si>
  <si>
    <t>LAMP, HEADPHONE, NEW PLASTIC TOY CAR</t>
  </si>
  <si>
    <t>2.UETU2398699/SITZ155342</t>
  </si>
  <si>
    <t xml:space="preserve">262 PACKAGES </t>
  </si>
  <si>
    <t>EDIFIER</t>
  </si>
  <si>
    <t>657</t>
  </si>
  <si>
    <t>COAU7882814070</t>
  </si>
  <si>
    <t>SOUEAST BRAND CAR</t>
  </si>
  <si>
    <t>1.CSNU6563871-40'HQ
2.TGBU9265140-40'HQ
3.TGBU5010820-40'HQ
4.FCIU9733420-40'HQ</t>
  </si>
  <si>
    <t>658</t>
  </si>
  <si>
    <t>TSLGZ21010003674</t>
  </si>
  <si>
    <t>07.08.2021</t>
  </si>
  <si>
    <t>PVC U PIPE FITTINGS, PLASTIC LUNCH BOX, PAPER BAG</t>
  </si>
  <si>
    <t>14940</t>
  </si>
  <si>
    <t>1.KKFU9079051/HQ/20.0086434</t>
  </si>
  <si>
    <t>MLT202100007</t>
  </si>
  <si>
    <t>11450</t>
  </si>
  <si>
    <t>2.SEGU6978389/H3719791
3.OOLU0250270/H3186886</t>
  </si>
  <si>
    <t>1145 CARTONS</t>
  </si>
  <si>
    <t>40'HC
20'GP</t>
  </si>
  <si>
    <t>6581</t>
  </si>
  <si>
    <t>TYCA2132</t>
  </si>
  <si>
    <t>TCMAA01774236</t>
  </si>
  <si>
    <t>08.08.2021</t>
  </si>
  <si>
    <t>1.FSCU7018510/HQ/20.0086616</t>
  </si>
  <si>
    <t>659</t>
  </si>
  <si>
    <t>TSLGZ21010003682</t>
  </si>
  <si>
    <t>09.08.2021</t>
  </si>
  <si>
    <t>1.HSDU2019029/HQ/20.0086778</t>
  </si>
  <si>
    <t>6591</t>
  </si>
  <si>
    <t>TSLGZ21010003676</t>
  </si>
  <si>
    <t>STEEL HINGES</t>
  </si>
  <si>
    <t>2.MSKU4540698/HQ/20.0086572</t>
  </si>
  <si>
    <t>800 CTNS</t>
  </si>
  <si>
    <t>6592</t>
  </si>
  <si>
    <t>TSLGZ21010003678</t>
  </si>
  <si>
    <t>3.FXLU2020059/HQ/20.0086813</t>
  </si>
  <si>
    <t>660</t>
  </si>
  <si>
    <t>ONEYDXBB10770800</t>
  </si>
  <si>
    <t>BMW 318 CHASSIS, LHD</t>
  </si>
  <si>
    <t>1.NYKU0796387/H0549898</t>
  </si>
  <si>
    <t>BRIDGE V.0189N</t>
  </si>
  <si>
    <t>661</t>
  </si>
  <si>
    <t>TCMAA01774248</t>
  </si>
  <si>
    <t>11.08.2021</t>
  </si>
  <si>
    <t>1.TGHU7258036/HQ/20.0087141</t>
  </si>
  <si>
    <t>6611</t>
  </si>
  <si>
    <t>HDMUNBOZ11942400</t>
  </si>
  <si>
    <t>LAMP, NEW PLASTIC TOY CAR, PAPER BAG</t>
  </si>
  <si>
    <t>2.HMMU6215639/210768624</t>
  </si>
  <si>
    <t>718 PACKAGES</t>
  </si>
  <si>
    <t>662</t>
  </si>
  <si>
    <t>TSLGZ21010003689</t>
  </si>
  <si>
    <t>12.08.2021</t>
  </si>
  <si>
    <t>STEEL HINGES, PLASTIC LUNCH BOX, PAPER BAG</t>
  </si>
  <si>
    <t>1.PPGU9990007/HQ/20 0087286</t>
  </si>
  <si>
    <t>663</t>
  </si>
  <si>
    <t>TCMAA01774356</t>
  </si>
  <si>
    <t>13.08.2021</t>
  </si>
  <si>
    <t>1.DHLU2021002/HQ/20.0087325</t>
  </si>
  <si>
    <t>I542(11/08/21)</t>
  </si>
  <si>
    <t>I541(11/08/21)</t>
  </si>
  <si>
    <t>I540(11/08/21)</t>
  </si>
  <si>
    <t>664</t>
  </si>
  <si>
    <t>TSLGZ21010004010</t>
  </si>
  <si>
    <t>17.08.2021</t>
  </si>
  <si>
    <t>LAMP, PLASTIC SLIPPERS, PAPER BAG</t>
  </si>
  <si>
    <t>1.MSKU4511365/HQ/20.0087905</t>
  </si>
  <si>
    <t>515 PACKAGES</t>
  </si>
  <si>
    <t>6641</t>
  </si>
  <si>
    <t>TSLGZ21010004012</t>
  </si>
  <si>
    <t>2.MSCU8291022/HQ/20.0087957</t>
  </si>
  <si>
    <t>622 PACKAGES</t>
  </si>
  <si>
    <t>6642</t>
  </si>
  <si>
    <t>3.TCLU1737475/ML-CN9238387
4.SUDU8833933/ML-CN9139624</t>
  </si>
  <si>
    <t>665</t>
  </si>
  <si>
    <t>OOLU2669658760</t>
  </si>
  <si>
    <t>16.08.2021</t>
  </si>
  <si>
    <t>BRIDGE V.0191N</t>
  </si>
  <si>
    <t>NEW MOTORBIKES</t>
  </si>
  <si>
    <t>1.OOLU9831825  /CTSD004002</t>
  </si>
  <si>
    <t>666</t>
  </si>
  <si>
    <t>TSLGZ21010004026</t>
  </si>
  <si>
    <t>19.08.2021</t>
  </si>
  <si>
    <t>1.TCNU9158179/HQ/20.0088435</t>
  </si>
  <si>
    <t>6661</t>
  </si>
  <si>
    <t>TCMAA01774502</t>
  </si>
  <si>
    <t>2.MOLU1119875/HQ/20.0088436</t>
  </si>
  <si>
    <t>722 CTNS</t>
  </si>
  <si>
    <t>667</t>
  </si>
  <si>
    <t>ONEYDXBB11241900</t>
  </si>
  <si>
    <t>LHD, ROLLS-ROYCE WRAITH</t>
  </si>
  <si>
    <t>1.NYKU3409809/AE085637A</t>
  </si>
  <si>
    <t>668</t>
  </si>
  <si>
    <t>COAU7233121890</t>
  </si>
  <si>
    <t>EUROCARE DETERGENTCO.,LTD</t>
  </si>
  <si>
    <t>TAN CANG 38 V.002W</t>
  </si>
  <si>
    <t>1.CSNU7032397 /CN915042</t>
  </si>
  <si>
    <t>1582 CARTONS</t>
  </si>
  <si>
    <t>EIR 170821</t>
  </si>
  <si>
    <t>669</t>
  </si>
  <si>
    <t>GBPNH2108019</t>
  </si>
  <si>
    <t>20210804/VP-BJC-KH</t>
  </si>
  <si>
    <t>VN-KH 21/01/29814</t>
  </si>
  <si>
    <t>DRYU9970929-40', DRYU9971761-40'</t>
  </si>
  <si>
    <t>670</t>
  </si>
  <si>
    <t>COAU7232924021</t>
  </si>
  <si>
    <t>21.08.2021</t>
  </si>
  <si>
    <t>1.OOLU6776370/CM264887</t>
  </si>
  <si>
    <t>6701</t>
  </si>
  <si>
    <t>MLT202100759</t>
  </si>
  <si>
    <t xml:space="preserve">ASPHALT BITUMEN </t>
  </si>
  <si>
    <t>2.EMCU9813610/S887042</t>
  </si>
  <si>
    <t>671</t>
  </si>
  <si>
    <t>TSLGZ21010004129</t>
  </si>
  <si>
    <t>1.SHDU2018007/HQ/20.0088660</t>
  </si>
  <si>
    <t>634 PACKAGES</t>
  </si>
  <si>
    <t>6711</t>
  </si>
  <si>
    <t>SITSKSGG225022</t>
  </si>
  <si>
    <t>2.TRHU5632848/SITZ156655</t>
  </si>
  <si>
    <t>710 PACKAGES</t>
  </si>
  <si>
    <t>6712</t>
  </si>
  <si>
    <t>PLASTIC PLATES, NEW PLASTIC TOY CAR, PAPER BAG</t>
  </si>
  <si>
    <t>3.TCKU7125567/ML-CN4931880</t>
  </si>
  <si>
    <t>520 PACKAGES</t>
  </si>
  <si>
    <t>672</t>
  </si>
  <si>
    <t>TCMAA01774516</t>
  </si>
  <si>
    <t>22.08.2021</t>
  </si>
  <si>
    <t>1.KKFU9100668/HQ/20.0088805</t>
  </si>
  <si>
    <t>673</t>
  </si>
  <si>
    <t>TCMAA01774522</t>
  </si>
  <si>
    <t>23.08.2021</t>
  </si>
  <si>
    <t>1.FXLU2020058/HQ/20.0089276</t>
  </si>
  <si>
    <t>6731</t>
  </si>
  <si>
    <t>TSLGZ21010004145</t>
  </si>
  <si>
    <t>2.DHLU2021012/HQ/20.0088955</t>
  </si>
  <si>
    <t>674</t>
  </si>
  <si>
    <t>TSLGZ21010004157</t>
  </si>
  <si>
    <t>25.08.2021</t>
  </si>
  <si>
    <t>1.FXLU2020055/HQ/20.0089351</t>
  </si>
  <si>
    <t>6741</t>
  </si>
  <si>
    <t>OOLU2124550053</t>
  </si>
  <si>
    <t>2.OOCU8497492/OOLGSK0366</t>
  </si>
  <si>
    <t>6742</t>
  </si>
  <si>
    <t>OOLU2124550139</t>
  </si>
  <si>
    <t>3.OOCU7332918/OOLHAN3992</t>
  </si>
  <si>
    <t>675</t>
  </si>
  <si>
    <t>TSLGZ21010004152</t>
  </si>
  <si>
    <t>26.08.2021</t>
  </si>
  <si>
    <t>1.FXLU2021189/HQ/20.0089438</t>
  </si>
  <si>
    <t>724 BAGS</t>
  </si>
  <si>
    <t>676</t>
  </si>
  <si>
    <t>TSLGZ21010004162</t>
  </si>
  <si>
    <t>27.08.2021</t>
  </si>
  <si>
    <t>LAMP, PLASTIC LUNCH BOX, WALLPAPER</t>
  </si>
  <si>
    <t>1.FXLU2020059/HQ/20.0089607</t>
  </si>
  <si>
    <t>840 CTNS</t>
  </si>
  <si>
    <t>677</t>
  </si>
  <si>
    <t>TCMAA01774538</t>
  </si>
  <si>
    <t>28.08.2021</t>
  </si>
  <si>
    <t>1.KKFU9074403/HQ/20.0089748</t>
  </si>
  <si>
    <t>678</t>
  </si>
  <si>
    <t>115B509951</t>
  </si>
  <si>
    <t>SU8910359Q-21</t>
  </si>
  <si>
    <t>JAC MINI CARGO TRUCK X200</t>
  </si>
  <si>
    <t>1.WHSU5319851-40'SD</t>
  </si>
  <si>
    <t>GATE IN DP/BW/SEZ</t>
  </si>
  <si>
    <t>GATE OUT DP/BW/SEZ</t>
  </si>
  <si>
    <t>679</t>
  </si>
  <si>
    <t>BRIDGE V.0193N</t>
  </si>
  <si>
    <t>29.08.2021</t>
  </si>
  <si>
    <t>2022 BRAND NEW TOYOTA LANDCRUISER LC300 4.0L V6 VXR</t>
  </si>
  <si>
    <t>1.KOCU2211610 / 192236766</t>
  </si>
  <si>
    <t>20'DC</t>
  </si>
  <si>
    <t>PRIME FALCON</t>
  </si>
  <si>
    <t>680</t>
  </si>
  <si>
    <t>TCMAA01774549</t>
  </si>
  <si>
    <t>31.08.2021</t>
  </si>
  <si>
    <t>1.QFQU9125912/HQ/20.0090153</t>
  </si>
  <si>
    <t>6801</t>
  </si>
  <si>
    <t>TSLGZ21010004169</t>
  </si>
  <si>
    <t>2.PONU3014744/HQ/20.0090108</t>
  </si>
  <si>
    <t>810 CTNS</t>
  </si>
  <si>
    <t>6802</t>
  </si>
  <si>
    <t>COAU7233665800</t>
  </si>
  <si>
    <t>3.CSNU6838074/CN879043
4.CCLU7950769/CN879044</t>
  </si>
  <si>
    <t>1435 CARTONS</t>
  </si>
  <si>
    <t>HDMUDXBA87528400</t>
  </si>
  <si>
    <t>681</t>
  </si>
  <si>
    <t>SITINSV042903G2</t>
  </si>
  <si>
    <t>SITC FUJIAN V.2116S</t>
  </si>
  <si>
    <t>30.08.2021</t>
  </si>
  <si>
    <t>MASOUKI FT ( CAMBOD I A )  CO.,LTD</t>
  </si>
  <si>
    <t>1.SITU9107506/SITF725201</t>
  </si>
  <si>
    <t>884 PACKAGES</t>
  </si>
  <si>
    <t>BF</t>
  </si>
  <si>
    <t>682</t>
  </si>
  <si>
    <t>TSLGZ21010004172</t>
  </si>
  <si>
    <t>02.09.2021</t>
  </si>
  <si>
    <t>LAMP, PVC U PIPE FITTINGS, PAPER BAG</t>
  </si>
  <si>
    <t>1.TBLU5499550/HQ/19.0008047</t>
  </si>
  <si>
    <t>652 PACKAGES</t>
  </si>
  <si>
    <t>683</t>
  </si>
  <si>
    <t>BB10655300</t>
  </si>
  <si>
    <t>CM GRAND DEVELOPMENT JOINT VENTURE WITH TAN KIM ENG CO., LTD</t>
  </si>
  <si>
    <t>TOY. ALPHARD 3.5L PETROL- AUTOMATIC, LHD</t>
  </si>
  <si>
    <t>1.TCLU3567906 / H0549896</t>
  </si>
  <si>
    <t>684</t>
  </si>
  <si>
    <t>TCMAA01774552</t>
  </si>
  <si>
    <t>03.09.2021</t>
  </si>
  <si>
    <t>1.MSKU4540698/HQ/19.0008144</t>
  </si>
  <si>
    <t>6841</t>
  </si>
  <si>
    <t>TSLGZ21010004176</t>
  </si>
  <si>
    <t>2.DHLU2021018/HQ/19 0008200</t>
  </si>
  <si>
    <t>636 PACKAGES</t>
  </si>
  <si>
    <t>685</t>
  </si>
  <si>
    <t>TSLGZ21010004184</t>
  </si>
  <si>
    <t>04.09.2021</t>
  </si>
  <si>
    <t>1.HSDU2019037/HQ/19.0008348</t>
  </si>
  <si>
    <t>6851</t>
  </si>
  <si>
    <t>TCMAA01774556</t>
  </si>
  <si>
    <t>2.HDMU6948730/HQ/19.0007601</t>
  </si>
  <si>
    <t>TSLGZ21010004180</t>
  </si>
  <si>
    <t>6852</t>
  </si>
  <si>
    <t>3.TTCU9871228/HQ/19.0007610</t>
  </si>
  <si>
    <t>686</t>
  </si>
  <si>
    <t>MAEU211472242</t>
  </si>
  <si>
    <t>HANSA LANKA V.135N</t>
  </si>
  <si>
    <t>1.MSKU4624783/1718092</t>
  </si>
  <si>
    <t>45'DRY</t>
  </si>
  <si>
    <t>EXPORT OUT</t>
  </si>
  <si>
    <t>NEW CAR 2021 TOYOTA CAMRY XSE, LHD, USED CAR 2018 JEEP WRANGLER RUBICON, LHD, USED CAR 2016 LAND ROVER RANGE ROVER VOGUE, LHD</t>
  </si>
  <si>
    <t>687</t>
  </si>
  <si>
    <t>TSLGZ21010004186</t>
  </si>
  <si>
    <t>1.DBYU8818008/HQ/19.0007727</t>
  </si>
  <si>
    <t>688</t>
  </si>
  <si>
    <t>THJS202100101</t>
  </si>
  <si>
    <t>06.09.2021</t>
  </si>
  <si>
    <t>1.HSDU2019088/20211437</t>
  </si>
  <si>
    <t>689</t>
  </si>
  <si>
    <t>TSLGZ21010004189</t>
  </si>
  <si>
    <t>1.ELSU5664722/HQ/19.0645229</t>
  </si>
  <si>
    <t>482 CTNS</t>
  </si>
  <si>
    <t>022BA14718</t>
  </si>
  <si>
    <t>CAPE FELTON V.S010</t>
  </si>
  <si>
    <t>USED CAR PORSCHE, MODEL YEAR 2015, LHD</t>
  </si>
  <si>
    <t>1.WHSU2742880/WHLP434030</t>
  </si>
  <si>
    <t>KERRY FREIGHT</t>
  </si>
  <si>
    <t>690</t>
  </si>
  <si>
    <t>691</t>
  </si>
  <si>
    <t>TCMAA01774651</t>
  </si>
  <si>
    <t>08.09.2021</t>
  </si>
  <si>
    <t>1.HSDU9918021/HQ/19.0645567</t>
  </si>
  <si>
    <t>692</t>
  </si>
  <si>
    <t>TSLGZ21010004204</t>
  </si>
  <si>
    <t>09.09.2021</t>
  </si>
  <si>
    <t>LAMP, PVC U PIPE FITTINGS, PLASTIC LUNCH BOX, PAPER BAG</t>
  </si>
  <si>
    <t>1.FXLU2020058/H/19.0645745</t>
  </si>
  <si>
    <t>602 PACKAGES</t>
  </si>
  <si>
    <t>6921</t>
  </si>
  <si>
    <t>2.MRKU4901905/ML-CN9759499</t>
  </si>
  <si>
    <t>6922</t>
  </si>
  <si>
    <t>COAU7233637412</t>
  </si>
  <si>
    <t>3.LCGU8132928/19991301</t>
  </si>
  <si>
    <t>693</t>
  </si>
  <si>
    <t>TSLGZ21010004214</t>
  </si>
  <si>
    <t>10.09.2021</t>
  </si>
  <si>
    <t>1. XNKU8818078/H/19.0645875</t>
  </si>
  <si>
    <t>694</t>
  </si>
  <si>
    <t>THJS202100103</t>
  </si>
  <si>
    <t>SCREW, PACKAGING FILM, PAPER BAG</t>
  </si>
  <si>
    <t>1.OOEU9014586/H/19.0645864</t>
  </si>
  <si>
    <t>685 PACKAGES</t>
  </si>
  <si>
    <t>695</t>
  </si>
  <si>
    <t>TCMAA01774656</t>
  </si>
  <si>
    <t>11.09.2021</t>
  </si>
  <si>
    <t>1.MSKU4511365/H/19.0647003</t>
  </si>
  <si>
    <t>6951</t>
  </si>
  <si>
    <t>TSLGZ21010004226</t>
  </si>
  <si>
    <t>NEW BICYCLE, LAMP, WALLPAPER</t>
  </si>
  <si>
    <t>2.FXLU2020059/H/19.0647078</t>
  </si>
  <si>
    <t>796 CTNS</t>
  </si>
  <si>
    <t>6952</t>
  </si>
  <si>
    <t>TCMAA01774668</t>
  </si>
  <si>
    <t>3.IMKU8821022/H/19.0647147</t>
  </si>
  <si>
    <t>696</t>
  </si>
  <si>
    <t>THJS202100102</t>
  </si>
  <si>
    <t>PLASTIC LUNCH BOX, RECTANGULAR SQUARE TUBE, TOILET TISSUE</t>
  </si>
  <si>
    <t>1.HSDU2019061/H/19.0645994</t>
  </si>
  <si>
    <t>883 PACKAGES</t>
  </si>
  <si>
    <t>697</t>
  </si>
  <si>
    <t>TSLGZ21010004246</t>
  </si>
  <si>
    <t>12.09.2021</t>
  </si>
  <si>
    <t>1.DHLU2021011/H/19.0647218</t>
  </si>
  <si>
    <t>6971</t>
  </si>
  <si>
    <t>TSLGZ21010004238</t>
  </si>
  <si>
    <t>2.GLHU2501647/H/19.0647291</t>
  </si>
  <si>
    <t>698</t>
  </si>
  <si>
    <t>SITGSHSVU05511</t>
  </si>
  <si>
    <t xml:space="preserve">BAODING </t>
  </si>
  <si>
    <t>699</t>
  </si>
  <si>
    <t>6991</t>
  </si>
  <si>
    <t>CNMC10904383</t>
  </si>
  <si>
    <t>14.09.2021</t>
  </si>
  <si>
    <t>616 PACKAGES</t>
  </si>
  <si>
    <t>SCM03012516</t>
  </si>
  <si>
    <t>1.DHLU2021015/H/19.0647619</t>
  </si>
  <si>
    <t>2.FXLU2021201/H/19.0647799</t>
  </si>
  <si>
    <t>744 CTNS</t>
  </si>
  <si>
    <t>700</t>
  </si>
  <si>
    <t>THJS202100104</t>
  </si>
  <si>
    <t>13.09.2021</t>
  </si>
  <si>
    <t>LAMP, PAPER CUP, PAPER BAG</t>
  </si>
  <si>
    <t>1.GVCU5084642/H/19.0647602</t>
  </si>
  <si>
    <t>KUN SAN</t>
  </si>
  <si>
    <t>7001</t>
  </si>
  <si>
    <t>THJS202100106</t>
  </si>
  <si>
    <t>PLASTIC LUNCH BOX, PVC U PIPE FITTINGS, WALLPAPER</t>
  </si>
  <si>
    <t>2.LEOU2020001/H/19.0647482</t>
  </si>
  <si>
    <t>670 PACKAGES</t>
  </si>
  <si>
    <t>760 PACKAGES</t>
  </si>
  <si>
    <t>701</t>
  </si>
  <si>
    <t>THJS20210010962</t>
  </si>
  <si>
    <t>PLASTIC BASKET, WOODEN FLOORING PANEL</t>
  </si>
  <si>
    <t>1.AMFU8514253/H/19.0647583</t>
  </si>
  <si>
    <t>525 PACKAGES</t>
  </si>
  <si>
    <t>7011</t>
  </si>
  <si>
    <t>THJS20210010963</t>
  </si>
  <si>
    <t>LAMP, PVC U PIPE FITTINGS, SCREW</t>
  </si>
  <si>
    <t>2.MOEU0603530/H/19.0647849</t>
  </si>
  <si>
    <t>440 PACKAGES</t>
  </si>
  <si>
    <t>TYCA2139</t>
  </si>
  <si>
    <t xml:space="preserve">NEW SOUEAST BRAND CAR DX7 NOVA (2021)
NEW SOUEAST BRAND CAR DX5 (2021)
</t>
  </si>
  <si>
    <t>702</t>
  </si>
  <si>
    <t>2743SH008A</t>
  </si>
  <si>
    <t>TRY SEANGHENG TRADING CO.,LTD</t>
  </si>
  <si>
    <t>20AO-M011KH-2</t>
  </si>
  <si>
    <t>DUMP TRUCK</t>
  </si>
  <si>
    <t xml:space="preserve">DONGFENG </t>
  </si>
  <si>
    <t>703</t>
  </si>
  <si>
    <t>2743SH008B</t>
  </si>
  <si>
    <t>20AO-M011KH-1</t>
  </si>
  <si>
    <t>CNMC10904418</t>
  </si>
  <si>
    <t>704</t>
  </si>
  <si>
    <t>LAMP, WALLPAPER, PAPER BAG</t>
  </si>
  <si>
    <t>1.TCNU9158179/H/19.0647954</t>
  </si>
  <si>
    <t>7041</t>
  </si>
  <si>
    <t>THJS20210010967</t>
  </si>
  <si>
    <t>16.09.2021</t>
  </si>
  <si>
    <t>LAMP, SCREW, STEEL PIPE</t>
  </si>
  <si>
    <t>2.DHLU2020111/H/19.0846002</t>
  </si>
  <si>
    <t>433 PACKAGES</t>
  </si>
  <si>
    <t>MILLION FARM AGRICULTURE CO.,LTD</t>
  </si>
  <si>
    <t>705</t>
  </si>
  <si>
    <t>LAX-CAM-D2102</t>
  </si>
  <si>
    <t>CAS BRIDGE V.196N</t>
  </si>
  <si>
    <t>19.09.2021</t>
  </si>
  <si>
    <t>USED CAR BENTLEY, MODEL YEAR: 1960, LHD</t>
  </si>
  <si>
    <t>1.OOCU8380187/UL6268845</t>
  </si>
  <si>
    <t>706</t>
  </si>
  <si>
    <t>CNMC10904436</t>
  </si>
  <si>
    <t>17.09.2021</t>
  </si>
  <si>
    <t>1.DHLU2021019/H/19.0846104</t>
  </si>
  <si>
    <t>7061</t>
  </si>
  <si>
    <t>CNMC10904448</t>
  </si>
  <si>
    <t>660 CTNS</t>
  </si>
  <si>
    <t>PLASTIC BASKET, PLASTIC LUNCH BOX, PAPER CUP</t>
  </si>
  <si>
    <t>2.FXLU2020055/H/19.0846158</t>
  </si>
  <si>
    <t>766 CTNS</t>
  </si>
  <si>
    <t>707</t>
  </si>
  <si>
    <t>THJS20210010971</t>
  </si>
  <si>
    <t>PAPER BOX, PAPER BAG</t>
  </si>
  <si>
    <t>1.UESU4842540/H/19.0647977</t>
  </si>
  <si>
    <t>625 PACKAGES</t>
  </si>
  <si>
    <t>7071</t>
  </si>
  <si>
    <t>THJS20210010954</t>
  </si>
  <si>
    <t>LAMP, PACKAGING FILM, WALLPAPER</t>
  </si>
  <si>
    <t>2.TRLU6695445/H/19.0846078</t>
  </si>
  <si>
    <t>787 PACKAGES</t>
  </si>
  <si>
    <t>708</t>
  </si>
  <si>
    <t>THJS20210010973</t>
  </si>
  <si>
    <t>18.09.2021</t>
  </si>
  <si>
    <t>LAMP, PLASTIC FLOWER, WALLPAPER</t>
  </si>
  <si>
    <t>1.ZHLU8988008/H/19.0846246</t>
  </si>
  <si>
    <t>INV &amp; PKL Date</t>
  </si>
  <si>
    <t>CO Date</t>
  </si>
  <si>
    <t>TP DATE</t>
  </si>
  <si>
    <t>IM8 DATE</t>
  </si>
  <si>
    <t>IM7 DATE</t>
  </si>
  <si>
    <t>SR DATE</t>
  </si>
  <si>
    <t>CV DATE</t>
  </si>
  <si>
    <t>CO DATE</t>
  </si>
  <si>
    <t>IM4 DATE</t>
  </si>
  <si>
    <t>EX3</t>
  </si>
  <si>
    <t>EX3 DATE</t>
  </si>
  <si>
    <t>709</t>
  </si>
  <si>
    <t>CNMC10904456</t>
  </si>
  <si>
    <t>1.DHLU2021007/H/19.0846357</t>
  </si>
  <si>
    <t>472 P'KGS</t>
  </si>
  <si>
    <t>7091</t>
  </si>
  <si>
    <t>2.HSDU9988815/H/19.0846373</t>
  </si>
  <si>
    <t>746 CTNS</t>
  </si>
  <si>
    <t>7092</t>
  </si>
  <si>
    <t>THJS20210010972</t>
  </si>
  <si>
    <t>SCM03012522</t>
  </si>
  <si>
    <t>3.LEOU4514019/H/19.0846339</t>
  </si>
  <si>
    <t>780 PACKAGES</t>
  </si>
  <si>
    <t>B/L Date</t>
  </si>
  <si>
    <t>CONT SIZE</t>
  </si>
  <si>
    <t>#Q២១ ជាន់ទី៣ ផ្លូវ Q ភូមិ ១៤ សង្កាត់ ទន្លេបាសាក់ ខណ្ឌ ចំការមន រាជធានីភ្នំពេញ
 VAT: K002-902102193</t>
  </si>
  <si>
    <t>ភូមិ ជើងឡង ឃុំ សួង ស្រុក សួង ខេត្ត ត្បូងឃ្មុំ
 VAT: B124-902102170</t>
  </si>
  <si>
    <t>#២៣ ផ្លូវ២០ សង្កាត់ស្ទឹងមានជ័យទី៣ ខណ្ឌមានជ័យ រាជធានីភ្នំពេញ
 VAT: K007-9020022874</t>
  </si>
  <si>
    <t xml:space="preserve">ទីតាំងនៅផ្ទះ #C២៩ ផ្លូវ Maha-C ក្នុងបុរី មហាសែនសុខ ភូមិវិមានទ្រង់ សង្កាត់ក្រាំងធ្នង់ ខណ្ឌសែនសុខ រាជធានីភ្នំពេញ
VAT: K009-901902489
</t>
  </si>
  <si>
    <t>តាំង ហុង</t>
  </si>
  <si>
    <t>#១០G ផ្លូវ ២៣០ ភូមិ ៨ សង្កាត់ បឹងសាឡាង ខណ្ឌ ទួលគោក រាជធានីភ្នំពេញ
Vat No : K005-902101776</t>
  </si>
  <si>
    <t>ទ្រី ស៊ាងហេង</t>
  </si>
  <si>
    <t>#បុរីពិភពថ្មីចំការដូង ផ្ទះលេខ 95A ផ្លូវ 19 ភូមិប្រការ សង្កាត់ព្រៃស ខណ្ឌដង្កោ រាជធានីភ្នំពេញ
Vat No : K006-902005865</t>
  </si>
  <si>
    <t>ស៊្រុន ណាល់</t>
  </si>
  <si>
    <t>https://goo.gl/maps/ZEhCkybUEZNWhaRu9</t>
  </si>
  <si>
    <t>អាស័យដ្ឋាន:# ៤៥ ផ្លូវសហព័ន្ធរុស្ស៊ី សង្កាត់ថ្លា ខណ្ឌសែនសុខ រាជធានីភ្នំពេញ
ទូរស័ព្ទលេខ : +855 098881618​ ។</t>
  </si>
  <si>
    <t>WICHAI ON-SRI</t>
  </si>
  <si>
    <t>174K STREET 105 SANGKAT TUAL SANGKAT KHAN RUSSET
KEO PHOM PENH,THE KINGDOM OF CAMBODIA
 TEL:+855 0189159555</t>
  </si>
  <si>
    <t>សុន ដារ៉ា</t>
  </si>
  <si>
    <t>https://goo.gl/maps/2NmY7hFBS2k9oh8Y7</t>
  </si>
  <si>
    <t>#N-៤០ ផ្លូវNewton Koh Pich, Mulberry Park ភូមិ ៤ សង្កាត់ ទន្លេបាសាក់ ខណ្ឌ ចំការមន រាជធានីភ្នំពេញ
VAT No : K002-902101770</t>
  </si>
  <si>
    <t>ពឹង បូរិន</t>
  </si>
  <si>
    <t>https://goo.gl/maps/GsWi5kemXdEiPexB8</t>
  </si>
  <si>
    <t>#C២៧ បុរីអាការសចរណ៍ ផ្លូវ ភូមិក្បាលដំរី១ សង្កាត់កាកាបទី១ ខណ្ឌពោធិ៍សែនជ័យ រាជធានីភ្នំពេញ
​Vat No : K010-902000030</t>
  </si>
  <si>
    <t>ZHANG HUA</t>
  </si>
  <si>
    <t>https://maps.google.com/maps?q=11.604460,104.898928&amp;ll=11.604460,104.898928&amp;z=16</t>
  </si>
  <si>
    <t xml:space="preserve">52 NATIONAL ROAD NO 6A RUSSEY KEO PHNOM PENH 
Contact Person: Marco Mok
VAT: L001-901908165 ,Tel: +853 2882 2822 </t>
  </si>
  <si>
    <t>LIAO KAILING</t>
  </si>
  <si>
    <t>RATANNAK</t>
  </si>
  <si>
    <t>#B75, ST.B, PHUM KBAL DAMREY I, SANGKAT KAKAB I, KHAN PORSENCHEY, PHNOM PENH, CAMBODIA
VAT : K010-901908667</t>
  </si>
  <si>
    <t>MA YUANQIANG</t>
  </si>
  <si>
    <t>https://www.google.com/maps/place/BYD+Cambodia/@11.592152,104.9271733,17z/data=!3m1!4b1!4m5!3m4!1s0x310953d2e3fa102f:0x97e2f0815633bd99!8m2!3d11.592152!4d104.929362</t>
  </si>
  <si>
    <t>សាខាគយ​ និងរដ្ឋាករស្វាយរៀង ការិយាល័យគយ និងរដ្ឋាករបាវិត</t>
  </si>
  <si>
    <t>SIHANOUKVILLE</t>
  </si>
  <si>
    <t>អាស័យដ្ឋាន#1FEo​ ផ្លូវ ៩៣ ភូមិ ផ្សារតូច សង្កាត់ ទួលសង្កែទី១ ខណ្ឌ ឫស្សីកែវ រាជធានីភ្នំពេញ
VAT No : K008-902005660</t>
  </si>
  <si>
    <t>MO GUANKANG</t>
  </si>
  <si>
    <t>https://goo.gl/maps/gSiPqu5BXT1h24HJ6</t>
  </si>
  <si>
    <t>សាខាគយ និងរដ្ឋាករកំពង់ផែអន្តរជាតិក្រុងព្រះសីហនុ</t>
  </si>
  <si>
    <t>PHNOM PENH</t>
  </si>
  <si>
    <t>#23N, St.2007, SANGKAT KAKAB, KHAN PORSENCHEY, PHNOM PENH, CAMBODIA.
VAT No : K010-901902352</t>
  </si>
  <si>
    <t>DON THONGPRAPAI</t>
  </si>
  <si>
    <t>SIN SOKEN (ស៊ិន សុខកេន) ដែលមានអាសយដ្ឋានឃ្លាំងលេខ ៥៩៧ ផ្លូវមុន្នីវង្ស សង្កាត់បឹងព្រលឹត ខណ្ឌ៧មករា រាជធានីភ្នំពេញ ។</t>
  </si>
  <si>
    <t>SSK</t>
  </si>
  <si>
    <t>សាខាគយ និងរដ្ឋាករកំពង់ផែអន្តរជាតិភ្នំពេញ</t>
  </si>
  <si>
    <t>DOUNG</t>
  </si>
  <si>
    <t>#255,ST.351,PHUM TA NGOV KROM,SANGKAT NIROTH, KHAN CHBAR AMPOV,PHNOM PENH, CAMBODIA
VAT No : K007-901903553</t>
  </si>
  <si>
    <t xml:space="preserve">លាង សុភា </t>
  </si>
  <si>
    <t>https://goo.gl/maps/WuC6bokrk32WsiPf6</t>
  </si>
  <si>
    <t>សាខាគយ និងរដ្ឋាករដូង</t>
  </si>
  <si>
    <t>POIPET</t>
  </si>
  <si>
    <t>ង៉ូវ ចាន់រស្មី</t>
  </si>
  <si>
    <t>ការិយាល័យគយ និងរដ្ឋាករមាត់ច្រកអន្តរជាតិប៉ោយប៉ែត</t>
  </si>
  <si>
    <t>VAT</t>
  </si>
  <si>
    <t>INF-M 1</t>
  </si>
  <si>
    <t>LINK SR</t>
  </si>
  <si>
    <t>LOCATION SR 2</t>
  </si>
  <si>
    <t>PORT</t>
  </si>
  <si>
    <t>710</t>
  </si>
  <si>
    <t>MASOUKY FT ( CAMBOD I A )  CO.,LTD</t>
  </si>
  <si>
    <t>BRIDGE V.0196N</t>
  </si>
  <si>
    <t>FOOD STUFF</t>
  </si>
  <si>
    <t>1.MSCU5916409/0769209</t>
  </si>
  <si>
    <t>2267 CARTONS</t>
  </si>
  <si>
    <t>ANZ CAMBODIA</t>
  </si>
  <si>
    <t>711</t>
  </si>
  <si>
    <t>CNMC10904469</t>
  </si>
  <si>
    <t>21.09.2021</t>
  </si>
  <si>
    <t xml:space="preserve">PLASTIC PACKING BOTTLE, PLASTIC LUNCH BOX, PAPER CUP </t>
  </si>
  <si>
    <t>1.TTLU6277945/H/19.0846609</t>
  </si>
  <si>
    <t>624 CTNS</t>
  </si>
  <si>
    <t>7111</t>
  </si>
  <si>
    <t>THJS20210010988</t>
  </si>
  <si>
    <t xml:space="preserve">LAMP, STEEL DOOR D10, PLYWOOD </t>
  </si>
  <si>
    <t>850 PACKAGES</t>
  </si>
  <si>
    <t>2.MOEU0718910/H/19.0846778</t>
  </si>
  <si>
    <t>712</t>
  </si>
  <si>
    <t>SCM03012532</t>
  </si>
  <si>
    <t>22.09.2021</t>
  </si>
  <si>
    <t>1.EOLU3034505/H/19.0846941</t>
  </si>
  <si>
    <t>801 CTNS</t>
  </si>
  <si>
    <t>7121</t>
  </si>
  <si>
    <t>CNMC10904512</t>
  </si>
  <si>
    <t>467 P'KGS</t>
  </si>
  <si>
    <t>2.TTCU9820511/H/19.0846942</t>
  </si>
  <si>
    <t>7122</t>
  </si>
  <si>
    <t>CNMC10904508</t>
  </si>
  <si>
    <t>PLASTIC PACKING BOTTLE, PLASTIC LUNCH BOX, PAPER CUP</t>
  </si>
  <si>
    <t>3.DBYU8818017/H/19.0846711</t>
  </si>
  <si>
    <t>602 CTNS</t>
  </si>
  <si>
    <t>572047</t>
  </si>
  <si>
    <t>SR CODE</t>
  </si>
  <si>
    <t>713</t>
  </si>
  <si>
    <t>GY24BA236455</t>
  </si>
  <si>
    <t>23.09.2021</t>
  </si>
  <si>
    <t>PLASTIC CUP, PAPER CUP, PLASTIC BASIN</t>
  </si>
  <si>
    <t>1.TTCU2121068/H/19.0847073</t>
  </si>
  <si>
    <t>542 CTNS</t>
  </si>
  <si>
    <t>7131</t>
  </si>
  <si>
    <t>CNMC10904569</t>
  </si>
  <si>
    <t>LAMP, PLASTIC LUNCH BOX, COTTON BLANKET</t>
  </si>
  <si>
    <t>2.HSDU2019037/H/19.0847038</t>
  </si>
  <si>
    <t>714</t>
  </si>
  <si>
    <t>THJS20210010984</t>
  </si>
  <si>
    <t>1.LEOU7888732/H/19.0847033</t>
  </si>
  <si>
    <t>782 CTNS</t>
  </si>
  <si>
    <t>7141</t>
  </si>
  <si>
    <t>THJS20210010989</t>
  </si>
  <si>
    <t>SCREW, STRAIGHT SAW BLADES, PLYWOOD</t>
  </si>
  <si>
    <t>2.MLCU9312929/H/19.0847142</t>
  </si>
  <si>
    <t>715</t>
  </si>
  <si>
    <t>716</t>
  </si>
  <si>
    <t>CNMC10904572</t>
  </si>
  <si>
    <t>24.09.2021</t>
  </si>
  <si>
    <t>LAMP, PVC U PIPE FITTINGS, COTTON BLANKET</t>
  </si>
  <si>
    <t>1.WSCU9343985/H/19.0847219</t>
  </si>
  <si>
    <t>332 P'KGS</t>
  </si>
  <si>
    <t>SCM03012618</t>
  </si>
  <si>
    <t>25.09.2021</t>
  </si>
  <si>
    <t>1.HSDU2019014/HQ/20.0136213</t>
  </si>
  <si>
    <t>7151</t>
  </si>
  <si>
    <t>THJS202100109100</t>
  </si>
  <si>
    <t>IRON FRAME FOR GLASS DOOR , PACKAGING FILM, WALLPAPER</t>
  </si>
  <si>
    <t>2.APLU4670284/HQ/20.0136212</t>
  </si>
  <si>
    <t>880 PACKAGES</t>
  </si>
  <si>
    <t>717</t>
  </si>
  <si>
    <t>CNMC10904602</t>
  </si>
  <si>
    <t>28.09.2021</t>
  </si>
  <si>
    <t>426 CTNS</t>
  </si>
  <si>
    <t>1.IMEU8820031/HQ/20.0136357</t>
  </si>
  <si>
    <t>7171</t>
  </si>
  <si>
    <t>SCM03012626</t>
  </si>
  <si>
    <t>2.FXLU2020058/HQ/20.0136734</t>
  </si>
  <si>
    <t>776 CTNS</t>
  </si>
  <si>
    <r>
      <rPr>
        <sz val="11"/>
        <color rgb="FFFF0000"/>
        <rFont val="Calibri"/>
        <family val="2"/>
        <scheme val="minor"/>
      </rPr>
      <t>1.CULU6059580-40'HC</t>
    </r>
    <r>
      <rPr>
        <sz val="11"/>
        <color theme="1"/>
        <rFont val="Calibri"/>
        <family val="2"/>
        <scheme val="minor"/>
      </rPr>
      <t xml:space="preserve">
</t>
    </r>
    <r>
      <rPr>
        <sz val="11"/>
        <color rgb="FFFF0000"/>
        <rFont val="Calibri"/>
        <family val="2"/>
        <scheme val="minor"/>
      </rPr>
      <t>2.FBLU0197124-40'HC</t>
    </r>
    <r>
      <rPr>
        <sz val="11"/>
        <color theme="1"/>
        <rFont val="Calibri"/>
        <family val="2"/>
        <scheme val="minor"/>
      </rPr>
      <t xml:space="preserve">
</t>
    </r>
    <r>
      <rPr>
        <sz val="11"/>
        <color rgb="FFFF0000"/>
        <rFont val="Calibri"/>
        <family val="2"/>
        <scheme val="minor"/>
      </rPr>
      <t>3.NLLU4128541-40'HC</t>
    </r>
  </si>
  <si>
    <t>«</t>
  </si>
  <si>
    <t>718</t>
  </si>
  <si>
    <t>55006767</t>
  </si>
  <si>
    <t>MAAPNHL02130</t>
  </si>
  <si>
    <t>EIC/2021/013/0428208A/00429309</t>
  </si>
  <si>
    <t>ធន់ មករា</t>
  </si>
  <si>
    <t>719</t>
  </si>
  <si>
    <t>LAX-CAM-D2103</t>
  </si>
  <si>
    <t>BRIDGE V.0198N</t>
  </si>
  <si>
    <t>03.10.2021</t>
  </si>
  <si>
    <t>USED CAR KOENIGSEGG REGERA, MODEL YEAR: 2019, LHD</t>
  </si>
  <si>
    <t>1. OOCU7546421/UL5515622</t>
  </si>
  <si>
    <t>SODO</t>
  </si>
  <si>
    <t>720</t>
  </si>
  <si>
    <t>SITSKSVG234840</t>
  </si>
  <si>
    <t>DF21PV-048KH001-1</t>
  </si>
  <si>
    <t>CHINA DONG FENG</t>
  </si>
  <si>
    <t xml:space="preserve">ហេង ហ៊ុយ (Heng Huy Autocars) ដែលមានអាស័យដ្ឋាន #ដីឡូត៍ ១៥០៦៧ ផ្លូវ១១៤ សង្កាត់មនោរម្យ ខណ្ឌ៧មករា រាជធានីភ្នំពេញ </t>
  </si>
  <si>
    <t xml:space="preserve">V99 PLATINUM AUTO ដែលមានអាសយដ្ឋានឃ្លាំងលេខ 31-32 ផ្លូវ114 សង្កាត់មនោរម្យ ខណ្ឌ៧មករា រាជធានីភ្នំពេញ​ </t>
  </si>
  <si>
    <t>1.TGBU6674490-40'HC</t>
  </si>
  <si>
    <t>721</t>
  </si>
  <si>
    <t>SITINSV043713G2</t>
  </si>
  <si>
    <t>MOUSTAFA MT (CAMBODIA) CO.,LTD</t>
  </si>
  <si>
    <t>SITC JIANGSU V.2118S</t>
  </si>
  <si>
    <t>30.09.2021</t>
  </si>
  <si>
    <t>1.TRHU6732970/SITK840447</t>
  </si>
  <si>
    <t>722 PACKAGE(S)</t>
  </si>
  <si>
    <t>722</t>
  </si>
  <si>
    <t>TSLGZ21010005234</t>
  </si>
  <si>
    <t>02.10.2021</t>
  </si>
  <si>
    <t>7221</t>
  </si>
  <si>
    <t>COAU7233637482</t>
  </si>
  <si>
    <t>2.CCLU6793644/20035083</t>
  </si>
  <si>
    <t>723</t>
  </si>
  <si>
    <t>GY24BA236587</t>
  </si>
  <si>
    <t>04.10.2021</t>
  </si>
  <si>
    <t>1.APHU4548527/HQ/20.0137211</t>
  </si>
  <si>
    <t>NEW DONGFENG BRAND CAR 2022</t>
  </si>
  <si>
    <t>724</t>
  </si>
  <si>
    <t>725</t>
  </si>
  <si>
    <t>726</t>
  </si>
  <si>
    <t>SITSKSVG237106</t>
  </si>
  <si>
    <t>PACIFIC GRACE V.2152S</t>
  </si>
  <si>
    <t>NEW CAR DONGFENG</t>
  </si>
  <si>
    <t>SITGNCSVX00381</t>
  </si>
  <si>
    <t>NEW JMC PICK UP BRAND CAR</t>
  </si>
  <si>
    <t>JIANGXI JIANGLING MOTOR</t>
  </si>
  <si>
    <t>1. FFAU1168199-40'HC</t>
  </si>
  <si>
    <t>1. SITU9042811-40'HC</t>
  </si>
  <si>
    <t>2021JL216</t>
  </si>
  <si>
    <t>DF21PV-030KH002</t>
  </si>
  <si>
    <t>ZHOU YOUYUAN</t>
  </si>
  <si>
    <t>727</t>
  </si>
  <si>
    <t>SCM03012639</t>
  </si>
  <si>
    <t>05.10.2021</t>
  </si>
  <si>
    <t>1.HDMU6977765/HQ/20.0137488</t>
  </si>
  <si>
    <t>7271</t>
  </si>
  <si>
    <t>TSLGZ21010005236</t>
  </si>
  <si>
    <t>PAPER CUP, PLASTIC LUNCH BOX, PAPER BAG</t>
  </si>
  <si>
    <t>2.SHLU8160004/HQ/20.0137547</t>
  </si>
  <si>
    <t>802 CTNS</t>
  </si>
  <si>
    <t>7272</t>
  </si>
  <si>
    <t>CNMC10904619</t>
  </si>
  <si>
    <t>3.FXLU2020059/HQ/20.0137518</t>
  </si>
  <si>
    <t>728</t>
  </si>
  <si>
    <t>CNMC10904624</t>
  </si>
  <si>
    <t>1.QFQU9125912/HQ/20.0137447</t>
  </si>
  <si>
    <t>218 BAGS</t>
  </si>
  <si>
    <t>7281</t>
  </si>
  <si>
    <t>DMC210924CA1244</t>
  </si>
  <si>
    <t>CERAMIC DISHES, CERAMIC PLATES</t>
  </si>
  <si>
    <t>2. FXLU2021201/HQ/20.0137404</t>
  </si>
  <si>
    <t>850 CTNS</t>
  </si>
  <si>
    <t>DF21PV-048KH001-2</t>
  </si>
  <si>
    <t>729</t>
  </si>
  <si>
    <t>730</t>
  </si>
  <si>
    <t>731</t>
  </si>
  <si>
    <t>732</t>
  </si>
  <si>
    <t>SHAWD066060</t>
  </si>
  <si>
    <t>E210781997181339</t>
  </si>
  <si>
    <t>40'HQ
40'HQ
40'HQ
40'HQ
40'HQ
40'HQ</t>
  </si>
  <si>
    <t>SHAWD066061</t>
  </si>
  <si>
    <t>20369194ETC</t>
  </si>
  <si>
    <t>E210781997181315</t>
  </si>
  <si>
    <t>7 UNITS</t>
  </si>
  <si>
    <t>40'HQ
40'HQ
40'HQ
20'GP</t>
  </si>
  <si>
    <t>SHAWD066067</t>
  </si>
  <si>
    <t>E210781997181335</t>
  </si>
  <si>
    <t>1. BSIU9541106/ZZCTB829442
2. TRHU7714101/ZZCTB829473
3. ZCSU7358790/ZZCTB829474</t>
  </si>
  <si>
    <t>SHAWD065774</t>
  </si>
  <si>
    <t>E210781997181336</t>
  </si>
  <si>
    <t>NEW CAR MG 6, MODEL YEAR: 2022, LHD</t>
  </si>
  <si>
    <t>NEW CAR MG RX5, MODEL YEAR: 2021, LHD</t>
  </si>
  <si>
    <t>NEW CAR MAXUS D60, MODEL YEAR: 2021, LHD  
NEW CAR MAXUS G50, MODEL YEAR: 2021, LHD</t>
  </si>
  <si>
    <t>NEW CAR MAXUS D60, MODEL YEAR: 2021, LHD</t>
  </si>
  <si>
    <t>EGLV 140157379171</t>
  </si>
  <si>
    <t>733</t>
  </si>
  <si>
    <t>CNMC10904718</t>
  </si>
  <si>
    <t>10.10.2021</t>
  </si>
  <si>
    <t>1.XNKU6619008/HQ/20.0138238</t>
  </si>
  <si>
    <t>7331</t>
  </si>
  <si>
    <t>TSLGZ21010005304</t>
  </si>
  <si>
    <t>2.PCCU6900007/HQ/20.0138251</t>
  </si>
  <si>
    <t>734</t>
  </si>
  <si>
    <t>CNMC10904638</t>
  </si>
  <si>
    <t>08.10.2021</t>
  </si>
  <si>
    <t xml:space="preserve">LAMP, PVC U PIPE FITTINGS, SCREW </t>
  </si>
  <si>
    <t>1.DHLU2021015/HQ/20.0137796</t>
  </si>
  <si>
    <t>7341</t>
  </si>
  <si>
    <t>TSLGZ21010005248</t>
  </si>
  <si>
    <t>2.HSDU2019123/HQ/20.0137724</t>
  </si>
  <si>
    <t>735</t>
  </si>
  <si>
    <t>TSLGZ21010005348</t>
  </si>
  <si>
    <t>11.10.2021</t>
  </si>
  <si>
    <t>WALLPAPER, PAPER BAG</t>
  </si>
  <si>
    <t>1.FXLU2020055/HQ/20.0138493</t>
  </si>
  <si>
    <t>1060 PACKAGES</t>
  </si>
  <si>
    <t>7351</t>
  </si>
  <si>
    <t>TSLGZ21010005356</t>
  </si>
  <si>
    <t>STEEL PIPE, WALLPAPER, LAMP</t>
  </si>
  <si>
    <t>2.DBYU8818006/HQ/20.0138455</t>
  </si>
  <si>
    <t>520 P'KGS</t>
  </si>
  <si>
    <t>7352</t>
  </si>
  <si>
    <t>SCM03012745</t>
  </si>
  <si>
    <t>3.VHLU2020006/HQ/20.0138431</t>
  </si>
  <si>
    <t>780 CTNS</t>
  </si>
  <si>
    <t>NEWPORT CYPRESS 79 V.131W</t>
  </si>
  <si>
    <t>M/V MEKONG 6 V.084W</t>
  </si>
  <si>
    <t>736</t>
  </si>
  <si>
    <t>TSLGZ21010005364</t>
  </si>
  <si>
    <t>12.10.2021</t>
  </si>
  <si>
    <t>STEEL PIPE, WALLPAPER, PVC U PIPE FITTINGS</t>
  </si>
  <si>
    <t>1.ZCSU8212773/HQ/20.0138791</t>
  </si>
  <si>
    <t>510 P'KGS</t>
  </si>
  <si>
    <t>7361</t>
  </si>
  <si>
    <t>THJS20210011028</t>
  </si>
  <si>
    <t>LAMP, STEEL PIPE, PAPER BAG</t>
  </si>
  <si>
    <t>2.HTLU2015002/HQ/20.0138615</t>
  </si>
  <si>
    <t>1.BEAU5508007/IN0778088</t>
  </si>
  <si>
    <t>737</t>
  </si>
  <si>
    <t>212118555</t>
  </si>
  <si>
    <t>HANSA LANKA V.140N</t>
  </si>
  <si>
    <t>09.10.2021</t>
  </si>
  <si>
    <t>USED CAR 2007 TOYOTA CAMRY, LHD
USED CAR 2006 TOYOTA TACOMA, LHD
NEW CAR 2021 JEEP WRANGLER,LHD
USED CAR 2011 TOYOTA PRIUS,LHD</t>
  </si>
  <si>
    <t>1.PONU3064600/563106</t>
  </si>
  <si>
    <t>738</t>
  </si>
  <si>
    <t>SCM03012812</t>
  </si>
  <si>
    <t>14.10.2021</t>
  </si>
  <si>
    <t>1.TCNU9287983/HQ/20.0138941</t>
  </si>
  <si>
    <t>740 CTNS</t>
  </si>
  <si>
    <t>JMC AUTO</t>
  </si>
  <si>
    <t>739</t>
  </si>
  <si>
    <t>THJS20210011029</t>
  </si>
  <si>
    <t>PAPER CUP, PAPER BAG</t>
  </si>
  <si>
    <t>1.TDRU4611334/HQ/20.0138843</t>
  </si>
  <si>
    <t>740</t>
  </si>
  <si>
    <t>GY24BA236633</t>
  </si>
  <si>
    <t>16.10.2021</t>
  </si>
  <si>
    <t>1.TTLU9730187/HQ/20.0139199</t>
  </si>
  <si>
    <t>7401</t>
  </si>
  <si>
    <t>THJS20210011043</t>
  </si>
  <si>
    <t>2.IMEU8821048/HQ/20.0139205</t>
  </si>
  <si>
    <t>870 CTNS</t>
  </si>
  <si>
    <t>741</t>
  </si>
  <si>
    <t>TSLGZ21010005445</t>
  </si>
  <si>
    <t>18.10.2021</t>
  </si>
  <si>
    <t>1.KKLU9056982/HQ/20.0138895</t>
  </si>
  <si>
    <t>860 PACKAGES</t>
  </si>
  <si>
    <t>7411</t>
  </si>
  <si>
    <t>TSLGZ21010005412</t>
  </si>
  <si>
    <t>560 P'KGS</t>
  </si>
  <si>
    <t>7412</t>
  </si>
  <si>
    <t>GY24BA236702</t>
  </si>
  <si>
    <t>2.EOLU3034505/HQ/20.0139114</t>
  </si>
  <si>
    <t>3.HSDU9918021/HQ/20.0138894</t>
  </si>
  <si>
    <t>670 CTNS</t>
  </si>
  <si>
    <t>742</t>
  </si>
  <si>
    <t>7421</t>
  </si>
  <si>
    <t>743</t>
  </si>
  <si>
    <t>7431</t>
  </si>
  <si>
    <t>CNMC10905546</t>
  </si>
  <si>
    <t>THJS20210011046</t>
  </si>
  <si>
    <t>PILLOW, CARPET, PAPER BAG</t>
  </si>
  <si>
    <t>585 P'KGS</t>
  </si>
  <si>
    <t>480 BAGS</t>
  </si>
  <si>
    <t>SCM03012944</t>
  </si>
  <si>
    <t>710 CTNS</t>
  </si>
  <si>
    <t>CNMC10906924</t>
  </si>
  <si>
    <t>450 CTNS</t>
  </si>
  <si>
    <t>1.DHLU2021008/HQ/20.0139554</t>
  </si>
  <si>
    <t>2.SALU9990005/HQ/20.0139591</t>
  </si>
  <si>
    <t>1.GESU5016072/HQ/20.0139278</t>
  </si>
  <si>
    <t>2.IMEU2020028/HQ/20.0139558</t>
  </si>
  <si>
    <t>744</t>
  </si>
  <si>
    <t>GY24BA236716</t>
  </si>
  <si>
    <t>20.10.2021</t>
  </si>
  <si>
    <t>PLASTIC BOTTLE, PAPER CUP, PLASTIC BASIN</t>
  </si>
  <si>
    <t>1.IMKU8820010/ HQ/20.0139888</t>
  </si>
  <si>
    <t>7441</t>
  </si>
  <si>
    <t>CNMC10907235</t>
  </si>
  <si>
    <t>LAMP, PVC U PIPE FITTINGS, WALLPAPER, SCREW</t>
  </si>
  <si>
    <t>2.OOLU5461580/HQ/20.0140071</t>
  </si>
  <si>
    <t>650 CTNS</t>
  </si>
  <si>
    <t>745</t>
  </si>
  <si>
    <t>GY24BA236855</t>
  </si>
  <si>
    <t>23.10.2021</t>
  </si>
  <si>
    <t>1.IMEU2020018/HQ/20.0140311</t>
  </si>
  <si>
    <t>7451</t>
  </si>
  <si>
    <t>CNMC10907369</t>
  </si>
  <si>
    <t>WOMEN'S COTTON SLIPPERS, CARDBOARD BOXES</t>
  </si>
  <si>
    <t>2.DHLU2021019/HQ/20.0140409</t>
  </si>
  <si>
    <t>476 BAGS</t>
  </si>
  <si>
    <t>7452</t>
  </si>
  <si>
    <t>SZXCB21025429</t>
  </si>
  <si>
    <t>3.REGU5119140/CNSHK2106561</t>
  </si>
  <si>
    <t>780 CARTONS</t>
  </si>
  <si>
    <t>746</t>
  </si>
  <si>
    <t>SCM03012956</t>
  </si>
  <si>
    <t>24.10.2021</t>
  </si>
  <si>
    <t>1.APHU4582251/HQ/20.0140457</t>
  </si>
  <si>
    <t>747</t>
  </si>
  <si>
    <t>CNMC10907422</t>
  </si>
  <si>
    <t>25.10.2021</t>
  </si>
  <si>
    <t>PLASTIC CUP, CARDBOARD BOXES</t>
  </si>
  <si>
    <t>1.DHLU2021020/HQ/20.0140710</t>
  </si>
  <si>
    <t>740 PKGS</t>
  </si>
  <si>
    <t>748</t>
  </si>
  <si>
    <t>21AO-M004KH</t>
  </si>
  <si>
    <t>2805SH004</t>
  </si>
  <si>
    <t>FIR PLANNED CO.,LTD</t>
  </si>
  <si>
    <t>749</t>
  </si>
  <si>
    <t>2805SH003/005</t>
  </si>
  <si>
    <t>20AO-M009KH</t>
  </si>
  <si>
    <t>NEW DUMP TRUCK, MODEL YEAR: 2021, LHD (15 UNITS)
NEW DONGFENG TRACTOR HEAD, MODEL YEAR: 2021, LHD (1 UNIT)</t>
  </si>
  <si>
    <t>DONGFENG</t>
  </si>
  <si>
    <t>NEW DONGFENG TRACTOR HEAD, MODEL YEAR: 2021, LHD</t>
  </si>
  <si>
    <t>750</t>
  </si>
  <si>
    <t>2805SH015</t>
  </si>
  <si>
    <t>UNITED MERCURY GROUP CO.,LTD</t>
  </si>
  <si>
    <t>NEW ISUZU FIRE TRUCK, MODEL YEAR: 2021, LHD</t>
  </si>
  <si>
    <t xml:space="preserve"> HUBEI XINDONGRI</t>
  </si>
  <si>
    <t>ភូមិ អង្គសុគន្ធា ឃុំ មហាឫស្សី ស្រុក គងពិសី ខេត្ត កំពង់ស្ពឺ 
VAT: B105-901704100</t>
  </si>
  <si>
    <t>ALFRED KASUMA ALIWARGA</t>
  </si>
  <si>
    <t>ខាន់ លីណា</t>
  </si>
  <si>
    <t>751</t>
  </si>
  <si>
    <t>THJS20210078</t>
  </si>
  <si>
    <t>27.10.2021</t>
  </si>
  <si>
    <t>PAPER CUP, WALLPAPER</t>
  </si>
  <si>
    <t>1.XNKU8818009/HQ/20.0140899</t>
  </si>
  <si>
    <t>1,195 CTNS</t>
  </si>
  <si>
    <t>7511</t>
  </si>
  <si>
    <t>CNMC10907468</t>
  </si>
  <si>
    <t xml:space="preserve">LAMP, PVC U PIPE FITTINGS, WALLPAPERM, SCREW </t>
  </si>
  <si>
    <t>2.TTCU9820511/HQ/20.0140961</t>
  </si>
  <si>
    <r>
      <t xml:space="preserve">1. </t>
    </r>
    <r>
      <rPr>
        <sz val="11"/>
        <color rgb="FFFF0000"/>
        <rFont val="Calibri"/>
        <family val="2"/>
        <scheme val="minor"/>
      </rPr>
      <t>ZCSU7395535/A4210463393</t>
    </r>
    <r>
      <rPr>
        <sz val="11"/>
        <color theme="1"/>
        <rFont val="Calibri"/>
        <family val="2"/>
        <scheme val="minor"/>
      </rPr>
      <t xml:space="preserve">
2. </t>
    </r>
    <r>
      <rPr>
        <sz val="11"/>
        <color rgb="FFFF0000"/>
        <rFont val="Calibri"/>
        <family val="2"/>
        <scheme val="minor"/>
      </rPr>
      <t>ZCSU7884520/A4210463408</t>
    </r>
    <r>
      <rPr>
        <sz val="11"/>
        <color theme="1"/>
        <rFont val="Calibri"/>
        <family val="2"/>
        <scheme val="minor"/>
      </rPr>
      <t xml:space="preserve"> 
3. </t>
    </r>
    <r>
      <rPr>
        <sz val="11"/>
        <color rgb="FFFF0000"/>
        <rFont val="Calibri"/>
        <family val="2"/>
        <scheme val="minor"/>
      </rPr>
      <t>ZCSU7885722/A4210463491</t>
    </r>
    <r>
      <rPr>
        <sz val="11"/>
        <color theme="1"/>
        <rFont val="Calibri"/>
        <family val="2"/>
        <scheme val="minor"/>
      </rPr>
      <t xml:space="preserve"> 
4. </t>
    </r>
    <r>
      <rPr>
        <sz val="11"/>
        <color rgb="FFFF0000"/>
        <rFont val="Calibri"/>
        <family val="2"/>
        <scheme val="minor"/>
      </rPr>
      <t>ZCSU7889939/A4210463412</t>
    </r>
    <r>
      <rPr>
        <sz val="11"/>
        <color theme="1"/>
        <rFont val="Calibri"/>
        <family val="2"/>
        <scheme val="minor"/>
      </rPr>
      <t xml:space="preserve"> 
5. </t>
    </r>
    <r>
      <rPr>
        <sz val="11"/>
        <color rgb="FFFF0000"/>
        <rFont val="Calibri"/>
        <family val="2"/>
        <scheme val="minor"/>
      </rPr>
      <t>ZCSU7894684/A4210463492</t>
    </r>
    <r>
      <rPr>
        <sz val="11"/>
        <color theme="1"/>
        <rFont val="Calibri"/>
        <family val="2"/>
        <scheme val="minor"/>
      </rPr>
      <t xml:space="preserve"> 
6. </t>
    </r>
    <r>
      <rPr>
        <sz val="11"/>
        <color rgb="FFFF0000"/>
        <rFont val="Calibri"/>
        <family val="2"/>
        <scheme val="minor"/>
      </rPr>
      <t>ZCSU8766250/A4210463415</t>
    </r>
  </si>
  <si>
    <r>
      <t xml:space="preserve">1. </t>
    </r>
    <r>
      <rPr>
        <sz val="11"/>
        <color rgb="FFFF0000"/>
        <rFont val="Calibri"/>
        <family val="2"/>
        <scheme val="minor"/>
      </rPr>
      <t>ZCSU7632302/A4210463385</t>
    </r>
    <r>
      <rPr>
        <sz val="11"/>
        <color theme="1"/>
        <rFont val="Calibri"/>
        <family val="2"/>
        <scheme val="minor"/>
      </rPr>
      <t xml:space="preserve">
2. </t>
    </r>
    <r>
      <rPr>
        <sz val="11"/>
        <color rgb="FFFF0000"/>
        <rFont val="Calibri"/>
        <family val="2"/>
        <scheme val="minor"/>
      </rPr>
      <t>ZCSU7867837/A4210463470</t>
    </r>
    <r>
      <rPr>
        <sz val="11"/>
        <color theme="1"/>
        <rFont val="Calibri"/>
        <family val="2"/>
        <scheme val="minor"/>
      </rPr>
      <t xml:space="preserve">
3. </t>
    </r>
    <r>
      <rPr>
        <sz val="11"/>
        <color rgb="FFFF0000"/>
        <rFont val="Calibri"/>
        <family val="2"/>
        <scheme val="minor"/>
      </rPr>
      <t>ZCSU7868005/A4210463462</t>
    </r>
    <r>
      <rPr>
        <sz val="11"/>
        <color theme="1"/>
        <rFont val="Calibri"/>
        <family val="2"/>
        <scheme val="minor"/>
      </rPr>
      <t xml:space="preserve">
4. </t>
    </r>
    <r>
      <rPr>
        <sz val="11"/>
        <color rgb="FFFF0000"/>
        <rFont val="Calibri"/>
        <family val="2"/>
        <scheme val="minor"/>
      </rPr>
      <t>ZIMU1394361/A4200288846</t>
    </r>
  </si>
  <si>
    <r>
      <t xml:space="preserve">1. </t>
    </r>
    <r>
      <rPr>
        <sz val="11"/>
        <color rgb="FFFF0000"/>
        <rFont val="Calibri"/>
        <family val="2"/>
        <scheme val="minor"/>
      </rPr>
      <t>GAOU6115435/ZZCTB829476</t>
    </r>
    <r>
      <rPr>
        <sz val="11"/>
        <color theme="1"/>
        <rFont val="Calibri"/>
        <family val="2"/>
        <scheme val="minor"/>
      </rPr>
      <t xml:space="preserve">
2. </t>
    </r>
    <r>
      <rPr>
        <sz val="11"/>
        <color rgb="FFFF0000"/>
        <rFont val="Calibri"/>
        <family val="2"/>
        <scheme val="minor"/>
      </rPr>
      <t>TRHU7716064/ZZCTB829478</t>
    </r>
    <r>
      <rPr>
        <sz val="11"/>
        <color theme="1"/>
        <rFont val="Calibri"/>
        <family val="2"/>
        <scheme val="minor"/>
      </rPr>
      <t xml:space="preserve">
3. </t>
    </r>
    <r>
      <rPr>
        <sz val="11"/>
        <color rgb="FFFF0000"/>
        <rFont val="Calibri"/>
        <family val="2"/>
        <scheme val="minor"/>
      </rPr>
      <t>ZCSU7349268/ZZCTB829475</t>
    </r>
  </si>
  <si>
    <t>752</t>
  </si>
  <si>
    <t>SCM03013016</t>
  </si>
  <si>
    <t>29.10.2021</t>
  </si>
  <si>
    <t>1.QFQU9125912/HQ/20.0141038</t>
  </si>
  <si>
    <t>762 CTNS</t>
  </si>
  <si>
    <t>7521</t>
  </si>
  <si>
    <t>CNMC10907512</t>
  </si>
  <si>
    <t>2.DHLU2021003/HQ/20.0141089</t>
  </si>
  <si>
    <t>710 P'KGS</t>
  </si>
  <si>
    <t>753</t>
  </si>
  <si>
    <t>CNMC10907524</t>
  </si>
  <si>
    <t>1.HDCU1660088/HQ/20.0141110</t>
  </si>
  <si>
    <t>754</t>
  </si>
  <si>
    <t>NSASHVG052997</t>
  </si>
  <si>
    <t>HZX20211024</t>
  </si>
  <si>
    <t>NEW CAR HONGQI HS5</t>
  </si>
  <si>
    <t>1.DFSU7709481-40'HC
2.BMOU6498211-40'HC
3.UETU5606815-40'HC
4.TEMU5057513-20'GP</t>
  </si>
  <si>
    <t>ZHU SHUAI</t>
  </si>
  <si>
    <t>755</t>
  </si>
  <si>
    <t>GY24BA237445</t>
  </si>
  <si>
    <t>01.11.2021</t>
  </si>
  <si>
    <t>1.BATU8681398/HQ/20.0141549</t>
  </si>
  <si>
    <t>667 CTNS</t>
  </si>
  <si>
    <t>7551</t>
  </si>
  <si>
    <t>CNMC10907556</t>
  </si>
  <si>
    <t>2.OOLU9014867/HQ/20.0141550</t>
  </si>
  <si>
    <t>732 P'KGS</t>
  </si>
  <si>
    <r>
      <t xml:space="preserve">1. </t>
    </r>
    <r>
      <rPr>
        <sz val="11"/>
        <color rgb="FFFF0000"/>
        <rFont val="Calibri"/>
        <family val="2"/>
        <scheme val="minor"/>
      </rPr>
      <t>BMOU4988375</t>
    </r>
    <r>
      <rPr>
        <sz val="11"/>
        <color theme="1"/>
        <rFont val="Calibri"/>
        <family val="2"/>
        <scheme val="minor"/>
      </rPr>
      <t xml:space="preserve">-40'HC
2. </t>
    </r>
    <r>
      <rPr>
        <sz val="11"/>
        <color rgb="FFFF0000"/>
        <rFont val="Calibri"/>
        <family val="2"/>
        <scheme val="minor"/>
      </rPr>
      <t>BMOU5285947</t>
    </r>
    <r>
      <rPr>
        <sz val="11"/>
        <color theme="1"/>
        <rFont val="Calibri"/>
        <family val="2"/>
        <scheme val="minor"/>
      </rPr>
      <t xml:space="preserve">-40'HC
3. </t>
    </r>
    <r>
      <rPr>
        <sz val="11"/>
        <color rgb="FFFF0000"/>
        <rFont val="Calibri"/>
        <family val="2"/>
        <scheme val="minor"/>
      </rPr>
      <t>DRYU9908291</t>
    </r>
    <r>
      <rPr>
        <sz val="11"/>
        <color theme="1"/>
        <rFont val="Calibri"/>
        <family val="2"/>
        <scheme val="minor"/>
      </rPr>
      <t xml:space="preserve">-40'HC
4. </t>
    </r>
    <r>
      <rPr>
        <sz val="11"/>
        <color rgb="FFFF0000"/>
        <rFont val="Calibri"/>
        <family val="2"/>
        <scheme val="minor"/>
      </rPr>
      <t>EITU1569206</t>
    </r>
    <r>
      <rPr>
        <sz val="11"/>
        <color theme="1"/>
        <rFont val="Calibri"/>
        <family val="2"/>
        <scheme val="minor"/>
      </rPr>
      <t xml:space="preserve">-40'HC
5. </t>
    </r>
    <r>
      <rPr>
        <sz val="11"/>
        <color rgb="FFFF0000"/>
        <rFont val="Calibri"/>
        <family val="2"/>
        <scheme val="minor"/>
      </rPr>
      <t>TGBU5058227</t>
    </r>
    <r>
      <rPr>
        <sz val="11"/>
        <color theme="1"/>
        <rFont val="Calibri"/>
        <family val="2"/>
        <scheme val="minor"/>
      </rPr>
      <t>-40'HC</t>
    </r>
  </si>
  <si>
    <t>EIR 011121</t>
  </si>
  <si>
    <t>756</t>
  </si>
  <si>
    <t>TSLGZ21011245262</t>
  </si>
  <si>
    <t>03.11.2021</t>
  </si>
  <si>
    <t>PLASTIC SLIPPERS, CARDBOARD BOXES</t>
  </si>
  <si>
    <t>3.DHLU2021010/HQ/20.0141830</t>
  </si>
  <si>
    <t>532 BAGS</t>
  </si>
  <si>
    <t>02.11.2021</t>
  </si>
  <si>
    <t>757</t>
  </si>
  <si>
    <t>ONEYDXBB13682600</t>
  </si>
  <si>
    <t>BRIDGE V.0202N</t>
  </si>
  <si>
    <t>1 UNIT USED CAR FERRARI F355, MODEL YEAR 1995, LHD
1 UNIT USED CAR FERRARI 348, MODEL YEAR 1990, LHD</t>
  </si>
  <si>
    <t>1.NYKU5273835/004800</t>
  </si>
  <si>
    <t>758</t>
  </si>
  <si>
    <t>759</t>
  </si>
  <si>
    <t>760</t>
  </si>
  <si>
    <t>SHAWD066371</t>
  </si>
  <si>
    <t>E210781997181368</t>
  </si>
  <si>
    <t>40'HQ
20'GP
40'HQ
40'HQ
40'HQ
40'HQ</t>
  </si>
  <si>
    <t>761</t>
  </si>
  <si>
    <t>SHAWD066439</t>
  </si>
  <si>
    <t>E210781997181367</t>
  </si>
  <si>
    <t>NEW CAR MG 6, MODEL YEAR 2022, LHD</t>
  </si>
  <si>
    <t>NEW CAR MG ZS, MODEL YEAR 2021, LHD</t>
  </si>
  <si>
    <t>40'HQ
40'HQ
40'HQ
40'HQ
40'HQ
40'HQ
40'HQ</t>
  </si>
  <si>
    <t>762</t>
  </si>
  <si>
    <t>SHAWD066595</t>
  </si>
  <si>
    <t>E210781997181369</t>
  </si>
  <si>
    <t>NEW CAR MG RX8, MODEL YEAR 2021, LHD</t>
  </si>
  <si>
    <t>40'HQ
40'HQ
40'HQ
40'HQ</t>
  </si>
  <si>
    <t>763</t>
  </si>
  <si>
    <t>ONEYDXBB13647700</t>
  </si>
  <si>
    <t>GREEN BANGLA IMPORT EXPORT CO., LTD</t>
  </si>
  <si>
    <t>16 UNITS</t>
  </si>
  <si>
    <t>SAHARA</t>
  </si>
  <si>
    <t>1.TCNU6682990 / AE105148A</t>
  </si>
  <si>
    <t>764</t>
  </si>
  <si>
    <t>CNMC10908218</t>
  </si>
  <si>
    <t>05.11.2021</t>
  </si>
  <si>
    <t>1.FSCU7039127/HQ/20.0142270</t>
  </si>
  <si>
    <t>720 P'KGS</t>
  </si>
  <si>
    <t>765</t>
  </si>
  <si>
    <t>SCM03014822</t>
  </si>
  <si>
    <t>2.HSDU2019032/HQ/20.0142969</t>
  </si>
  <si>
    <t>738 CTNS</t>
  </si>
  <si>
    <t>7641</t>
  </si>
  <si>
    <t>COAU7883105960</t>
  </si>
  <si>
    <t>04.11.2021</t>
  </si>
  <si>
    <t>1.FFAU1877996/CP199782</t>
  </si>
  <si>
    <t>745 CARTONS</t>
  </si>
  <si>
    <t>7651</t>
  </si>
  <si>
    <t>TSLGZ21011245369</t>
  </si>
  <si>
    <t>2.CLHU8196756/HQ/20.0142326</t>
  </si>
  <si>
    <t>940 CTNS</t>
  </si>
  <si>
    <t>USED CAR TOYOTA LAND CRUSIER VXR, MODEL YEAR 2022, LHD</t>
  </si>
  <si>
    <t>1.FSCU8149387-40'HQ
2.MAGU5486482-40'HQ
3.TCNU6833761-40'HQ
4.TGBU7185827-40'HQ
5.TGCU5076184-40'HQ
6.ZCSU7243738-40'HQ</t>
  </si>
  <si>
    <t>OMPLCHS210262-2</t>
  </si>
  <si>
    <t>017/2021</t>
  </si>
  <si>
    <t>PS CHALALAI 1 V.2116S</t>
  </si>
  <si>
    <t>OMPL9055698-40'</t>
  </si>
  <si>
    <t>28 ROLLS</t>
  </si>
  <si>
    <t>OMPLCHS210262-1</t>
  </si>
  <si>
    <t>018/2021</t>
  </si>
  <si>
    <t>PLASTIC WRAPPER, STICKER, BOX, SPARE PART</t>
  </si>
  <si>
    <t>WHLU2681413-20'</t>
  </si>
  <si>
    <t>8 PALLETS</t>
  </si>
  <si>
    <t>NEWPORT CYPRESS 79 V.136W</t>
  </si>
  <si>
    <t>07.11.2021</t>
  </si>
  <si>
    <t>766</t>
  </si>
  <si>
    <t>CNMC10908336</t>
  </si>
  <si>
    <t>1. HSDU2019014/HQ/20.0143100</t>
  </si>
  <si>
    <t>740 P'KGS</t>
  </si>
  <si>
    <t>767</t>
  </si>
  <si>
    <t>CNMC10908339</t>
  </si>
  <si>
    <t>08.11.2021</t>
  </si>
  <si>
    <t>1.KKLU9056982/HQ/20.0143195</t>
  </si>
  <si>
    <t>768</t>
  </si>
  <si>
    <t>SCM03014935</t>
  </si>
  <si>
    <t>1.KKFU9099187/HQ/20.0143558</t>
  </si>
  <si>
    <t>703 CTNS</t>
  </si>
  <si>
    <t>ភេទស្រី មានអត្តសញ្ញាណប័ណ្ណសញ្ជាតិខ្មែរលេខៈ010432848(01) ជាប្រធានក្រុមហ៊ុន SREY CHINDA IMPORT EXPORT CO.,LTD អត្តសញ្ញាណកម្មសារពើពន្ធ (VAT)លេខៈ K010-901902352 ទូរសព្ទ័លេខៈ 098 700 350</t>
  </si>
  <si>
    <t>769</t>
  </si>
  <si>
    <t>KMTCMAA0185226</t>
  </si>
  <si>
    <t>11.11.2021</t>
  </si>
  <si>
    <t>2450 CTNS</t>
  </si>
  <si>
    <t>1. CAIU4426887/INMAA2116304
2. TGBU8075022/INMAA2116382</t>
  </si>
  <si>
    <t>770</t>
  </si>
  <si>
    <t>TSLGZ21011245477</t>
  </si>
  <si>
    <t>1.GMTU9981442/HQ/20.0143783</t>
  </si>
  <si>
    <t>7701</t>
  </si>
  <si>
    <t>CNMC10908418</t>
  </si>
  <si>
    <t>2. DHLU2021011/HQ/20.0340147</t>
  </si>
  <si>
    <t>500 BAGS</t>
  </si>
  <si>
    <t>734 P'KGS</t>
  </si>
  <si>
    <t>7702</t>
  </si>
  <si>
    <t>DMC210924CA3256</t>
  </si>
  <si>
    <t>3.FXLU2021210/HQ/20.0143694</t>
  </si>
  <si>
    <t>771</t>
  </si>
  <si>
    <t>TSLGZ21011245588</t>
  </si>
  <si>
    <t>13.11.2021</t>
  </si>
  <si>
    <t>1.DHLU2021015/HQ/19.0340037</t>
  </si>
  <si>
    <t>7711</t>
  </si>
  <si>
    <t>CNMC10908566</t>
  </si>
  <si>
    <t>2.NYKU4547633/HQ/20.0144058</t>
  </si>
  <si>
    <t>772</t>
  </si>
  <si>
    <t>CNMC10908612</t>
  </si>
  <si>
    <t>14.11.2021</t>
  </si>
  <si>
    <t>1.IMKU8820010/HQ/20.0144171</t>
  </si>
  <si>
    <t>773</t>
  </si>
  <si>
    <t>SHAWD066614</t>
  </si>
  <si>
    <t>E210781997181371</t>
  </si>
  <si>
    <t>NEW CAR MG 6, MODEL YEAR 2021, LHD</t>
  </si>
  <si>
    <t>1.ZCSU8534846 / A4210861722</t>
  </si>
  <si>
    <t>SHAWD066518</t>
  </si>
  <si>
    <t>E210781997181370</t>
  </si>
  <si>
    <t>D2021-0283723</t>
  </si>
  <si>
    <t>7731</t>
  </si>
  <si>
    <t>ហូម៉េន សេនតូនី តាន់ឌីហ្សូណូ</t>
  </si>
  <si>
    <t>ភេទប្រុស មានអត្តសញ្ញាណប័ណ្ណសញ្ជាតិខ្មែរលេខៈ010464617 ជាប្រធានក្រុមហ៊ុន TF MORTORS (CAMBODIA) CO.,LTD អត្តសញ្ញាណកម្មសារពើពន្ធ (VAT)លេខៈ L001-104008598 ទូរសព្ទ័លេខៈ 088 8772209</t>
  </si>
  <si>
    <t>04079</t>
  </si>
  <si>
    <t>04077</t>
  </si>
  <si>
    <t>T556</t>
  </si>
  <si>
    <t>T554</t>
  </si>
  <si>
    <t>03993</t>
  </si>
  <si>
    <t>T13507</t>
  </si>
  <si>
    <t>04110</t>
  </si>
  <si>
    <t>T13787</t>
  </si>
  <si>
    <t>04080</t>
  </si>
  <si>
    <t>T560</t>
  </si>
  <si>
    <t>03943</t>
  </si>
  <si>
    <t>T13233</t>
  </si>
  <si>
    <t>04078</t>
  </si>
  <si>
    <t>T555</t>
  </si>
  <si>
    <t>04076</t>
  </si>
  <si>
    <t>T562</t>
  </si>
  <si>
    <t>03766</t>
  </si>
  <si>
    <t>T12565</t>
  </si>
  <si>
    <t>03694</t>
  </si>
  <si>
    <t>T12367</t>
  </si>
  <si>
    <t>03765</t>
  </si>
  <si>
    <t>T12557</t>
  </si>
  <si>
    <t>T11818</t>
  </si>
  <si>
    <t>03457</t>
  </si>
  <si>
    <t>015/21</t>
  </si>
  <si>
    <t>T470</t>
  </si>
  <si>
    <t>03124</t>
  </si>
  <si>
    <t>T450</t>
  </si>
  <si>
    <t>03129</t>
  </si>
  <si>
    <t>T451</t>
  </si>
  <si>
    <t>03135</t>
  </si>
  <si>
    <t>T452</t>
  </si>
  <si>
    <t>T10482</t>
  </si>
  <si>
    <t>02895</t>
  </si>
  <si>
    <t>T9741</t>
  </si>
  <si>
    <t>T9723</t>
  </si>
  <si>
    <t>02175</t>
  </si>
  <si>
    <t>T302</t>
  </si>
  <si>
    <t>02176</t>
  </si>
  <si>
    <t>T301</t>
  </si>
  <si>
    <t>02263</t>
  </si>
  <si>
    <t>T7617</t>
  </si>
  <si>
    <t>774</t>
  </si>
  <si>
    <t>COAU7234883480</t>
  </si>
  <si>
    <t>15.11.2021</t>
  </si>
  <si>
    <t>1.OOLU6932200/20880284
2.CBHU8641620/20880288</t>
  </si>
  <si>
    <t>1,596 CARTONS</t>
  </si>
  <si>
    <t>01926</t>
  </si>
  <si>
    <t>T7005</t>
  </si>
  <si>
    <t>02164</t>
  </si>
  <si>
    <t>T7273</t>
  </si>
  <si>
    <t>02162</t>
  </si>
  <si>
    <t>T7358</t>
  </si>
  <si>
    <t>02184</t>
  </si>
  <si>
    <t>T303</t>
  </si>
  <si>
    <t>02182</t>
  </si>
  <si>
    <t>T305</t>
  </si>
  <si>
    <t>02183</t>
  </si>
  <si>
    <t>T304</t>
  </si>
  <si>
    <t>02269</t>
  </si>
  <si>
    <t>T7571</t>
  </si>
  <si>
    <t>007/21</t>
  </si>
  <si>
    <t>T4</t>
  </si>
  <si>
    <t>T9</t>
  </si>
  <si>
    <t>T5</t>
  </si>
  <si>
    <t>T6</t>
  </si>
  <si>
    <t>009/21</t>
  </si>
  <si>
    <t>010/21</t>
  </si>
  <si>
    <t>001/21</t>
  </si>
  <si>
    <t>T1</t>
  </si>
  <si>
    <t>003/21</t>
  </si>
  <si>
    <t>T2</t>
  </si>
  <si>
    <t>001/20</t>
  </si>
  <si>
    <t>018/20</t>
  </si>
  <si>
    <t>T11</t>
  </si>
  <si>
    <t>006/20</t>
  </si>
  <si>
    <t>019/20</t>
  </si>
  <si>
    <t>T12</t>
  </si>
  <si>
    <t>013/20</t>
  </si>
  <si>
    <t>T8</t>
  </si>
  <si>
    <t>010/20</t>
  </si>
  <si>
    <t>T7</t>
  </si>
  <si>
    <t>008/20</t>
  </si>
  <si>
    <t>017/20</t>
  </si>
  <si>
    <t>T10</t>
  </si>
  <si>
    <t>009/20</t>
  </si>
  <si>
    <t>014/20</t>
  </si>
  <si>
    <t>022/20</t>
  </si>
  <si>
    <t>T13</t>
  </si>
  <si>
    <t>023/19</t>
  </si>
  <si>
    <t>027/19</t>
  </si>
  <si>
    <t>T15</t>
  </si>
  <si>
    <t>(PART OF)</t>
  </si>
  <si>
    <t>7741</t>
  </si>
  <si>
    <t>XMRS211021001</t>
  </si>
  <si>
    <t>3.CBHU4238370/17883215</t>
  </si>
  <si>
    <t>488 CARTONS</t>
  </si>
  <si>
    <t>775</t>
  </si>
  <si>
    <t>GY24BA2367589</t>
  </si>
  <si>
    <t>16.11.2021</t>
  </si>
  <si>
    <t>640 CTNS</t>
  </si>
  <si>
    <t>1.FXLU2021238/HQ/20.0144581</t>
  </si>
  <si>
    <r>
      <t>PHUOC LONG 12 V.</t>
    </r>
    <r>
      <rPr>
        <b/>
        <sz val="11"/>
        <color theme="1"/>
        <rFont val="Calibri"/>
        <family val="2"/>
        <scheme val="minor"/>
      </rPr>
      <t>055/W</t>
    </r>
  </si>
  <si>
    <t>776</t>
  </si>
  <si>
    <t>COAU7234820950</t>
  </si>
  <si>
    <t>DONGFENG BRAND CAR</t>
  </si>
  <si>
    <t>1.CBHU8238548-40'HQ</t>
  </si>
  <si>
    <t>CHONGQING</t>
  </si>
  <si>
    <t>777</t>
  </si>
  <si>
    <t>SHAWD066624</t>
  </si>
  <si>
    <t>11 UNITS NEW CAR MG RX8, MODEL YEAR 2021,LHD
2 UNITS NEW CAR MG HS, MODEL YEAR 2021, LHD</t>
  </si>
  <si>
    <t>7771</t>
  </si>
  <si>
    <t>SHAWD066761</t>
  </si>
  <si>
    <t>11 UNITS NEW CAR MG RX8, MODEL YEAR 2021,LHD</t>
  </si>
  <si>
    <t>778</t>
  </si>
  <si>
    <t>171B501880</t>
  </si>
  <si>
    <t>19.11.2021</t>
  </si>
  <si>
    <t>1.WHSU6513964/WHLQ933121</t>
  </si>
  <si>
    <t>862 CARTONS</t>
  </si>
  <si>
    <t>7781</t>
  </si>
  <si>
    <t>CNMC10908788</t>
  </si>
  <si>
    <t>2.FXLU2021101/HQ/20.0145208</t>
  </si>
  <si>
    <t>642 CTNS</t>
  </si>
  <si>
    <t>SCM03015033</t>
  </si>
  <si>
    <t>7782</t>
  </si>
  <si>
    <t>PAPER CUP, CARDBOARD BOXES</t>
  </si>
  <si>
    <t>3.DHLU2021020/HQ/20.0145212</t>
  </si>
  <si>
    <t>760 CTNS</t>
  </si>
  <si>
    <t>779</t>
  </si>
  <si>
    <t>OMPLCHS210285</t>
  </si>
  <si>
    <t>019/2021</t>
  </si>
  <si>
    <t>PS CHALALAI 1 V.2118S</t>
  </si>
  <si>
    <t>17.11.2021</t>
  </si>
  <si>
    <t>D2021-0292936</t>
  </si>
  <si>
    <t>OMPL9002014-40HC, OMPL9573568-40HC</t>
  </si>
  <si>
    <t>780</t>
  </si>
  <si>
    <t>CNMC10909044</t>
  </si>
  <si>
    <t>21.11.2021</t>
  </si>
  <si>
    <t>1.BTDU5002012/HQ/20.0145468</t>
  </si>
  <si>
    <t>7801</t>
  </si>
  <si>
    <t>SCM03015118</t>
  </si>
  <si>
    <t>2. BTDU5021001/HQ/20.0145779</t>
  </si>
  <si>
    <t>750 CTNS</t>
  </si>
  <si>
    <t>781</t>
  </si>
  <si>
    <t>CNMC10909126</t>
  </si>
  <si>
    <t>23.11.2021</t>
  </si>
  <si>
    <t>1.HSDU9988815/HQ/20.0145557</t>
  </si>
  <si>
    <t>7811</t>
  </si>
  <si>
    <t>TSLGZ21011246226</t>
  </si>
  <si>
    <t>2.SEAU8748055/HQ/20.0145587</t>
  </si>
  <si>
    <t>21-Y-EV67-001</t>
  </si>
  <si>
    <t>20377308ETC</t>
  </si>
  <si>
    <t>E210781997181390</t>
  </si>
  <si>
    <t>20377311ETC</t>
  </si>
  <si>
    <t>E210781997181389</t>
  </si>
  <si>
    <t>782</t>
  </si>
  <si>
    <t>149113254295</t>
  </si>
  <si>
    <t>25.11.2021</t>
  </si>
  <si>
    <t>1.TEMU8929121/EMCQCS2770</t>
  </si>
  <si>
    <t>656 CTNS</t>
  </si>
  <si>
    <t>7821</t>
  </si>
  <si>
    <t>TSLGZ21011246318</t>
  </si>
  <si>
    <t>CHILDREN'S PLASTIC SLIPPERS, CARDBOARD BOXES</t>
  </si>
  <si>
    <t>2.MOLU1110944/HQ/20.0146140</t>
  </si>
  <si>
    <t>516 BAGS</t>
  </si>
  <si>
    <t>783</t>
  </si>
  <si>
    <t>SHAWD066609</t>
  </si>
  <si>
    <t>784</t>
  </si>
  <si>
    <t>CNMC10909238</t>
  </si>
  <si>
    <t>PVC U PIPE FITTINGS, WALLPAPER, SCREW</t>
  </si>
  <si>
    <t>1.HSDU2019022/HQ/20.0146181</t>
  </si>
  <si>
    <t>734 CTNS</t>
  </si>
  <si>
    <t>7841</t>
  </si>
  <si>
    <t>YMLUI232203904</t>
  </si>
  <si>
    <t>2.YMLU8923688/YMAK523397</t>
  </si>
  <si>
    <t>686 P'KGS</t>
  </si>
  <si>
    <t>E210781997181402</t>
  </si>
  <si>
    <r>
      <rPr>
        <sz val="11"/>
        <color rgb="FFFF0000"/>
        <rFont val="Calibri"/>
        <family val="2"/>
        <scheme val="minor"/>
      </rPr>
      <t>1.BEAU6334569 / A4210870147</t>
    </r>
    <r>
      <rPr>
        <sz val="11"/>
        <rFont val="Calibri"/>
        <family val="2"/>
        <scheme val="minor"/>
      </rPr>
      <t xml:space="preserve">
</t>
    </r>
    <r>
      <rPr>
        <sz val="11"/>
        <color rgb="FFFF0000"/>
        <rFont val="Calibri"/>
        <family val="2"/>
        <scheme val="minor"/>
      </rPr>
      <t>2.FCIU8925244 / A4210870149</t>
    </r>
    <r>
      <rPr>
        <sz val="11"/>
        <rFont val="Calibri"/>
        <family val="2"/>
        <scheme val="minor"/>
      </rPr>
      <t xml:space="preserve">
</t>
    </r>
    <r>
      <rPr>
        <sz val="11"/>
        <color rgb="FFFF0000"/>
        <rFont val="Calibri"/>
        <family val="2"/>
        <scheme val="minor"/>
      </rPr>
      <t>3.GCXU5064079 / A4210870154</t>
    </r>
    <r>
      <rPr>
        <sz val="11"/>
        <rFont val="Calibri"/>
        <family val="2"/>
        <scheme val="minor"/>
      </rPr>
      <t xml:space="preserve">
</t>
    </r>
    <r>
      <rPr>
        <sz val="11"/>
        <color rgb="FFFF0000"/>
        <rFont val="Calibri"/>
        <family val="2"/>
        <scheme val="minor"/>
      </rPr>
      <t>4.ZCSU6544655 / A4210870234</t>
    </r>
  </si>
  <si>
    <r>
      <rPr>
        <sz val="11"/>
        <color rgb="FFFF0000"/>
        <rFont val="Calibri"/>
        <family val="2"/>
        <scheme val="minor"/>
      </rPr>
      <t>1.CAIU4491795 / A4210870111</t>
    </r>
    <r>
      <rPr>
        <sz val="11"/>
        <rFont val="Calibri"/>
        <family val="2"/>
        <scheme val="minor"/>
      </rPr>
      <t xml:space="preserve">
</t>
    </r>
    <r>
      <rPr>
        <sz val="11"/>
        <color rgb="FFFF0000"/>
        <rFont val="Calibri"/>
        <family val="2"/>
        <scheme val="minor"/>
      </rPr>
      <t>2.GAOU6048384 / A4210870119</t>
    </r>
    <r>
      <rPr>
        <sz val="11"/>
        <rFont val="Calibri"/>
        <family val="2"/>
        <scheme val="minor"/>
      </rPr>
      <t xml:space="preserve">
</t>
    </r>
    <r>
      <rPr>
        <sz val="11"/>
        <color rgb="FFFF0000"/>
        <rFont val="Calibri"/>
        <family val="2"/>
        <scheme val="minor"/>
      </rPr>
      <t>3.TCNU8704486 / A4210870063</t>
    </r>
    <r>
      <rPr>
        <sz val="11"/>
        <rFont val="Calibri"/>
        <family val="2"/>
        <scheme val="minor"/>
      </rPr>
      <t xml:space="preserve">
</t>
    </r>
    <r>
      <rPr>
        <sz val="11"/>
        <color rgb="FFFF0000"/>
        <rFont val="Calibri"/>
        <family val="2"/>
        <scheme val="minor"/>
      </rPr>
      <t>4.TGBU5413213 / A4210870144</t>
    </r>
    <r>
      <rPr>
        <sz val="11"/>
        <rFont val="Calibri"/>
        <family val="2"/>
        <scheme val="minor"/>
      </rPr>
      <t xml:space="preserve">
</t>
    </r>
    <r>
      <rPr>
        <sz val="11"/>
        <color rgb="FFFF0000"/>
        <rFont val="Calibri"/>
        <family val="2"/>
        <scheme val="minor"/>
      </rPr>
      <t>5.XINU8127857 / A4210870118</t>
    </r>
    <r>
      <rPr>
        <sz val="11"/>
        <rFont val="Calibri"/>
        <family val="2"/>
        <scheme val="minor"/>
      </rPr>
      <t xml:space="preserve">
</t>
    </r>
    <r>
      <rPr>
        <sz val="11"/>
        <color rgb="FFFF0000"/>
        <rFont val="Calibri"/>
        <family val="2"/>
        <scheme val="minor"/>
      </rPr>
      <t>6.ZCSU7501832 / A4210870207</t>
    </r>
    <r>
      <rPr>
        <sz val="11"/>
        <rFont val="Calibri"/>
        <family val="2"/>
        <scheme val="minor"/>
      </rPr>
      <t xml:space="preserve">
</t>
    </r>
    <r>
      <rPr>
        <sz val="11"/>
        <color rgb="FFFF0000"/>
        <rFont val="Calibri"/>
        <family val="2"/>
        <scheme val="minor"/>
      </rPr>
      <t>7.ZCSU7745356 / A4210870209</t>
    </r>
  </si>
  <si>
    <r>
      <rPr>
        <sz val="11"/>
        <color rgb="FFFF0000"/>
        <rFont val="Calibri"/>
        <family val="2"/>
        <scheme val="minor"/>
      </rPr>
      <t>1.GAOU6142003 / A4210870152</t>
    </r>
    <r>
      <rPr>
        <sz val="11"/>
        <rFont val="Calibri"/>
        <family val="2"/>
        <scheme val="minor"/>
      </rPr>
      <t xml:space="preserve">
</t>
    </r>
    <r>
      <rPr>
        <sz val="11"/>
        <color rgb="FFFF0000"/>
        <rFont val="Calibri"/>
        <family val="2"/>
        <scheme val="minor"/>
      </rPr>
      <t>2.MAGU2459400 / A4210408666</t>
    </r>
    <r>
      <rPr>
        <sz val="11"/>
        <rFont val="Calibri"/>
        <family val="2"/>
        <scheme val="minor"/>
      </rPr>
      <t xml:space="preserve">
</t>
    </r>
    <r>
      <rPr>
        <sz val="11"/>
        <color rgb="FFFF0000"/>
        <rFont val="Calibri"/>
        <family val="2"/>
        <scheme val="minor"/>
      </rPr>
      <t>3.TGBU5761369 / A4210870138</t>
    </r>
    <r>
      <rPr>
        <sz val="11"/>
        <rFont val="Calibri"/>
        <family val="2"/>
        <scheme val="minor"/>
      </rPr>
      <t xml:space="preserve">
</t>
    </r>
    <r>
      <rPr>
        <sz val="11"/>
        <color rgb="FFFF0000"/>
        <rFont val="Calibri"/>
        <family val="2"/>
        <scheme val="minor"/>
      </rPr>
      <t>4.ZCSU7150701 / A4210870151</t>
    </r>
    <r>
      <rPr>
        <sz val="11"/>
        <rFont val="Calibri"/>
        <family val="2"/>
        <scheme val="minor"/>
      </rPr>
      <t xml:space="preserve">
</t>
    </r>
    <r>
      <rPr>
        <sz val="11"/>
        <color rgb="FFFF0000"/>
        <rFont val="Calibri"/>
        <family val="2"/>
        <scheme val="minor"/>
      </rPr>
      <t>5.ZCSU7744869 / A4210870233</t>
    </r>
    <r>
      <rPr>
        <sz val="11"/>
        <rFont val="Calibri"/>
        <family val="2"/>
        <scheme val="minor"/>
      </rPr>
      <t xml:space="preserve">
</t>
    </r>
    <r>
      <rPr>
        <sz val="11"/>
        <color rgb="FFFF0000"/>
        <rFont val="Calibri"/>
        <family val="2"/>
        <scheme val="minor"/>
      </rPr>
      <t>6.ZCSU8598481 / A4200239689</t>
    </r>
  </si>
  <si>
    <t>785</t>
  </si>
  <si>
    <t>SHAWD66535</t>
  </si>
  <si>
    <t>FULLWELL</t>
  </si>
  <si>
    <t>28.11.2021</t>
  </si>
  <si>
    <t>PHUOC LONG 12 V.057W</t>
  </si>
  <si>
    <t>AUTO PARTS &amp; TRANSMISSION FLUID (OIL)</t>
  </si>
  <si>
    <t>1.ZCSU7210077/A4210861674</t>
  </si>
  <si>
    <t>24 PACKAGES</t>
  </si>
  <si>
    <t>M H</t>
  </si>
  <si>
    <t>786</t>
  </si>
  <si>
    <t>NSASHVG055159</t>
  </si>
  <si>
    <t>VICTOR MOTOR CO.,LTD</t>
  </si>
  <si>
    <t>2021FAW0609E03</t>
  </si>
  <si>
    <t>PACIFIC GRACE V.2160S</t>
  </si>
  <si>
    <t>24.11.2021</t>
  </si>
  <si>
    <t>FAW BRAND TRUCK</t>
  </si>
  <si>
    <t>1.TRHU4073318-40HC
2.TRHU5778540-40HC</t>
  </si>
  <si>
    <t>40HC</t>
  </si>
  <si>
    <t>YU YIXIANG</t>
  </si>
  <si>
    <t>#៩៨ ផ្លូវ ១១០ សង្កាត់ ទឹកល្អក់ទី ១ ខណ្ឌ ទួលគោក រាជធានីភ្នំពេញ
 TEL: K005-901906510</t>
  </si>
  <si>
    <t>787</t>
  </si>
  <si>
    <t>COSU6315542590</t>
  </si>
  <si>
    <t>NAWATA BHUM V.165N</t>
  </si>
  <si>
    <t>29.11.2021</t>
  </si>
  <si>
    <t>SET MOUSTAFA</t>
  </si>
  <si>
    <t>USED CAR MERCEDES BENZ S 350, MODEL YEAR 1991, LHD</t>
  </si>
  <si>
    <t>1.OOLU1612965/SK252350</t>
  </si>
  <si>
    <t>788</t>
  </si>
  <si>
    <t>USED CAR ROLLS ROYCE, MODEL YEAR 1959, LHD</t>
  </si>
  <si>
    <t>1.TCLU3643800/UL7812900</t>
  </si>
  <si>
    <t>HDMUDALA24442000</t>
  </si>
  <si>
    <t>789</t>
  </si>
  <si>
    <t>CNMC10909356</t>
  </si>
  <si>
    <t>03.12.2021</t>
  </si>
  <si>
    <t>1.HSDU9918021/HQ/20.0146751</t>
  </si>
  <si>
    <t>592 CTNS</t>
  </si>
  <si>
    <t>7891</t>
  </si>
  <si>
    <t>KMTCMAA0185269</t>
  </si>
  <si>
    <t>2.CAAU5061184/INMAA2117526</t>
  </si>
  <si>
    <t>1230 CTNS</t>
  </si>
  <si>
    <t>790</t>
  </si>
  <si>
    <t>791</t>
  </si>
  <si>
    <t>7911</t>
  </si>
  <si>
    <t>7912</t>
  </si>
  <si>
    <t>792</t>
  </si>
  <si>
    <t>7921</t>
  </si>
  <si>
    <t>A33BX25781</t>
  </si>
  <si>
    <t>04.12.2021</t>
  </si>
  <si>
    <t>1.IAAU1905662/IAAF670442
2.IAAU1830291/IAAF670470</t>
  </si>
  <si>
    <t>1355 CARTONS</t>
  </si>
  <si>
    <t>A33BX25180</t>
  </si>
  <si>
    <t>3.BHCU4997379/IAAF670452</t>
  </si>
  <si>
    <t>SITINSV045083G</t>
  </si>
  <si>
    <t>02.12.2021</t>
  </si>
  <si>
    <t>STELLAR WINDSOR V.2120S</t>
  </si>
  <si>
    <t>1.TCKU7238943/SITF716896</t>
  </si>
  <si>
    <t>518 PACKAGES</t>
  </si>
  <si>
    <t>BF INTERNATIONAL</t>
  </si>
  <si>
    <t>TSLGZ21011246422</t>
  </si>
  <si>
    <t>1. DHLU2021007/HQ/20.0146912</t>
  </si>
  <si>
    <t>GY24BA2368126</t>
  </si>
  <si>
    <t>2.DHLU2021014/HQ/20.0146911</t>
  </si>
  <si>
    <t>CNMC10909548</t>
  </si>
  <si>
    <t>3. APLU4670284/HQ/20.0146902</t>
  </si>
  <si>
    <t>793</t>
  </si>
  <si>
    <t>TSLGZ21011246568</t>
  </si>
  <si>
    <t>05.12.2021</t>
  </si>
  <si>
    <t>1.HSDU9988018/HQ/20.0146958</t>
  </si>
  <si>
    <r>
      <rPr>
        <sz val="11"/>
        <color rgb="FFFF0000"/>
        <rFont val="Calibri"/>
        <family val="2"/>
        <scheme val="minor"/>
      </rPr>
      <t>1.BMOU6341428-40'HQ</t>
    </r>
    <r>
      <rPr>
        <sz val="11"/>
        <color theme="1"/>
        <rFont val="Calibri"/>
        <family val="2"/>
        <scheme val="minor"/>
      </rPr>
      <t xml:space="preserve">
</t>
    </r>
    <r>
      <rPr>
        <sz val="11"/>
        <color rgb="FFFF0000"/>
        <rFont val="Calibri"/>
        <family val="2"/>
        <scheme val="minor"/>
      </rPr>
      <t>2.BMOU6371696-40'HQ</t>
    </r>
    <r>
      <rPr>
        <sz val="11"/>
        <color theme="1"/>
        <rFont val="Calibri"/>
        <family val="2"/>
        <scheme val="minor"/>
      </rPr>
      <t xml:space="preserve">
</t>
    </r>
    <r>
      <rPr>
        <sz val="11"/>
        <color rgb="FFFF0000"/>
        <rFont val="Calibri"/>
        <family val="2"/>
        <scheme val="minor"/>
      </rPr>
      <t>3.FCIU7548887-40'HQ
4.FFAU1054663-40'HQ(PART OF)
5.SEGU5163268-40'HQ
6.TXGU5009420-40'HQ</t>
    </r>
  </si>
  <si>
    <r>
      <rPr>
        <sz val="11"/>
        <color rgb="FFFF0000"/>
        <rFont val="Calibri"/>
        <family val="2"/>
        <scheme val="minor"/>
      </rPr>
      <t>1.BMOU6917220-40'HQ</t>
    </r>
    <r>
      <rPr>
        <sz val="11"/>
        <color theme="1"/>
        <rFont val="Calibri"/>
        <family val="2"/>
        <scheme val="minor"/>
      </rPr>
      <t xml:space="preserve">
</t>
    </r>
    <r>
      <rPr>
        <sz val="11"/>
        <color rgb="FFFF0000"/>
        <rFont val="Calibri"/>
        <family val="2"/>
        <scheme val="minor"/>
      </rPr>
      <t>2.FCIU7542003-40'HQ
3.FFAU1054663-40'HQ(PART OF)</t>
    </r>
    <r>
      <rPr>
        <sz val="11"/>
        <color theme="1"/>
        <rFont val="Calibri"/>
        <family val="2"/>
        <scheme val="minor"/>
      </rPr>
      <t xml:space="preserve">
</t>
    </r>
    <r>
      <rPr>
        <sz val="11"/>
        <color rgb="FFFF0000"/>
        <rFont val="Calibri"/>
        <family val="2"/>
        <scheme val="minor"/>
      </rPr>
      <t>4.FFAU1070026-40'HQ</t>
    </r>
    <r>
      <rPr>
        <sz val="11"/>
        <color theme="1"/>
        <rFont val="Calibri"/>
        <family val="2"/>
        <scheme val="minor"/>
      </rPr>
      <t xml:space="preserve">
</t>
    </r>
    <r>
      <rPr>
        <sz val="11"/>
        <color rgb="FFFF0000"/>
        <rFont val="Calibri"/>
        <family val="2"/>
        <scheme val="minor"/>
      </rPr>
      <t>5.SEGU4120343-40'HQ</t>
    </r>
    <r>
      <rPr>
        <sz val="11"/>
        <color theme="1"/>
        <rFont val="Calibri"/>
        <family val="2"/>
        <scheme val="minor"/>
      </rPr>
      <t xml:space="preserve">
</t>
    </r>
    <r>
      <rPr>
        <sz val="11"/>
        <color rgb="FFFF0000"/>
        <rFont val="Calibri"/>
        <family val="2"/>
        <scheme val="minor"/>
      </rPr>
      <t>6.TRHU7002128-40'HQ</t>
    </r>
    <r>
      <rPr>
        <sz val="11"/>
        <color theme="1"/>
        <rFont val="Calibri"/>
        <family val="2"/>
        <scheme val="minor"/>
      </rPr>
      <t xml:space="preserve">
</t>
    </r>
    <r>
      <rPr>
        <sz val="11"/>
        <color rgb="FFFF0000"/>
        <rFont val="Calibri"/>
        <family val="2"/>
        <scheme val="minor"/>
      </rPr>
      <t>7.TXGU5033392-40'HQ</t>
    </r>
  </si>
  <si>
    <t>794</t>
  </si>
  <si>
    <t>SITYKSV2123070</t>
  </si>
  <si>
    <t>SITCLAEM CHABANG V.2122S</t>
  </si>
  <si>
    <t>USED CAR ROLLS ROYCE PHANTOM, MODEL YEAR 1927, LHD
CAR PARTS
TRUNK CASE 1PC, INTERIOR COVER 1PC, TIRE WITH WHEEL 2 PCS</t>
  </si>
  <si>
    <t>1.SEGU1809149/SITZ604391</t>
  </si>
  <si>
    <t>1 UNIT,4 PCS</t>
  </si>
  <si>
    <t>TPE LTD.</t>
  </si>
  <si>
    <t>HONG THING</t>
  </si>
  <si>
    <t>795</t>
  </si>
  <si>
    <t>GY24BA2368014</t>
  </si>
  <si>
    <t>07.12.2021</t>
  </si>
  <si>
    <t>1.FXLU2021189/HQ/20.0147086</t>
  </si>
  <si>
    <t>620 CTNS</t>
  </si>
  <si>
    <t>7951</t>
  </si>
  <si>
    <t>SCM03015322</t>
  </si>
  <si>
    <t>2.MOLU1119878/HQ/20.0147120</t>
  </si>
  <si>
    <t>757 CTNS</t>
  </si>
  <si>
    <t>796</t>
  </si>
  <si>
    <t>TSLGZ21011246615</t>
  </si>
  <si>
    <t>08.12.2021</t>
  </si>
  <si>
    <t>1. WJLU2020006/HQ/20.0147164</t>
  </si>
  <si>
    <t>460 BAGS</t>
  </si>
  <si>
    <t>797</t>
  </si>
  <si>
    <t>SHAWD066926</t>
  </si>
  <si>
    <t>E210781997181406</t>
  </si>
  <si>
    <t>NEW CAR MG6</t>
  </si>
  <si>
    <t>798</t>
  </si>
  <si>
    <t>SHAWD066928</t>
  </si>
  <si>
    <t>E210781997181405</t>
  </si>
  <si>
    <t>799</t>
  </si>
  <si>
    <t>DALA93982100</t>
  </si>
  <si>
    <t>USED CAR ROLLS ROYSE SILVER, MODEL YEAR 1959, LHD</t>
  </si>
  <si>
    <t>1.FCIU5542679 / UL7380973</t>
  </si>
  <si>
    <t>800</t>
  </si>
  <si>
    <t>CNMC10909512</t>
  </si>
  <si>
    <t>PLASTIC LUNCH BOX, CARDBOARD BOXES</t>
  </si>
  <si>
    <t>1.DBYU8818028/HQ/20.0147253</t>
  </si>
  <si>
    <t>HJJS2368303</t>
  </si>
  <si>
    <t>8001</t>
  </si>
  <si>
    <t>2.BTDU5002008/HQ/20.0147192</t>
  </si>
  <si>
    <t>801</t>
  </si>
  <si>
    <t>YMLUI232205363</t>
  </si>
  <si>
    <t>1.TCNU1635779/YMAK521987</t>
  </si>
  <si>
    <t>649 CARTONS</t>
  </si>
  <si>
    <t>8011</t>
  </si>
  <si>
    <t>MTON12HCM2007</t>
  </si>
  <si>
    <t>2.MAGU5508920/YMAK989485</t>
  </si>
  <si>
    <t>ហម គឹមឡេង</t>
  </si>
  <si>
    <t>802</t>
  </si>
  <si>
    <t>ONEYDXBB15714400</t>
  </si>
  <si>
    <t>MAHA SOK APHIVATH TRADING CO.,LTD</t>
  </si>
  <si>
    <t>09.12.2021</t>
  </si>
  <si>
    <t>BRIDGE V.0207N</t>
  </si>
  <si>
    <t>1.ONEU0260909/AE082097A
2.TCLU9657801/AE082096A</t>
  </si>
  <si>
    <t>SAHARA MOTORS</t>
  </si>
  <si>
    <t>435 BAGS</t>
  </si>
  <si>
    <t>USED CAR TOYATA LAND CRUSIER VXR MODEL YEAR 2022, LHD</t>
  </si>
  <si>
    <t>803</t>
  </si>
  <si>
    <t>ភេទប្រុស មានអត្តសញ្ញាណប័ណ្ណសញ្ជាតិខ្មែរលេខៈ 250012059 ជាប្រធានក្រុមហ៊ុន TRY SEANGHENG TRADING CO., LTD. អត្តសញ្ញាណកម្មសារពើពន្ធ (VAT)លេខៈ B124-902102170 ទូរសព្ទ័លេខៈ 0969266789</t>
  </si>
  <si>
    <t>804</t>
  </si>
  <si>
    <t>NSASGNG057848</t>
  </si>
  <si>
    <t>1.TEMU8157481/SITZ619760
2.SITU9140417/SITZ623234</t>
  </si>
  <si>
    <t>1433 CARTONS</t>
  </si>
  <si>
    <t>8041</t>
  </si>
  <si>
    <t>MTON12HCM2008</t>
  </si>
  <si>
    <t>1.LCGU8246638/SITF326166</t>
  </si>
  <si>
    <t>450 BAGS</t>
  </si>
  <si>
    <t>805</t>
  </si>
  <si>
    <t>MAAPNHL02545</t>
  </si>
  <si>
    <t>EIC/2021/013/0584920A/00552513</t>
  </si>
  <si>
    <t>1.TRHU4038718/IN0821902</t>
  </si>
  <si>
    <t>EICHER MOTORS</t>
  </si>
  <si>
    <t>806</t>
  </si>
  <si>
    <t>CNMC10909718</t>
  </si>
  <si>
    <t>15.12.2021</t>
  </si>
  <si>
    <t>1.DBYU8818027/HQ/19.0342320</t>
  </si>
  <si>
    <t>724 P'KGS</t>
  </si>
  <si>
    <t>807</t>
  </si>
  <si>
    <t>SHACB21044001</t>
  </si>
  <si>
    <t>TYCA2160</t>
  </si>
  <si>
    <t>808</t>
  </si>
  <si>
    <t>CNMC10909802</t>
  </si>
  <si>
    <t>1. KKFU9079051/HQ/20.0147497</t>
  </si>
  <si>
    <t>809</t>
  </si>
  <si>
    <t>CULVXMN2105760</t>
  </si>
  <si>
    <t>1.CULU6145097/E291846</t>
  </si>
  <si>
    <t>717 CARTONS</t>
  </si>
  <si>
    <t>NEW SOUEAST BRAND CAR DX5 (2022)
NEW SOUEAST BRAND CAR A5 (2021)
NEW SOUEAST BRAND CAR DX5 (2022)</t>
  </si>
  <si>
    <t>810</t>
  </si>
  <si>
    <t>EGLV 140103490286</t>
  </si>
  <si>
    <t>2021FAW0609E02</t>
  </si>
  <si>
    <t>NEW FAW BRAND TRUCK</t>
  </si>
  <si>
    <r>
      <rPr>
        <sz val="11"/>
        <color rgb="FFFF0000"/>
        <rFont val="Calibri"/>
        <family val="2"/>
        <scheme val="minor"/>
      </rPr>
      <t>1.BMOU6248953-40'HQ</t>
    </r>
    <r>
      <rPr>
        <sz val="11"/>
        <color theme="1"/>
        <rFont val="Calibri"/>
        <family val="2"/>
        <scheme val="minor"/>
      </rPr>
      <t xml:space="preserve">
</t>
    </r>
    <r>
      <rPr>
        <sz val="11"/>
        <color rgb="FFFF0000"/>
        <rFont val="Calibri"/>
        <family val="2"/>
        <scheme val="minor"/>
      </rPr>
      <t>2.FFAU1029402-40'HQ</t>
    </r>
    <r>
      <rPr>
        <sz val="11"/>
        <color theme="1"/>
        <rFont val="Calibri"/>
        <family val="2"/>
        <scheme val="minor"/>
      </rPr>
      <t xml:space="preserve">
</t>
    </r>
    <r>
      <rPr>
        <sz val="11"/>
        <color rgb="FFFF0000"/>
        <rFont val="Calibri"/>
        <family val="2"/>
        <scheme val="minor"/>
      </rPr>
      <t>3.FFAU1062036-40'HQ
4.FFAU1064656-40'HQ</t>
    </r>
    <r>
      <rPr>
        <sz val="11"/>
        <color theme="1"/>
        <rFont val="Calibri"/>
        <family val="2"/>
        <scheme val="minor"/>
      </rPr>
      <t xml:space="preserve">
</t>
    </r>
    <r>
      <rPr>
        <sz val="11"/>
        <color rgb="FFFF0000"/>
        <rFont val="Calibri"/>
        <family val="2"/>
        <scheme val="minor"/>
      </rPr>
      <t>5.TEMU6567276-40'HQ</t>
    </r>
    <r>
      <rPr>
        <sz val="11"/>
        <color theme="1"/>
        <rFont val="Calibri"/>
        <family val="2"/>
        <scheme val="minor"/>
      </rPr>
      <t xml:space="preserve">
</t>
    </r>
    <r>
      <rPr>
        <sz val="11"/>
        <color rgb="FFFF0000"/>
        <rFont val="Calibri"/>
        <family val="2"/>
        <scheme val="minor"/>
      </rPr>
      <t>6.TXGU5045599-40'HQ</t>
    </r>
  </si>
  <si>
    <t>811</t>
  </si>
  <si>
    <t>BKKKOSL05584</t>
  </si>
  <si>
    <t>021/2021</t>
  </si>
  <si>
    <t>TCKU9303523-40', OMPL9516803-40', TCKU9552470-40'</t>
  </si>
  <si>
    <t>8091</t>
  </si>
  <si>
    <t>MTON11HCM3321</t>
  </si>
  <si>
    <t>2.EITU1720117/EMCMFW4831</t>
  </si>
  <si>
    <t>570 P'KGS</t>
  </si>
  <si>
    <t>812</t>
  </si>
  <si>
    <t>BKKKOSL05598</t>
  </si>
  <si>
    <t>022/2021</t>
  </si>
  <si>
    <t>CARTON BOX, PLASTIC WRAPPER, STICKER, KRAFT PAPER</t>
  </si>
  <si>
    <t>TTNU9896365-40'</t>
  </si>
  <si>
    <t>PS CHALALAI 1 V.2122S</t>
  </si>
  <si>
    <t>PHUOC LONG 12 V.059W</t>
  </si>
  <si>
    <t>17.12.2021</t>
  </si>
  <si>
    <t>19.12.2021</t>
  </si>
  <si>
    <t>813</t>
  </si>
  <si>
    <t>SHAWD066781</t>
  </si>
  <si>
    <t>NEWPORT CYPRESS 19 V.210W</t>
  </si>
  <si>
    <t>20.12.2021</t>
  </si>
  <si>
    <t>NEW CAR MAXUS T60</t>
  </si>
  <si>
    <t>20'GP &amp; 40HC</t>
  </si>
  <si>
    <t>SITINSV045084G</t>
  </si>
  <si>
    <t>SITC MACAO V.2128S</t>
  </si>
  <si>
    <t>18.12.2021</t>
  </si>
  <si>
    <t>1.SEGU6570925/SITZ776837</t>
  </si>
  <si>
    <t>594 PACKAGE(S)</t>
  </si>
  <si>
    <t xml:space="preserve">BF </t>
  </si>
  <si>
    <t>E210781997181435</t>
  </si>
  <si>
    <t>28 PALLETS</t>
  </si>
  <si>
    <t>814</t>
  </si>
  <si>
    <t>CNMC10909936</t>
  </si>
  <si>
    <t>23.12.2021</t>
  </si>
  <si>
    <t>1.IMKU8821020/HQ/20.0147834</t>
  </si>
  <si>
    <t>ភេទប្រុស មានអត្តសញ្ញាណប័ណ្ណសញ្ជាតិខ្មែរលេខៈ0107001600(01) មានតួនាទីជាបុគ្គលិកផ្នែករដ្ឋាបាល TF MOTORS (CAMBODIA) CO., LTD អត្តសញ្ញាណកម្មសារពើពន្ធ (VAT)លេខៈ L001-104008598 ទូរសព្ទ័លេខៈ 010 483 668</t>
  </si>
  <si>
    <t>BOONNAM KULRAKAMPUSIRI</t>
  </si>
  <si>
    <t>BAI JIUZHI</t>
  </si>
  <si>
    <t>ភេទប្រុស កាន់លិខិតឆ្លងដែនលេខ: EE3035125 ជាប្រធានក្រុមហ៊ុន CHINA GOOD CAR INVESTMENT (CAMBODIA) CO.,LTD អត្តសញ្ញាណកម្មសារពើពន្ធ (VAT)លេខៈ K005-901907714 ទូរសព្ទ័លេខៈ 092 778 859</t>
  </si>
  <si>
    <t>815</t>
  </si>
  <si>
    <t>DMC210924CA4118</t>
  </si>
  <si>
    <t>24.12.2021</t>
  </si>
  <si>
    <t>1.HDMU6968130/HC/20.0147892</t>
  </si>
  <si>
    <t>8151</t>
  </si>
  <si>
    <t>GY24BA2369126</t>
  </si>
  <si>
    <t>2.MSKU4505233/HC/19.0342968</t>
  </si>
  <si>
    <t>ភេទប្រុស ដែលមានលិខិតឆ្លងដែនលេខៈ 011248801 ជាប្រធានក្រុមហ៊ុន RECOVERY COLLECTION CONSULTANT CO.,LTD.​ អត្តសញ្ញាណកម្មសារពើពន្ធ (VAT)លេខៈ K009-901902489 ទូរសព្ទ័លេខៈ +85595 242 721</t>
  </si>
  <si>
    <t>ភេទប្រុស ដែលមានលិខិតឆ្លងដែនលេខៈ 061527309 ជាប្រធានក្រុមហ៊ុន SON DARA IMEX CO.,LTD. អត្តសញ្ញាណកម្មសារពើពន្ធ (VAT)លេខៈ K006-902005865 ទូរសព្ទ័លេខៈ +85592 731118</t>
  </si>
  <si>
    <t>D2021-0322725</t>
  </si>
  <si>
    <t>816</t>
  </si>
  <si>
    <t>COAU7235760516</t>
  </si>
  <si>
    <t>1.CSNU6891931/ SYA0348671</t>
  </si>
  <si>
    <t>8161</t>
  </si>
  <si>
    <t>171B501974</t>
  </si>
  <si>
    <t>PLASTIC CUP, JUTE SACKS, PAPPER BAG</t>
  </si>
  <si>
    <t>2.TCKU7529260/ WHLQ935152
3.WHSU5398439/WHLQ935153</t>
  </si>
  <si>
    <t>1,365 P'KGS</t>
  </si>
  <si>
    <t>ភេទប្រុស ដែលមានលិខិតឆ្លងដែនលេខៈ EG7009964 ជាប្រធានក្រុមហ៊ុន HUAN YA HE ZHONG (CAMBODIA) TRADING CO., LTD អត្តសញ្ញាណកម្មសារពើពន្ធ (VAT)លេខៈ L001-901908165 ទូរសព្ទ័លេខៈ 017 555924</t>
  </si>
  <si>
    <t>817</t>
  </si>
  <si>
    <t>A78BX04007</t>
  </si>
  <si>
    <t>25.12.2021</t>
  </si>
  <si>
    <t>1.IAAU1881534/ IAAF799534</t>
  </si>
  <si>
    <t>824 CNTS</t>
  </si>
  <si>
    <t>8171</t>
  </si>
  <si>
    <t>A78BX04009</t>
  </si>
  <si>
    <t>PLASTIC CUP, JUTE SACKS</t>
  </si>
  <si>
    <t>2.IAAU1735355/ IAAF799122
3.IAAU1912907/IAAF799537</t>
  </si>
  <si>
    <t>1,290 P'KGS</t>
  </si>
  <si>
    <t>8172</t>
  </si>
  <si>
    <t>CNMC10909968</t>
  </si>
  <si>
    <t>PLASTIC LUNCH BOX, PAPER BAG, PLASTIC CUP</t>
  </si>
  <si>
    <t>4.IMEU8821053/HQ/20.0147879</t>
  </si>
  <si>
    <t>818</t>
  </si>
  <si>
    <t>ZENITH MACHINERY LEASING CO., LTD</t>
  </si>
  <si>
    <t>JSD</t>
  </si>
  <si>
    <t>MAERSK ATLANTIC</t>
  </si>
  <si>
    <t>1.MSKU4729043/ML-CN1709990</t>
  </si>
  <si>
    <t>EXPORT OUT LLC</t>
  </si>
  <si>
    <t>NEW CAR  FORD F-150 RAPTOR, MODEL YEAR 2021, LHD
NEW CAR  JEEP GLADIATOR, MODEL YEAR 2020, LHD</t>
  </si>
  <si>
    <t>ហ៊ាន សហមុន្នី</t>
  </si>
  <si>
    <t>ភេទប្រុស ដែលមានលិខិតឆ្លងដែនលេខៈ EA3791641 ជាប្រធានក្រុមហ៊ុន VICTOR MOTOR CO.,LTD. អត្តសញ្ញាណកម្មសារពើពន្ធ (VAT)លេខៈ K005-901906510 ទូរសព្ទ័លេខៈ 099 255 500</t>
  </si>
  <si>
    <t>ភេទប្រុស ដែលមានលិខិតឆ្លងដែនលេខៈ 011053628 ជាប្រធានក្រុមហ៊ុន MOUSTAFA MT(CAMBODIA) CO.,LTD អត្តសញ្ញាណកម្មសារពើពន្ធ (VAT)លេខៈ K010-902103109 ទូរសព្ទ័លេខៈ 099 255 500</t>
  </si>
  <si>
    <t>MUMG</t>
  </si>
  <si>
    <t>https://goo.gl/maps/bnuc2F89m9JhgRMW7</t>
  </si>
  <si>
    <t>819</t>
  </si>
  <si>
    <t>SX207SH012</t>
  </si>
  <si>
    <t>CONCRETE PUMP TRUCK, YEAR OF MADE 2021</t>
  </si>
  <si>
    <t>QINGDAO</t>
  </si>
  <si>
    <t>820</t>
  </si>
  <si>
    <t>SX207SH034/41/39</t>
  </si>
  <si>
    <t>ST20214609</t>
  </si>
  <si>
    <t>NEW BRAND MATADOR CRAWLER EXCAVATOR ME210LC-1, MODEL YEAR 2022
NEW BRAND MATADOR CRAWLER EXCAVATOR ME315, MODEL YEAR 2022</t>
  </si>
  <si>
    <t>SHANDONG</t>
  </si>
  <si>
    <t>821</t>
  </si>
  <si>
    <t>822</t>
  </si>
  <si>
    <t>GY24BA2369139</t>
  </si>
  <si>
    <t>29.12.2021</t>
  </si>
  <si>
    <t>1.BTDU5021002/HQ/20.0148174</t>
  </si>
  <si>
    <t>635 CTNS</t>
  </si>
  <si>
    <t>8221</t>
  </si>
  <si>
    <t>171B502002</t>
  </si>
  <si>
    <t>PLASTIC CUP, JUTE SACKS, PAPER BAG</t>
  </si>
  <si>
    <t>2.DHLU2021009/HQ/20.0148202</t>
  </si>
  <si>
    <t>SX207SH016-018B</t>
  </si>
  <si>
    <t>21AO-M008KH-1</t>
  </si>
  <si>
    <t>NEW BRAND DONGFENG DUMP TRUCK DFH3250A, MODEL YEAR 2022, LHD
NEW BRAND DONGFENG CARGO TRUCK DFL1080B2, MODEL YEAR 2022, LHD
NEW BRAND DONGFENG TRACTOR HEAD DFH4250A4, MODEL YEAR 2022, LHD</t>
  </si>
  <si>
    <t>ភេទស្រី ដែលមានលិខិតឆ្លងដែនលេខៈ E24411836 ជាប្រធានក្រុមហ៊ុន MINGYANG GUOJI TRADING CO., LTD អត្តសញ្ញាណកម្មសារពើពន្ធ (VAT)លេខៈ L001-1901801901​</t>
  </si>
  <si>
    <t>823</t>
  </si>
  <si>
    <t>SHAWD066953</t>
  </si>
  <si>
    <t>E210781997181434</t>
  </si>
  <si>
    <r>
      <rPr>
        <sz val="11"/>
        <color rgb="FFFF0000"/>
        <rFont val="Calibri"/>
        <family val="2"/>
        <scheme val="minor"/>
      </rPr>
      <t>1.KMTU9264229-40'HQ</t>
    </r>
    <r>
      <rPr>
        <sz val="11"/>
        <color theme="1"/>
        <rFont val="Calibri"/>
        <family val="2"/>
        <scheme val="minor"/>
      </rPr>
      <t xml:space="preserve">
</t>
    </r>
    <r>
      <rPr>
        <sz val="11"/>
        <color rgb="FFFF0000"/>
        <rFont val="Calibri"/>
        <family val="2"/>
        <scheme val="minor"/>
      </rPr>
      <t>2.KMTU9275394-40'HQ</t>
    </r>
    <r>
      <rPr>
        <sz val="11"/>
        <color theme="1"/>
        <rFont val="Calibri"/>
        <family val="2"/>
        <scheme val="minor"/>
      </rPr>
      <t xml:space="preserve">
</t>
    </r>
    <r>
      <rPr>
        <sz val="11"/>
        <color rgb="FFFF0000"/>
        <rFont val="Calibri"/>
        <family val="2"/>
        <scheme val="minor"/>
      </rPr>
      <t>3.KMTU9286399-40'HQ</t>
    </r>
    <r>
      <rPr>
        <sz val="11"/>
        <color theme="1"/>
        <rFont val="Calibri"/>
        <family val="2"/>
        <scheme val="minor"/>
      </rPr>
      <t xml:space="preserve">
</t>
    </r>
    <r>
      <rPr>
        <sz val="11"/>
        <color rgb="FFFF0000"/>
        <rFont val="Calibri"/>
        <family val="2"/>
        <scheme val="minor"/>
      </rPr>
      <t>4.KMTU9309771-40'HQ</t>
    </r>
    <r>
      <rPr>
        <sz val="11"/>
        <color theme="1"/>
        <rFont val="Calibri"/>
        <family val="2"/>
        <scheme val="minor"/>
      </rPr>
      <t xml:space="preserve">
</t>
    </r>
    <r>
      <rPr>
        <sz val="11"/>
        <color rgb="FFFF0000"/>
        <rFont val="Calibri"/>
        <family val="2"/>
        <scheme val="minor"/>
      </rPr>
      <t>5.KMTU9334774-40'HQ</t>
    </r>
    <r>
      <rPr>
        <sz val="11"/>
        <color theme="1"/>
        <rFont val="Calibri"/>
        <family val="2"/>
        <scheme val="minor"/>
      </rPr>
      <t xml:space="preserve">
</t>
    </r>
    <r>
      <rPr>
        <sz val="11"/>
        <color rgb="FFFF0000"/>
        <rFont val="Calibri"/>
        <family val="2"/>
        <scheme val="minor"/>
      </rPr>
      <t>6.KMTU9362863-40'HQ</t>
    </r>
    <r>
      <rPr>
        <sz val="11"/>
        <color theme="1"/>
        <rFont val="Calibri"/>
        <family val="2"/>
        <scheme val="minor"/>
      </rPr>
      <t xml:space="preserve">
</t>
    </r>
    <r>
      <rPr>
        <sz val="11"/>
        <color rgb="FFFF0000"/>
        <rFont val="Calibri"/>
        <family val="2"/>
        <scheme val="minor"/>
      </rPr>
      <t>7.SEGU5552716-40'HQ</t>
    </r>
    <r>
      <rPr>
        <sz val="11"/>
        <color theme="1"/>
        <rFont val="Calibri"/>
        <family val="2"/>
        <scheme val="minor"/>
      </rPr>
      <t xml:space="preserve">
</t>
    </r>
    <r>
      <rPr>
        <sz val="11"/>
        <color rgb="FFFF0000"/>
        <rFont val="Calibri"/>
        <family val="2"/>
        <scheme val="minor"/>
      </rPr>
      <t>8.SEGU6515234-40'HQ</t>
    </r>
  </si>
  <si>
    <r>
      <rPr>
        <sz val="11"/>
        <color rgb="FFFF0000"/>
        <rFont val="Calibri"/>
        <family val="2"/>
        <scheme val="minor"/>
      </rPr>
      <t>1.BMOU6217382-40'HQ</t>
    </r>
    <r>
      <rPr>
        <sz val="11"/>
        <color theme="1"/>
        <rFont val="Calibri"/>
        <family val="2"/>
        <scheme val="minor"/>
      </rPr>
      <t xml:space="preserve">
</t>
    </r>
    <r>
      <rPr>
        <sz val="11"/>
        <color rgb="FFFF0000"/>
        <rFont val="Calibri"/>
        <family val="2"/>
        <scheme val="minor"/>
      </rPr>
      <t>2.KMTU9347703-40'HQ</t>
    </r>
    <r>
      <rPr>
        <sz val="11"/>
        <color theme="1"/>
        <rFont val="Calibri"/>
        <family val="2"/>
        <scheme val="minor"/>
      </rPr>
      <t xml:space="preserve">
</t>
    </r>
    <r>
      <rPr>
        <sz val="11"/>
        <color rgb="FFFF0000"/>
        <rFont val="Calibri"/>
        <family val="2"/>
        <scheme val="minor"/>
      </rPr>
      <t>3.SEGU5570962-40'HQ</t>
    </r>
    <r>
      <rPr>
        <sz val="11"/>
        <color theme="1"/>
        <rFont val="Calibri"/>
        <family val="2"/>
        <scheme val="minor"/>
      </rPr>
      <t xml:space="preserve">
</t>
    </r>
    <r>
      <rPr>
        <sz val="11"/>
        <color rgb="FFFF0000"/>
        <rFont val="Calibri"/>
        <family val="2"/>
        <scheme val="minor"/>
      </rPr>
      <t>4.SEGU5577205-40'HQ</t>
    </r>
    <r>
      <rPr>
        <sz val="11"/>
        <color theme="1"/>
        <rFont val="Calibri"/>
        <family val="2"/>
        <scheme val="minor"/>
      </rPr>
      <t xml:space="preserve">
</t>
    </r>
    <r>
      <rPr>
        <sz val="11"/>
        <color rgb="FFFF0000"/>
        <rFont val="Calibri"/>
        <family val="2"/>
        <scheme val="minor"/>
      </rPr>
      <t>5.TEMU7799363-40'HQ</t>
    </r>
    <r>
      <rPr>
        <sz val="11"/>
        <color theme="1"/>
        <rFont val="Calibri"/>
        <family val="2"/>
        <scheme val="minor"/>
      </rPr>
      <t xml:space="preserve">
</t>
    </r>
    <r>
      <rPr>
        <sz val="11"/>
        <color rgb="FFFF0000"/>
        <rFont val="Calibri"/>
        <family val="2"/>
        <scheme val="minor"/>
      </rPr>
      <t>6.TRHU7002431-40'HQ</t>
    </r>
    <r>
      <rPr>
        <sz val="11"/>
        <color theme="1"/>
        <rFont val="Calibri"/>
        <family val="2"/>
        <scheme val="minor"/>
      </rPr>
      <t xml:space="preserve">
</t>
    </r>
    <r>
      <rPr>
        <sz val="11"/>
        <color rgb="FFFF0000"/>
        <rFont val="Calibri"/>
        <family val="2"/>
        <scheme val="minor"/>
      </rPr>
      <t>7.TXGU5029854-40'HQ</t>
    </r>
    <r>
      <rPr>
        <sz val="11"/>
        <color theme="1"/>
        <rFont val="Calibri"/>
        <family val="2"/>
        <scheme val="minor"/>
      </rPr>
      <t xml:space="preserve">
</t>
    </r>
    <r>
      <rPr>
        <sz val="11"/>
        <color rgb="FFFF0000"/>
        <rFont val="Calibri"/>
        <family val="2"/>
        <scheme val="minor"/>
      </rPr>
      <t>8.TXGU5031379-40'HQ</t>
    </r>
  </si>
  <si>
    <r>
      <rPr>
        <sz val="11"/>
        <color rgb="FFFF0000"/>
        <rFont val="Calibri"/>
        <family val="2"/>
        <scheme val="minor"/>
      </rPr>
      <t>1.CAIU7904090-40'HC</t>
    </r>
    <r>
      <rPr>
        <sz val="11"/>
        <color theme="1"/>
        <rFont val="Calibri"/>
        <family val="2"/>
        <scheme val="minor"/>
      </rPr>
      <t xml:space="preserve">
2.CAIU9412778-40'HC
</t>
    </r>
    <r>
      <rPr>
        <sz val="11"/>
        <color rgb="FFFF0000"/>
        <rFont val="Calibri"/>
        <family val="2"/>
        <scheme val="minor"/>
      </rPr>
      <t>3.CAIU9733510-40'HC</t>
    </r>
    <r>
      <rPr>
        <sz val="11"/>
        <color theme="1"/>
        <rFont val="Calibri"/>
        <family val="2"/>
        <scheme val="minor"/>
      </rPr>
      <t xml:space="preserve">
</t>
    </r>
    <r>
      <rPr>
        <sz val="11"/>
        <color rgb="FFFF0000"/>
        <rFont val="Calibri"/>
        <family val="2"/>
        <scheme val="minor"/>
      </rPr>
      <t>4.CXDU2311403-40'HC</t>
    </r>
    <r>
      <rPr>
        <sz val="11"/>
        <color theme="1"/>
        <rFont val="Calibri"/>
        <family val="2"/>
        <scheme val="minor"/>
      </rPr>
      <t xml:space="preserve">
</t>
    </r>
    <r>
      <rPr>
        <sz val="11"/>
        <color rgb="FFFF0000"/>
        <rFont val="Calibri"/>
        <family val="2"/>
        <scheme val="minor"/>
      </rPr>
      <t>5.REGU5103798-40'HC</t>
    </r>
    <r>
      <rPr>
        <sz val="11"/>
        <color theme="1"/>
        <rFont val="Calibri"/>
        <family val="2"/>
        <scheme val="minor"/>
      </rPr>
      <t xml:space="preserve">
</t>
    </r>
    <r>
      <rPr>
        <sz val="11"/>
        <color rgb="FFFF0000"/>
        <rFont val="Calibri"/>
        <family val="2"/>
        <scheme val="minor"/>
      </rPr>
      <t>6.REGU5119726-40'HC</t>
    </r>
    <r>
      <rPr>
        <sz val="11"/>
        <color theme="1"/>
        <rFont val="Calibri"/>
        <family val="2"/>
        <scheme val="minor"/>
      </rPr>
      <t xml:space="preserve">
</t>
    </r>
    <r>
      <rPr>
        <sz val="11"/>
        <color rgb="FFFF0000"/>
        <rFont val="Calibri"/>
        <family val="2"/>
        <scheme val="minor"/>
      </rPr>
      <t>7.TCNU8237247-40'HC</t>
    </r>
  </si>
  <si>
    <t>សំ សុផល</t>
  </si>
  <si>
    <t>ភេទស្រី មានអត្តសញ្ញាណប័ណ្ណសញ្ជាតិខ្មែរលេខៈ 061845188 ជាប្រធានក្រុមហ៊ុន DHONNA JIA CHENG IMP EXP CO.,LTD អត្តសញ្ញាណកម្មសារពើពន្ធ (VAT)លេខៈ K007-901903554</t>
  </si>
  <si>
    <t>824</t>
  </si>
  <si>
    <t>CNMC10909976</t>
  </si>
  <si>
    <t>31.12.2021</t>
  </si>
  <si>
    <t>PLASTIC LUNCH BOX,  JUTE SACKS, PLASTIC CUP</t>
  </si>
  <si>
    <t>1.FXLU2021161/HQ/20.0148319</t>
  </si>
  <si>
    <t>825</t>
  </si>
  <si>
    <t>CNMC10911002</t>
  </si>
  <si>
    <t>01.01.2022</t>
  </si>
  <si>
    <t>1.SEAU8748055/HQ/20.0148370</t>
  </si>
  <si>
    <t>582 CTNS</t>
  </si>
  <si>
    <t>826</t>
  </si>
  <si>
    <t>027B735166</t>
  </si>
  <si>
    <t>TYCA2165</t>
  </si>
  <si>
    <t>NEW SOUEAST BRAND CAR DX7 (2022)</t>
  </si>
  <si>
    <t>827</t>
  </si>
  <si>
    <t>025B771571</t>
  </si>
  <si>
    <t>YUEKA ONE-STOP AUTO SERVICE CO. LTD</t>
  </si>
  <si>
    <t>LQ/YK/210804</t>
  </si>
  <si>
    <t>FT</t>
  </si>
  <si>
    <t>LI XINHUA</t>
  </si>
  <si>
    <t>ភេទប្រុស ដែលមានលិខិតឆ្លងដែនលេខៈ E16409716 ជាប្រធានក្រុមហ៊ុន YUEKA ONE-STOP AUTO SERVICE CO. LTD អត្តសញ្ញាណកម្មសារពើពន្ធ (VAT)លេខៈ L001-901804963 ទូរសព្ទ័លេខៈ 078 890 777</t>
  </si>
  <si>
    <t>#បុរីពិភពថ្មីចំការដូងផ្ទះលេខ ០៦ ផ្លូវ ០៥ ភូមិ ប្រការ សង្កាត់ ព្រៃស ខណ្ឌ ដង្កោ រាជធានីភ្នំពេញ
VAT: K006-902102027</t>
  </si>
  <si>
    <t>166#,NATIONAL ROAD NO.6, GROUP 4, PHUM KEAN KLAING, SANGKAT CHROY CHONG VA,
KHAN CHROY CHONG VA, PHNOM PENH, CAMBODIA
VAT: L001-901804963</t>
  </si>
  <si>
    <t>COAU7236070090</t>
  </si>
  <si>
    <t>21-Y-EV67-003</t>
  </si>
  <si>
    <t>SITINSV045892G</t>
  </si>
  <si>
    <t>DGML IMPORT EXPORT CO.,LTD</t>
  </si>
  <si>
    <t>1.FFAU4301366/SITZ773583</t>
  </si>
  <si>
    <t>421 PACKAGES</t>
  </si>
  <si>
    <t>អូច ពៅ</t>
  </si>
  <si>
    <t>ភេទប្រុស មានអត្តសញ្ញាណប័ណ្ណសញ្ជាតិខ្មែរលេខៈ 051559119 ជាប្រធានក្រុមហ៊ុន DGML IMPORT EXPORT CO.,LTD អត្តសញ្ញាណកម្មសារពើពន្ធ (VAT)លេខៈ K006-902105683</t>
  </si>
  <si>
    <t>SITC LAEM CHABANG V.2124S</t>
  </si>
  <si>
    <t>02.01.2022</t>
  </si>
  <si>
    <t>https://goo.gl/maps/ouoZkPz82XjHmWDGA</t>
  </si>
  <si>
    <t>https://goo.gl/maps/AVkupG886tzbLokn9</t>
  </si>
  <si>
    <t>171B502105</t>
  </si>
  <si>
    <t>03.01.2022</t>
  </si>
  <si>
    <t>RECTANHULAR STEEL TUBE, STEEL PLATE, SCREW</t>
  </si>
  <si>
    <t>1.BMOU4246289/ WHLM845731
2.BSIU9900361/ WHLM845732</t>
  </si>
  <si>
    <t>984 P'KGS</t>
  </si>
  <si>
    <t>CNMC10911268</t>
  </si>
  <si>
    <t xml:space="preserve">PVC U PIPE FITTINGS, SCAFFOLDING FASTENER, STEEL PLATE, SCREW </t>
  </si>
  <si>
    <t>3.IMKU8820010/HQ/20.0148480</t>
  </si>
  <si>
    <t>LQ/YK/210805</t>
  </si>
  <si>
    <t xml:space="preserve">NEW DONGFENG FORTHING T5 EVO </t>
  </si>
  <si>
    <t>1.EITU1002887-40H</t>
  </si>
  <si>
    <t>22001</t>
  </si>
  <si>
    <t>22002</t>
  </si>
  <si>
    <t>22003</t>
  </si>
  <si>
    <t>220031</t>
  </si>
  <si>
    <t>22004</t>
  </si>
  <si>
    <t>NEW DONGFENG BRAND CAR FENGON GLORY 500 (MODEL YEAR: 2022)</t>
  </si>
  <si>
    <t>ជួន រ៉ូ</t>
  </si>
  <si>
    <t>ភេទប្រុស មានអត្តសញ្ញាណប័ណ្ណសញ្ជាតិខ្មែរលេខៈ 040430759 ជាប្រធានក្រុមហ៊ុន FEEDS UP CO.,LTD អត្តសញ្ញាណកម្មសារពើពន្ធ (VAT)លេខៈ K006-902105453</t>
  </si>
  <si>
    <t>22005</t>
  </si>
  <si>
    <t>SHAWD066954</t>
  </si>
  <si>
    <t>NEW CAR MG ZS, MODEL YEAR 2022, LHD</t>
  </si>
  <si>
    <t>E210781997181437</t>
  </si>
  <si>
    <t>22006</t>
  </si>
  <si>
    <t>SHAWD066955</t>
  </si>
  <si>
    <t>E210781997181438</t>
  </si>
  <si>
    <t>ភេទប្រុស មានអត្តសញ្ញាណប័ណ្ណសញ្ជាតិខ្មែរលេខៈ 070296574 ជាប្រធានក្រុមហ៊ុន ZENITH MACHINERY LEASING CO.,LTD អត្តសញ្ញាណកម្មសារពើពន្ធ (VAT)លេខៈ K009-902005913</t>
  </si>
  <si>
    <t>22007</t>
  </si>
  <si>
    <t>CNMC10911422</t>
  </si>
  <si>
    <t>06.01.2022</t>
  </si>
  <si>
    <t>PVC U PIPE FITTINGS, SCAFFOLDING FASTENER, STEEL PLATE, SCREW</t>
  </si>
  <si>
    <t>1.HDMU6938685/HQ/20.0148687</t>
  </si>
  <si>
    <t>220071</t>
  </si>
  <si>
    <t>CNMC10911379</t>
  </si>
  <si>
    <t>2.WHLU5185398/HQ/20.0148656</t>
  </si>
  <si>
    <t>664 P'KGS</t>
  </si>
  <si>
    <t>22008</t>
  </si>
  <si>
    <t>MEDUD1488409</t>
  </si>
  <si>
    <t>NAWATA BHUM V.170N</t>
  </si>
  <si>
    <t>22009</t>
  </si>
  <si>
    <t>ONEYDXBB16593300</t>
  </si>
  <si>
    <t>BRIDGE V.0210N</t>
  </si>
  <si>
    <t>30.12.2021</t>
  </si>
  <si>
    <t>1.TLLU5642139/803151</t>
  </si>
  <si>
    <t>ALPHA</t>
  </si>
  <si>
    <t>1.BMOU4244455/011341</t>
  </si>
  <si>
    <t>2 UNPACKAGED MULTIPLE UNITS</t>
  </si>
  <si>
    <t>HOLLMANN</t>
  </si>
  <si>
    <t>USED CAR TESLA MODEL X, MODEL YEAR 2018, LHD
USED CAR MERCEDES BENZ GLB200, MODEL YEAR 2020, LHD</t>
  </si>
  <si>
    <t>22010</t>
  </si>
  <si>
    <t>CNMC10911569</t>
  </si>
  <si>
    <t>1.HSDU2019093/HQ/20.0148751</t>
  </si>
  <si>
    <t>USED CAR MERCEDES S 400, MODEL YEAR 2015, LHD</t>
  </si>
  <si>
    <t>គង់​ គិនណារី</t>
  </si>
  <si>
    <t>ភេទស្រី មានអត្តសញ្ញាណប័ណ្ណសញ្ជាតិខ្មែរលេខៈ010852466 មានតួនាទី ប្រធានក្រុមហ៊ុន AUTOMOTIVE ASIA (CAMBODIA) LIMITED អត្តសញ្ញាណកម្មសារពើពន្ធ (VAT)លេខៈ L001-107030985</t>
  </si>
  <si>
    <t>22011</t>
  </si>
  <si>
    <t>CNMC10911766</t>
  </si>
  <si>
    <t>09.01.2022</t>
  </si>
  <si>
    <t>1. DHLU2021011/HQ/20.0148783</t>
  </si>
  <si>
    <t>220111</t>
  </si>
  <si>
    <t>PVC U PIPE FITTINGS, STEEL PLATE</t>
  </si>
  <si>
    <t>2.CAXU9349804/ ML-CN9889605</t>
  </si>
  <si>
    <t>712 P'KGS</t>
  </si>
  <si>
    <t>22012</t>
  </si>
  <si>
    <t>SHAWD067326</t>
  </si>
  <si>
    <t>E220781997180003</t>
  </si>
  <si>
    <t>NEW CAR  MG HS MODEL YEAR 2021
NEW CAR MG ZS MODEL YEAR 2021
NEW CAR MG ZS MODEL YEAR 2022</t>
  </si>
  <si>
    <t>22013</t>
  </si>
  <si>
    <t>E220781997180002</t>
  </si>
  <si>
    <t>PHOUC LONG 10 V.146W</t>
  </si>
  <si>
    <t>NEW CAR MG ZS 1.5 COM 4AT, MODEL YEAR 2022, LHD</t>
  </si>
  <si>
    <t>1.FCIU7233508/CD302165</t>
  </si>
  <si>
    <t>22014</t>
  </si>
  <si>
    <t>SHAWD067292</t>
  </si>
  <si>
    <t>E220781997180001</t>
  </si>
  <si>
    <t>NEW CAR MG ZS 1.5 COM 4AT, MODEL YEAR 2021, LHD</t>
  </si>
  <si>
    <t>2.FCIU7129216/CD294089</t>
  </si>
  <si>
    <t>MG</t>
  </si>
  <si>
    <t>MAX</t>
  </si>
  <si>
    <t>https://goo.gl/maps/SqAr2vWr8cFYvyLK6</t>
  </si>
  <si>
    <t>https://maps.app.goo.gl/WwG1EZtfFrMAoght5</t>
  </si>
  <si>
    <t>22015</t>
  </si>
  <si>
    <t>22016</t>
  </si>
  <si>
    <t>OMPLCHS220010</t>
  </si>
  <si>
    <t xml:space="preserve">JUMBO ROLL NAPKIN TISSUE </t>
  </si>
  <si>
    <t>002/2022</t>
  </si>
  <si>
    <t>NP SAMUT SONGKHRAM V.2202S</t>
  </si>
  <si>
    <t>SHAA22449795</t>
  </si>
  <si>
    <t>PARTS FOR PAPER CONVERTING MACHINERY</t>
  </si>
  <si>
    <t>FABIO</t>
  </si>
  <si>
    <t>SHAWD067327</t>
  </si>
  <si>
    <r>
      <rPr>
        <sz val="11"/>
        <color rgb="FFFF0000"/>
        <rFont val="Calibri"/>
        <family val="2"/>
        <scheme val="minor"/>
      </rPr>
      <t>1.TCKU6124695-40'HC</t>
    </r>
    <r>
      <rPr>
        <sz val="11"/>
        <color theme="1"/>
        <rFont val="Calibri"/>
        <family val="2"/>
        <scheme val="minor"/>
      </rPr>
      <t xml:space="preserve">
</t>
    </r>
    <r>
      <rPr>
        <sz val="11"/>
        <color rgb="FFFF0000"/>
        <rFont val="Calibri"/>
        <family val="2"/>
        <scheme val="minor"/>
      </rPr>
      <t>2.TGBU7284500-40'HC</t>
    </r>
  </si>
  <si>
    <r>
      <rPr>
        <sz val="11"/>
        <color rgb="FFFF0000"/>
        <rFont val="Calibri"/>
        <family val="2"/>
        <scheme val="minor"/>
      </rPr>
      <t xml:space="preserve">1.FSCU8218786 / 40'HQ </t>
    </r>
    <r>
      <rPr>
        <sz val="11"/>
        <color theme="1"/>
        <rFont val="Calibri"/>
        <family val="2"/>
        <scheme val="minor"/>
      </rPr>
      <t xml:space="preserve">
</t>
    </r>
    <r>
      <rPr>
        <sz val="11"/>
        <color rgb="FFFF0000"/>
        <rFont val="Calibri"/>
        <family val="2"/>
        <scheme val="minor"/>
      </rPr>
      <t xml:space="preserve">2.TLLU4951072 / 40'HQ </t>
    </r>
    <r>
      <rPr>
        <sz val="11"/>
        <color theme="1"/>
        <rFont val="Calibri"/>
        <family val="2"/>
        <scheme val="minor"/>
      </rPr>
      <t xml:space="preserve">
</t>
    </r>
    <r>
      <rPr>
        <sz val="11"/>
        <color rgb="FFFF0000"/>
        <rFont val="Calibri"/>
        <family val="2"/>
        <scheme val="minor"/>
      </rPr>
      <t xml:space="preserve">3.ZIMU1053832 / 20'GP </t>
    </r>
  </si>
  <si>
    <t>22017</t>
  </si>
  <si>
    <t>MAERSK ATLANTIC V.201N</t>
  </si>
  <si>
    <t>.</t>
  </si>
  <si>
    <t>1.BMOU2472219/UL7917917</t>
  </si>
  <si>
    <t>20'DRY</t>
  </si>
  <si>
    <t>USED CAR MG TD, MODEL YEAR: 1953, LHD</t>
  </si>
  <si>
    <t>14.01.2022</t>
  </si>
  <si>
    <t>22018</t>
  </si>
  <si>
    <t>COAU7236135770</t>
  </si>
  <si>
    <t>2021JL222</t>
  </si>
  <si>
    <t>CAPE FULMAR V.123S</t>
  </si>
  <si>
    <t>11.01.2022</t>
  </si>
  <si>
    <t>JIANGXI</t>
  </si>
  <si>
    <t>EGLV149114850037</t>
  </si>
  <si>
    <t>BR 265</t>
  </si>
  <si>
    <t>12.01.2022</t>
  </si>
  <si>
    <t>C003/20V</t>
  </si>
  <si>
    <t>22019</t>
  </si>
  <si>
    <t>GY24BA3012369</t>
  </si>
  <si>
    <t>15.01.2022</t>
  </si>
  <si>
    <t>1.BATU9189857/H/19.0849405</t>
  </si>
  <si>
    <t>652 P'KGS</t>
  </si>
  <si>
    <t>22020</t>
  </si>
  <si>
    <t>GY24BA3012416</t>
  </si>
  <si>
    <t>630 P'KGS</t>
  </si>
  <si>
    <t>220201</t>
  </si>
  <si>
    <t>025B790182</t>
  </si>
  <si>
    <t>726 P'KGS</t>
  </si>
  <si>
    <t>1.WHLU5665308/ WHLR078758</t>
  </si>
  <si>
    <t>2.IMEU8820041/H/19.0849470</t>
  </si>
  <si>
    <t>22021</t>
  </si>
  <si>
    <t>SHAWD067253</t>
  </si>
  <si>
    <t>E220781997180005</t>
  </si>
  <si>
    <t>NEW CAR MG ZS, 2022</t>
  </si>
  <si>
    <t>22022</t>
  </si>
  <si>
    <t>SHAWD067256</t>
  </si>
  <si>
    <t>E220781997180007</t>
  </si>
  <si>
    <r>
      <rPr>
        <sz val="11"/>
        <color rgb="FFFF0000"/>
        <rFont val="Calibri"/>
        <family val="2"/>
        <scheme val="minor"/>
      </rPr>
      <t>1.JXLU7830437</t>
    </r>
    <r>
      <rPr>
        <sz val="11"/>
        <color theme="1"/>
        <rFont val="Calibri"/>
        <family val="2"/>
        <scheme val="minor"/>
      </rPr>
      <t xml:space="preserve">-40'HQ
</t>
    </r>
    <r>
      <rPr>
        <sz val="11"/>
        <color rgb="FFFF0000"/>
        <rFont val="Calibri"/>
        <family val="2"/>
        <scheme val="minor"/>
      </rPr>
      <t>2.TCNU2301122</t>
    </r>
    <r>
      <rPr>
        <sz val="11"/>
        <color theme="1"/>
        <rFont val="Calibri"/>
        <family val="2"/>
        <scheme val="minor"/>
      </rPr>
      <t xml:space="preserve">-40'HQ
</t>
    </r>
    <r>
      <rPr>
        <sz val="11"/>
        <color rgb="FFFF0000"/>
        <rFont val="Calibri"/>
        <family val="2"/>
        <scheme val="minor"/>
      </rPr>
      <t>3.TCNU2790656</t>
    </r>
    <r>
      <rPr>
        <sz val="11"/>
        <color theme="1"/>
        <rFont val="Calibri"/>
        <family val="2"/>
        <scheme val="minor"/>
      </rPr>
      <t xml:space="preserve">-40'HQ
</t>
    </r>
    <r>
      <rPr>
        <sz val="11"/>
        <color rgb="FFFF0000"/>
        <rFont val="Calibri"/>
        <family val="2"/>
        <scheme val="minor"/>
      </rPr>
      <t>4.TEMU7763458</t>
    </r>
    <r>
      <rPr>
        <sz val="11"/>
        <color theme="1"/>
        <rFont val="Calibri"/>
        <family val="2"/>
        <scheme val="minor"/>
      </rPr>
      <t xml:space="preserve">-40'HQ
</t>
    </r>
    <r>
      <rPr>
        <sz val="11"/>
        <color rgb="FFFF0000"/>
        <rFont val="Calibri"/>
        <family val="2"/>
        <scheme val="minor"/>
      </rPr>
      <t>5.TLLU4860033</t>
    </r>
    <r>
      <rPr>
        <sz val="11"/>
        <color theme="1"/>
        <rFont val="Calibri"/>
        <family val="2"/>
        <scheme val="minor"/>
      </rPr>
      <t xml:space="preserve">-40'HQ
</t>
    </r>
    <r>
      <rPr>
        <sz val="11"/>
        <color rgb="FFFF0000"/>
        <rFont val="Calibri"/>
        <family val="2"/>
        <scheme val="minor"/>
      </rPr>
      <t>6.ZCSU7058473</t>
    </r>
    <r>
      <rPr>
        <sz val="11"/>
        <color theme="1"/>
        <rFont val="Calibri"/>
        <family val="2"/>
        <scheme val="minor"/>
      </rPr>
      <t xml:space="preserve">-40'HQ
</t>
    </r>
    <r>
      <rPr>
        <sz val="11"/>
        <color rgb="FFFF0000"/>
        <rFont val="Calibri"/>
        <family val="2"/>
        <scheme val="minor"/>
      </rPr>
      <t>7.ZCSU7165790</t>
    </r>
    <r>
      <rPr>
        <sz val="11"/>
        <color theme="1"/>
        <rFont val="Calibri"/>
        <family val="2"/>
        <scheme val="minor"/>
      </rPr>
      <t xml:space="preserve">-40'HQ
</t>
    </r>
    <r>
      <rPr>
        <sz val="11"/>
        <color rgb="FFFF0000"/>
        <rFont val="Calibri"/>
        <family val="2"/>
        <scheme val="minor"/>
      </rPr>
      <t>8.ZCSU7203308</t>
    </r>
    <r>
      <rPr>
        <sz val="11"/>
        <color theme="1"/>
        <rFont val="Calibri"/>
        <family val="2"/>
        <scheme val="minor"/>
      </rPr>
      <t xml:space="preserve">-40'HQ
</t>
    </r>
    <r>
      <rPr>
        <sz val="11"/>
        <color rgb="FFFF0000"/>
        <rFont val="Calibri"/>
        <family val="2"/>
        <scheme val="minor"/>
      </rPr>
      <t>9.ZCSU7534482</t>
    </r>
    <r>
      <rPr>
        <sz val="11"/>
        <color theme="1"/>
        <rFont val="Calibri"/>
        <family val="2"/>
        <scheme val="minor"/>
      </rPr>
      <t xml:space="preserve">-40'HQ
</t>
    </r>
    <r>
      <rPr>
        <sz val="11"/>
        <color rgb="FFFF0000"/>
        <rFont val="Calibri"/>
        <family val="2"/>
        <scheme val="minor"/>
      </rPr>
      <t>10.ZCSU7677457</t>
    </r>
    <r>
      <rPr>
        <sz val="11"/>
        <color theme="1"/>
        <rFont val="Calibri"/>
        <family val="2"/>
        <scheme val="minor"/>
      </rPr>
      <t>-40'HQ</t>
    </r>
  </si>
  <si>
    <t>EIR 160121</t>
  </si>
  <si>
    <t>22023</t>
  </si>
  <si>
    <r>
      <rPr>
        <sz val="11"/>
        <color rgb="FFFF0000"/>
        <rFont val="Calibri"/>
        <family val="2"/>
        <scheme val="minor"/>
      </rPr>
      <t>1.CSLU6218728-40'HQ</t>
    </r>
    <r>
      <rPr>
        <sz val="11"/>
        <color theme="1"/>
        <rFont val="Calibri"/>
        <family val="2"/>
        <scheme val="minor"/>
      </rPr>
      <t xml:space="preserve">
</t>
    </r>
    <r>
      <rPr>
        <sz val="11"/>
        <color rgb="FFFF0000"/>
        <rFont val="Calibri"/>
        <family val="2"/>
        <scheme val="minor"/>
      </rPr>
      <t>2.OOLU4933104-40'HQ</t>
    </r>
  </si>
  <si>
    <t>SITINSV045889G</t>
  </si>
  <si>
    <t>SITC GUANGXI V.2124S</t>
  </si>
  <si>
    <t>1.BMOU6497410/SITZ784701</t>
  </si>
  <si>
    <t>890 PACKAGES</t>
  </si>
  <si>
    <t>22024</t>
  </si>
  <si>
    <t>025B790181</t>
  </si>
  <si>
    <t>18.01.2022</t>
  </si>
  <si>
    <t>1.WHSU5224400/ WHLR078690</t>
  </si>
  <si>
    <t>220241</t>
  </si>
  <si>
    <t>155100159366</t>
  </si>
  <si>
    <t>2.EITU1455100/ EMCJAN7861
3.EGHU9280456/ EMCJAN7871</t>
  </si>
  <si>
    <t>1,035 P'KGS</t>
  </si>
  <si>
    <t>ស្រ៊ុន ណាល់</t>
  </si>
  <si>
    <t>ភេទប្រុស មានអត្តសញ្ញាណប័ណ្ណសញ្ជាតិខ្មែរលេខៈ 061815277 ជាប្រធានក្រុមហ៊ុន NAL SRUN 62 IMPORT EXPORT CO.,LTD អត្តសញ្ញាណកម្មសារពើពន្ធ (VAT)លេខៈ K007-9020022874</t>
  </si>
  <si>
    <t>ភេទប្រុស ដែលមានលិខិតឆ្លងដែនលេខៈ EG2412090 ជាប្រធានក្រុមហ៊ុន ONEROAD INDUSTRIAL (CAMBODIA) CO.,LTD អត្តសញ្ញាណកម្មសារពើពន្ធ (VAT)លេខៈ K002-902101770</t>
  </si>
  <si>
    <t>D2022-0012347</t>
  </si>
  <si>
    <r>
      <t xml:space="preserve">1.WHLU5531382-40'SD
</t>
    </r>
    <r>
      <rPr>
        <sz val="11"/>
        <color rgb="FFFF0000"/>
        <rFont val="Calibri"/>
        <family val="2"/>
        <scheme val="minor"/>
      </rPr>
      <t>2.WHLU5633419-40'SD</t>
    </r>
  </si>
  <si>
    <r>
      <rPr>
        <sz val="11"/>
        <color rgb="FFFF0000"/>
        <rFont val="Calibri"/>
        <family val="2"/>
        <scheme val="minor"/>
      </rPr>
      <t>1.WHSU6797177-40'SD</t>
    </r>
    <r>
      <rPr>
        <sz val="11"/>
        <color theme="1"/>
        <rFont val="Calibri"/>
        <family val="2"/>
        <scheme val="minor"/>
      </rPr>
      <t xml:space="preserve">
2.WHSU6797602-40'SD
3.WHSU6798548-40'SD
</t>
    </r>
    <r>
      <rPr>
        <sz val="11"/>
        <color rgb="FFFF0000"/>
        <rFont val="Calibri"/>
        <family val="2"/>
        <scheme val="minor"/>
      </rPr>
      <t>4.WHSU6798635-40'SD</t>
    </r>
    <r>
      <rPr>
        <sz val="11"/>
        <color theme="1"/>
        <rFont val="Calibri"/>
        <family val="2"/>
        <scheme val="minor"/>
      </rPr>
      <t xml:space="preserve">
5.WHSU6799020-40'SD
6.WHSU6799694-40'SD
7.WHSU6799729-40'SD</t>
    </r>
  </si>
  <si>
    <t>22025</t>
  </si>
  <si>
    <t>22026</t>
  </si>
  <si>
    <t>SODO HUAY</t>
  </si>
  <si>
    <t>SODO ANDY</t>
  </si>
  <si>
    <t>COAU7236263370</t>
  </si>
  <si>
    <t>22027</t>
  </si>
  <si>
    <t>NEW JMC BRAND CAR PICK UP YUHU 7, 2022</t>
  </si>
  <si>
    <t>22028</t>
  </si>
  <si>
    <t>A N D Y (CAMBODIA) INTERNATIONAL AUTO TRADE CO.,LTD</t>
  </si>
  <si>
    <t>ភេទស្រី ដែលមានលិខិតឆ្លងដែនលេខៈ E37888060 ជាប្រធានក្រុមហ៊ុន A N D Y (CAMBODIA) INTERNATIONAL AUTO TRADE CO.,LTD អត្តសញ្ញាណកម្មសារពើពន្ធ (VAT)លេខៈ L001-902104222 ទូរសព្ទ័លេខៈ +855 098881618​</t>
  </si>
  <si>
    <t>អាស័យដ្ឋាន:# ១០៧៦ ផ្លូវម៉ៃដា(២០០៤) ភូមិ ទឹកថ្លា សង្កាត់ ទឹកថ្លា ខណ្ឌសែនសុខ រាជធានីភ្នំពេញ
VAT:  L001-902104222</t>
  </si>
  <si>
    <t>22029</t>
  </si>
  <si>
    <t>COAU7235981034</t>
  </si>
  <si>
    <t>19.01.2022</t>
  </si>
  <si>
    <t>1.DRYU9593661/ CN220711</t>
  </si>
  <si>
    <t>1,123 P'KGS</t>
  </si>
  <si>
    <t>GY24BA3012569</t>
  </si>
  <si>
    <t>21.01.2022</t>
  </si>
  <si>
    <t>PVC U PIPE FITTINGS, CERAMIC WASH BASIN, CERAMIC TILE, SCREW</t>
  </si>
  <si>
    <t>1.DHLU2021007/H/19.0849768</t>
  </si>
  <si>
    <t>1070 P'KGS</t>
  </si>
  <si>
    <t>VLP/FE/21/12/B/0031</t>
  </si>
  <si>
    <t>EIC/2022/013/0006154A/00011185</t>
  </si>
  <si>
    <t>1.NYKU4737248/IN0814953</t>
  </si>
  <si>
    <t>EICHER</t>
  </si>
  <si>
    <t>027B747524</t>
  </si>
  <si>
    <t>22030</t>
  </si>
  <si>
    <t>TYCA22-01</t>
  </si>
  <si>
    <t>SOUEAST BRAND CAR DX7, 2022</t>
  </si>
  <si>
    <t>1.TCNU4319157-40'SD
2.TEMU8117318-40'SD
3.WHSU5362164-40'SD</t>
  </si>
  <si>
    <r>
      <rPr>
        <sz val="11"/>
        <color rgb="FFFF0000"/>
        <rFont val="Calibri"/>
        <family val="2"/>
        <scheme val="minor"/>
      </rPr>
      <t>1.TGBU8852755-40HQ</t>
    </r>
    <r>
      <rPr>
        <sz val="11"/>
        <color theme="1"/>
        <rFont val="Calibri"/>
        <family val="2"/>
        <scheme val="minor"/>
      </rPr>
      <t xml:space="preserve">
</t>
    </r>
    <r>
      <rPr>
        <sz val="11"/>
        <color rgb="FFFF0000"/>
        <rFont val="Calibri"/>
        <family val="2"/>
        <scheme val="minor"/>
      </rPr>
      <t>2.FSCU9314911-40HQ</t>
    </r>
  </si>
  <si>
    <r>
      <rPr>
        <sz val="11"/>
        <color rgb="FFFF0000"/>
        <rFont val="Calibri"/>
        <family val="2"/>
        <scheme val="minor"/>
      </rPr>
      <t>1.BMOU6359432-40'HQ</t>
    </r>
    <r>
      <rPr>
        <sz val="11"/>
        <color theme="1"/>
        <rFont val="Calibri"/>
        <family val="2"/>
        <scheme val="minor"/>
      </rPr>
      <t xml:space="preserve">
</t>
    </r>
    <r>
      <rPr>
        <sz val="11"/>
        <color rgb="FFFF0000"/>
        <rFont val="Calibri"/>
        <family val="2"/>
        <scheme val="minor"/>
      </rPr>
      <t>2.FCIU7121257-40'HQ</t>
    </r>
    <r>
      <rPr>
        <sz val="11"/>
        <color theme="1"/>
        <rFont val="Calibri"/>
        <family val="2"/>
        <scheme val="minor"/>
      </rPr>
      <t xml:space="preserve">
</t>
    </r>
    <r>
      <rPr>
        <sz val="11"/>
        <color rgb="FFFF0000"/>
        <rFont val="Calibri"/>
        <family val="2"/>
        <scheme val="minor"/>
      </rPr>
      <t>3.FCIU7225668-40'HQ</t>
    </r>
  </si>
  <si>
    <r>
      <rPr>
        <sz val="11"/>
        <color rgb="FFFF0000"/>
        <rFont val="Calibri"/>
        <family val="2"/>
        <scheme val="minor"/>
      </rPr>
      <t>1.BEAU4860332-40'HQ</t>
    </r>
    <r>
      <rPr>
        <sz val="11"/>
        <color theme="1"/>
        <rFont val="Calibri"/>
        <family val="2"/>
        <scheme val="minor"/>
      </rPr>
      <t xml:space="preserve">
</t>
    </r>
    <r>
      <rPr>
        <sz val="11"/>
        <color rgb="FFFF0000"/>
        <rFont val="Calibri"/>
        <family val="2"/>
        <scheme val="minor"/>
      </rPr>
      <t>2.CAIU4708200-40'HQ</t>
    </r>
    <r>
      <rPr>
        <sz val="11"/>
        <color theme="1"/>
        <rFont val="Calibri"/>
        <family val="2"/>
        <scheme val="minor"/>
      </rPr>
      <t xml:space="preserve">
</t>
    </r>
    <r>
      <rPr>
        <sz val="11"/>
        <color rgb="FFFF0000"/>
        <rFont val="Calibri"/>
        <family val="2"/>
        <scheme val="minor"/>
      </rPr>
      <t>3.SEGU5555459-40'HQ</t>
    </r>
    <r>
      <rPr>
        <sz val="11"/>
        <color theme="1"/>
        <rFont val="Calibri"/>
        <family val="2"/>
        <scheme val="minor"/>
      </rPr>
      <t xml:space="preserve">
</t>
    </r>
    <r>
      <rPr>
        <sz val="11"/>
        <color rgb="FFFF0000"/>
        <rFont val="Calibri"/>
        <family val="2"/>
        <scheme val="minor"/>
      </rPr>
      <t>4.SEKU5216866-40'HQ</t>
    </r>
    <r>
      <rPr>
        <sz val="11"/>
        <color theme="1"/>
        <rFont val="Calibri"/>
        <family val="2"/>
        <scheme val="minor"/>
      </rPr>
      <t xml:space="preserve">
</t>
    </r>
    <r>
      <rPr>
        <sz val="11"/>
        <color rgb="FFFF0000"/>
        <rFont val="Calibri"/>
        <family val="2"/>
        <scheme val="minor"/>
      </rPr>
      <t>5.TEMU7796071-40'HQ</t>
    </r>
  </si>
  <si>
    <r>
      <rPr>
        <sz val="11"/>
        <color rgb="FFFF0000"/>
        <rFont val="Calibri"/>
        <family val="2"/>
        <scheme val="minor"/>
      </rPr>
      <t>1.BMOU6377349-40'HQ</t>
    </r>
    <r>
      <rPr>
        <sz val="11"/>
        <color theme="1"/>
        <rFont val="Calibri"/>
        <family val="2"/>
        <scheme val="minor"/>
      </rPr>
      <t xml:space="preserve">
</t>
    </r>
    <r>
      <rPr>
        <sz val="11"/>
        <color rgb="FFFF0000"/>
        <rFont val="Calibri"/>
        <family val="2"/>
        <scheme val="minor"/>
      </rPr>
      <t>2.FFAU1034841-40'HQ</t>
    </r>
    <r>
      <rPr>
        <sz val="11"/>
        <color theme="1"/>
        <rFont val="Calibri"/>
        <family val="2"/>
        <scheme val="minor"/>
      </rPr>
      <t xml:space="preserve">
</t>
    </r>
    <r>
      <rPr>
        <sz val="11"/>
        <color rgb="FFFF0000"/>
        <rFont val="Calibri"/>
        <family val="2"/>
        <scheme val="minor"/>
      </rPr>
      <t>3.FFAU1098810-40'HQ</t>
    </r>
    <r>
      <rPr>
        <sz val="11"/>
        <color theme="1"/>
        <rFont val="Calibri"/>
        <family val="2"/>
        <scheme val="minor"/>
      </rPr>
      <t xml:space="preserve">
</t>
    </r>
    <r>
      <rPr>
        <sz val="11"/>
        <color rgb="FFFF0000"/>
        <rFont val="Calibri"/>
        <family val="2"/>
        <scheme val="minor"/>
      </rPr>
      <t>4.FFAU4438636-40'HQ</t>
    </r>
    <r>
      <rPr>
        <sz val="11"/>
        <color theme="1"/>
        <rFont val="Calibri"/>
        <family val="2"/>
        <scheme val="minor"/>
      </rPr>
      <t xml:space="preserve">
</t>
    </r>
    <r>
      <rPr>
        <sz val="11"/>
        <color rgb="FFFF0000"/>
        <rFont val="Calibri"/>
        <family val="2"/>
        <scheme val="minor"/>
      </rPr>
      <t>5.SEGU6498590-40'HQ</t>
    </r>
  </si>
  <si>
    <t>22031</t>
  </si>
  <si>
    <t>22032</t>
  </si>
  <si>
    <t>22033</t>
  </si>
  <si>
    <t>22034</t>
  </si>
  <si>
    <t>22035</t>
  </si>
  <si>
    <t>SHAWD067482</t>
  </si>
  <si>
    <t>NEW CAR MG HS 1.5T, 2022</t>
  </si>
  <si>
    <t>SHAWD067496</t>
  </si>
  <si>
    <t>MK 19N V.037W</t>
  </si>
  <si>
    <t>NEW CAR MG ZS 1.5, 2022</t>
  </si>
  <si>
    <t>SHAWD067497</t>
  </si>
  <si>
    <t>SHAWD067486</t>
  </si>
  <si>
    <t>NEW CAR MG RX5 1.5T, 2022</t>
  </si>
  <si>
    <t>22036</t>
  </si>
  <si>
    <t>EGLV149115804772</t>
  </si>
  <si>
    <t>LQ/YK/211208</t>
  </si>
  <si>
    <t>EVER CALM 0193 V.036S</t>
  </si>
  <si>
    <t>NEW CAR DONGFENG FORTHING T5 EVO, 2022</t>
  </si>
  <si>
    <t>SHAWD067484</t>
  </si>
  <si>
    <t>PHUOC LONG 10N V.148W</t>
  </si>
  <si>
    <t>22037</t>
  </si>
  <si>
    <t>PV-21-600301-3-1</t>
  </si>
  <si>
    <t>NEW CAR BYD PURE ELECTRIC VEHICLE HAN
EV, 2022</t>
  </si>
  <si>
    <t>MOLU18002972780</t>
  </si>
  <si>
    <t>1.FTAU1118770-20'GP</t>
  </si>
  <si>
    <t>22038</t>
  </si>
  <si>
    <t>ONEYDXBB17047500</t>
  </si>
  <si>
    <t>BRIDGE V.0211N</t>
  </si>
  <si>
    <t>05.01.2022</t>
  </si>
  <si>
    <t>1.TRHU7278461/AE118097A</t>
  </si>
  <si>
    <t>22039</t>
  </si>
  <si>
    <t>CNMC10911215</t>
  </si>
  <si>
    <t>25.01.2022</t>
  </si>
  <si>
    <t>220391</t>
  </si>
  <si>
    <t>CNMC10911239</t>
  </si>
  <si>
    <t>PLASTIC CUP,  JUTE SACKS, PAPER BAG</t>
  </si>
  <si>
    <t>2.EMCU8033820/ H/19.0849998</t>
  </si>
  <si>
    <t>1.DBYU9918002/ H/19.0849975</t>
  </si>
  <si>
    <t>22040</t>
  </si>
  <si>
    <t>ONEYDXBB17291600</t>
  </si>
  <si>
    <t>USED CAR ​TOYOTA LC300, 2022, LHD</t>
  </si>
  <si>
    <t>1.KKFU7550542/16892110</t>
  </si>
  <si>
    <t>2 UNITS NEW CAR ​JEEP WRANGLER UNLIMITED RUBICON, 2021,LHD
2 UNITS STEEL BUMPER</t>
  </si>
  <si>
    <t>ទំនិញរាយ​ (LCL), TRUCK: 2AE-3649</t>
  </si>
  <si>
    <t>20388310ETC</t>
  </si>
  <si>
    <t>E220781997180035</t>
  </si>
  <si>
    <t>20384118ETC</t>
  </si>
  <si>
    <t>E220781997180030</t>
  </si>
  <si>
    <t>20384098ETC</t>
  </si>
  <si>
    <t>E220781997180029</t>
  </si>
  <si>
    <t>E220781997180011</t>
  </si>
  <si>
    <t>E220781997180036</t>
  </si>
  <si>
    <t>22041</t>
  </si>
  <si>
    <t>CULVNAS2201232</t>
  </si>
  <si>
    <t>26.01.2022</t>
  </si>
  <si>
    <t>1.CULU6215110/ E335452</t>
  </si>
  <si>
    <t>1,133 P'KGS</t>
  </si>
  <si>
    <t>220411</t>
  </si>
  <si>
    <t>171C500017</t>
  </si>
  <si>
    <t>1,362 P'KGS</t>
  </si>
  <si>
    <t>220412</t>
  </si>
  <si>
    <t>2.TCNU4165318/ WHLQ932247
3.TCNU9799547/ WHLQ932214</t>
  </si>
  <si>
    <t>CNMC10911438</t>
  </si>
  <si>
    <t xml:space="preserve">PVC U PIPE FITTINGS,  WALLPAPER, SCREW </t>
  </si>
  <si>
    <t>4.SHDU2019104/HQ/20.0189209</t>
  </si>
  <si>
    <t>220413</t>
  </si>
  <si>
    <t>CNMC10911416</t>
  </si>
  <si>
    <t>PAPER BAG, JUTE SACKS, PLASTIC CUP</t>
  </si>
  <si>
    <t>5.FXLU2020055/HQ/20.0189240</t>
  </si>
  <si>
    <t>682 P'KGS</t>
  </si>
  <si>
    <t>22042</t>
  </si>
  <si>
    <t>2915SH010</t>
  </si>
  <si>
    <t>21SQZ0601064411C-1</t>
  </si>
  <si>
    <t>DUMP TRUCK SHACMAN SX3255DR384, 2022</t>
  </si>
  <si>
    <t>Shaanxi</t>
  </si>
  <si>
    <t>1 UINT</t>
  </si>
  <si>
    <t>E227917385530002</t>
  </si>
  <si>
    <t>ឈ្មោះ BYD Sale &amp; Service Center ដែលមានអាស័យដ្ឋាន#52 ផ្លូវជាតិលេខ 6A ភូមិដើមគរ សង្កាត់ជ្រោយចង្វារ ខណ្ឌជ្រោយចង្វារ រាជធានីភ្នំពេញ ជាទីតាំងបង្ហាញរថយន្ត (Showroom) របស់ក្រុមហ៊ុន HUAN YA HE ZHONG (CAMBODIA) TRADING CO., LTD</t>
  </si>
  <si>
    <t>ID CARD</t>
  </si>
  <si>
    <t>CNEE</t>
  </si>
  <si>
    <t>TEL</t>
  </si>
  <si>
    <t>NAME SI</t>
  </si>
  <si>
    <t xml:space="preserve">NAME </t>
  </si>
  <si>
    <t>ID CARD SI</t>
  </si>
  <si>
    <t>EG7009964</t>
  </si>
  <si>
    <t>L001-901908165</t>
  </si>
  <si>
    <t>017 555924</t>
  </si>
  <si>
    <t>AC2134008</t>
  </si>
  <si>
    <t>089 890 324</t>
  </si>
  <si>
    <t>069 777 815</t>
  </si>
  <si>
    <t>BRIDGE V.0214N</t>
  </si>
  <si>
    <t>28.01.2022</t>
  </si>
  <si>
    <t>22043</t>
  </si>
  <si>
    <t>GY25BA2215874</t>
  </si>
  <si>
    <t>27.01.2022</t>
  </si>
  <si>
    <t>1.BVDY2021151/HQ/20.0189275</t>
  </si>
  <si>
    <t>22.01.2022</t>
  </si>
  <si>
    <r>
      <rPr>
        <sz val="11"/>
        <color rgb="FFFF0000"/>
        <rFont val="Calibri"/>
        <family val="2"/>
        <scheme val="minor"/>
      </rPr>
      <t xml:space="preserve">1.TCNU5357423-40'HQ </t>
    </r>
    <r>
      <rPr>
        <sz val="11"/>
        <color theme="1"/>
        <rFont val="Calibri"/>
        <family val="2"/>
        <scheme val="minor"/>
      </rPr>
      <t xml:space="preserve">
</t>
    </r>
    <r>
      <rPr>
        <sz val="11"/>
        <color rgb="FFFF0000"/>
        <rFont val="Calibri"/>
        <family val="2"/>
        <scheme val="minor"/>
      </rPr>
      <t>2.ZCSU7514552-40'HQ</t>
    </r>
    <r>
      <rPr>
        <sz val="11"/>
        <color theme="1"/>
        <rFont val="Calibri"/>
        <family val="2"/>
        <scheme val="minor"/>
      </rPr>
      <t xml:space="preserve">
</t>
    </r>
    <r>
      <rPr>
        <sz val="11"/>
        <color rgb="FFFF0000"/>
        <rFont val="Calibri"/>
        <family val="2"/>
        <scheme val="minor"/>
      </rPr>
      <t>3.ZCSU8472960-40'HQ</t>
    </r>
  </si>
  <si>
    <r>
      <rPr>
        <sz val="11"/>
        <color rgb="FFFF0000"/>
        <rFont val="Calibri"/>
        <family val="2"/>
        <scheme val="minor"/>
      </rPr>
      <t>1.BSIU9711645-40'HQ</t>
    </r>
    <r>
      <rPr>
        <sz val="11"/>
        <color theme="1"/>
        <rFont val="Calibri"/>
        <family val="2"/>
        <scheme val="minor"/>
      </rPr>
      <t xml:space="preserve">	
</t>
    </r>
    <r>
      <rPr>
        <sz val="11"/>
        <color rgb="FFFF0000"/>
        <rFont val="Calibri"/>
        <family val="2"/>
        <scheme val="minor"/>
      </rPr>
      <t>2.CAIU4429058-40'HQ</t>
    </r>
    <r>
      <rPr>
        <sz val="11"/>
        <color theme="1"/>
        <rFont val="Calibri"/>
        <family val="2"/>
        <scheme val="minor"/>
      </rPr>
      <t xml:space="preserve">	
</t>
    </r>
    <r>
      <rPr>
        <sz val="11"/>
        <color rgb="FFFF0000"/>
        <rFont val="Calibri"/>
        <family val="2"/>
        <scheme val="minor"/>
      </rPr>
      <t>3.JXLU6751797-40'HQ</t>
    </r>
    <r>
      <rPr>
        <sz val="11"/>
        <color theme="1"/>
        <rFont val="Calibri"/>
        <family val="2"/>
        <scheme val="minor"/>
      </rPr>
      <t xml:space="preserve">	
</t>
    </r>
    <r>
      <rPr>
        <sz val="11"/>
        <color rgb="FFFF0000"/>
        <rFont val="Calibri"/>
        <family val="2"/>
        <scheme val="minor"/>
      </rPr>
      <t>4.SEGU5813168-40'HQ</t>
    </r>
    <r>
      <rPr>
        <sz val="11"/>
        <color theme="1"/>
        <rFont val="Calibri"/>
        <family val="2"/>
        <scheme val="minor"/>
      </rPr>
      <t xml:space="preserve">	
</t>
    </r>
    <r>
      <rPr>
        <sz val="11"/>
        <color rgb="FFFF0000"/>
        <rFont val="Calibri"/>
        <family val="2"/>
        <scheme val="minor"/>
      </rPr>
      <t>5.TCLU8188757-40'HQ</t>
    </r>
    <r>
      <rPr>
        <sz val="11"/>
        <color theme="1"/>
        <rFont val="Calibri"/>
        <family val="2"/>
        <scheme val="minor"/>
      </rPr>
      <t xml:space="preserve">	
</t>
    </r>
    <r>
      <rPr>
        <sz val="11"/>
        <color rgb="FFFF0000"/>
        <rFont val="Calibri"/>
        <family val="2"/>
        <scheme val="minor"/>
      </rPr>
      <t>6.TCLU8691078-40'HQ</t>
    </r>
    <r>
      <rPr>
        <sz val="11"/>
        <color theme="1"/>
        <rFont val="Calibri"/>
        <family val="2"/>
        <scheme val="minor"/>
      </rPr>
      <t xml:space="preserve">	
</t>
    </r>
    <r>
      <rPr>
        <sz val="11"/>
        <color rgb="FFFF0000"/>
        <rFont val="Calibri"/>
        <family val="2"/>
        <scheme val="minor"/>
      </rPr>
      <t xml:space="preserve">7.TCNU8905428-40'HQ	</t>
    </r>
    <r>
      <rPr>
        <sz val="11"/>
        <color theme="1"/>
        <rFont val="Calibri"/>
        <family val="2"/>
        <scheme val="minor"/>
      </rPr>
      <t xml:space="preserve">
</t>
    </r>
    <r>
      <rPr>
        <sz val="11"/>
        <color rgb="FFFF0000"/>
        <rFont val="Calibri"/>
        <family val="2"/>
        <scheme val="minor"/>
      </rPr>
      <t>8.TGBU7061908-40'HQ</t>
    </r>
    <r>
      <rPr>
        <sz val="11"/>
        <color theme="1"/>
        <rFont val="Calibri"/>
        <family val="2"/>
        <scheme val="minor"/>
      </rPr>
      <t xml:space="preserve">	
</t>
    </r>
    <r>
      <rPr>
        <sz val="11"/>
        <color rgb="FFFF0000"/>
        <rFont val="Calibri"/>
        <family val="2"/>
        <scheme val="minor"/>
      </rPr>
      <t xml:space="preserve">9.TLLU5807413-40'HQ	
10.ZCSU7065214-40'HQ	</t>
    </r>
    <r>
      <rPr>
        <sz val="11"/>
        <color theme="1"/>
        <rFont val="Calibri"/>
        <family val="2"/>
        <scheme val="minor"/>
      </rPr>
      <t xml:space="preserve">
</t>
    </r>
    <r>
      <rPr>
        <sz val="11"/>
        <color rgb="FFFF0000"/>
        <rFont val="Calibri"/>
        <family val="2"/>
        <scheme val="minor"/>
      </rPr>
      <t>11.ZCSU7558000-40'HQ</t>
    </r>
    <r>
      <rPr>
        <sz val="11"/>
        <color theme="1"/>
        <rFont val="Calibri"/>
        <family val="2"/>
        <scheme val="minor"/>
      </rPr>
      <t xml:space="preserve">	
</t>
    </r>
    <r>
      <rPr>
        <sz val="11"/>
        <color rgb="FFFF0000"/>
        <rFont val="Calibri"/>
        <family val="2"/>
        <scheme val="minor"/>
      </rPr>
      <t xml:space="preserve">12.ZCSU7868221-40'HQ	</t>
    </r>
  </si>
  <si>
    <t>22021 22022 EIR</t>
  </si>
  <si>
    <t>22005 22006 22013 EIR</t>
  </si>
  <si>
    <t>22012 EIR</t>
  </si>
  <si>
    <t>22018 EIR</t>
  </si>
  <si>
    <t>22044</t>
  </si>
  <si>
    <t>ONEYDXBB17305900</t>
  </si>
  <si>
    <t>USED CAR AUDI R8, MODEL YEAR 2014, LHD
USED CAR BMW I320, MODEL YEAR 1991, LHD</t>
  </si>
  <si>
    <t>1.NYKU0808507/AE008086</t>
  </si>
  <si>
    <t>22045</t>
  </si>
  <si>
    <t>AAAC003469A</t>
  </si>
  <si>
    <t>HZX20211122-2</t>
  </si>
  <si>
    <t>HONGQI CAR HS7 1UNIT, H5 2 UNITS, 2021</t>
  </si>
  <si>
    <t>1.APZU4737422-40'ST
2.APZU4380757-40'ST (PART OF)</t>
  </si>
  <si>
    <t>22046</t>
  </si>
  <si>
    <t>AAAC003469B</t>
  </si>
  <si>
    <t>HZX20211122-1</t>
  </si>
  <si>
    <t>HONGQI CAR H5 2 UNITS, HS5 5 UNITS, 2021</t>
  </si>
  <si>
    <t>1.CLHU4741739-40'ST
2.ECMU4531933-40'ST
3.CMAU9030952-40'ST
4.APZU4380757-40'ST (PART OF)</t>
  </si>
  <si>
    <t>#១៥H ផ្លូវបេតុង ភូមិទឹកថ្លា សង្កាត់ទឹកថ្លា ខណ្ឌសែនសុខ រាជធានីភ្នំពេញ
VAT: K009-902005913</t>
  </si>
  <si>
    <t>ZENITH MACHINERY LEASING CO.,LTD</t>
  </si>
  <si>
    <t>K009-902005913</t>
  </si>
  <si>
    <t>070 673 598</t>
  </si>
  <si>
    <t>E24411836</t>
  </si>
  <si>
    <t>018 9159555</t>
  </si>
  <si>
    <t>40'ST</t>
  </si>
  <si>
    <t>SONG XANH V.09 M04W</t>
  </si>
  <si>
    <t>30.01.2022</t>
  </si>
  <si>
    <t>Air-LCL</t>
  </si>
  <si>
    <t>22047</t>
  </si>
  <si>
    <t>COAU7235933190</t>
  </si>
  <si>
    <t>2020JL221</t>
  </si>
  <si>
    <t>NEW JMC CARGO LIGHT TRUCK N720, 2021</t>
  </si>
  <si>
    <t>TRY SEANGHENG TRADING CO., LTD</t>
  </si>
  <si>
    <t>B124-902102170</t>
  </si>
  <si>
    <t>096 9266789</t>
  </si>
  <si>
    <t>BJC CELLOX(CAMBODIA) CO., LTD</t>
  </si>
  <si>
    <t>L001-901639149</t>
  </si>
  <si>
    <t>70296574</t>
  </si>
  <si>
    <t>250012059</t>
  </si>
  <si>
    <t>0107001600(01)</t>
  </si>
  <si>
    <t>L001-104008598</t>
  </si>
  <si>
    <t>22048</t>
  </si>
  <si>
    <t>SHAWD067503</t>
  </si>
  <si>
    <t>NEW CAR MG RX8, 2021</t>
  </si>
  <si>
    <t>220481</t>
  </si>
  <si>
    <t>OMPLCHS220011</t>
  </si>
  <si>
    <t>003-1/2022</t>
  </si>
  <si>
    <t>NP SAMUT SONGKHRAM V.2204S</t>
  </si>
  <si>
    <t>22049</t>
  </si>
  <si>
    <t>SITINSV046551G</t>
  </si>
  <si>
    <t>SITC LAEM CHABANG V.2202S</t>
  </si>
  <si>
    <t>06.02.2022</t>
  </si>
  <si>
    <t>1.TGBU6878350/SITZ779994</t>
  </si>
  <si>
    <t>960 PACKAGES</t>
  </si>
  <si>
    <t>XST AUTO (CAMBODIA) INTERNATIONAL TRADE CO.,LTD</t>
  </si>
  <si>
    <t>L001-902101200</t>
  </si>
  <si>
    <t>0968456666</t>
  </si>
  <si>
    <t>22050</t>
  </si>
  <si>
    <t>024C504494</t>
  </si>
  <si>
    <t>WAN HAI 163 V.S386</t>
  </si>
  <si>
    <t>08.02.2022</t>
  </si>
  <si>
    <t>1,261 CTNS</t>
  </si>
  <si>
    <t>1.WHLU5843328/WHLP209920</t>
  </si>
  <si>
    <t>40'SD</t>
  </si>
  <si>
    <t>22051</t>
  </si>
  <si>
    <t>DMC210924CA4612</t>
  </si>
  <si>
    <t>09.02.2022</t>
  </si>
  <si>
    <t>1.  FSCU9563920/HQ/20.0189528</t>
  </si>
  <si>
    <t>680 P'KGS</t>
  </si>
  <si>
    <t>22052</t>
  </si>
  <si>
    <t>SHAWD067629</t>
  </si>
  <si>
    <t>E220781997180040</t>
  </si>
  <si>
    <t>1.BMOU4511398-40'HQ
2.SEGU2601545-20'HQ
3.ZCSU7186962-40'HQ</t>
  </si>
  <si>
    <t>22053</t>
  </si>
  <si>
    <t>SHAWD067628</t>
  </si>
  <si>
    <t>E220781997180041</t>
  </si>
  <si>
    <t>NEW CAR MG HS 1UNIT, 2021
NEW CAR MG HS 2UNIT, 2022</t>
  </si>
  <si>
    <t>1.RFCU5066120-40'HQ</t>
  </si>
  <si>
    <t>22054</t>
  </si>
  <si>
    <t>SHAWD067580</t>
  </si>
  <si>
    <t>E220781997180039</t>
  </si>
  <si>
    <t>1.SEGU5274580-40'HQ
2.TCKU6745368-40'HQ
3.TCKU6757348-40'HQ
4.TCLU8178403-40'HQ
5.TEMU7577643-40'HQ
6.TGBU7216532-40'HQ
7.ZCSU6656763-40'HQ
8.ZCSU6725864-40'HQ
9.ZCSU7308572-40'HQ
10.ZCSU7624117-40'HQ</t>
  </si>
  <si>
    <t>TANG XIUNING</t>
  </si>
  <si>
    <t xml:space="preserve">ភេទប្រុស ដែលមានលិខិតឆ្លងដែនលេខៈ ED9067769 ជាប្រធានក្រុមហ៊ុន JI SHUN DA DTADING CO.,LTD អត្តសញ្ញាណកម្មសារពើពន្ធ (VAT)លេខៈ K010-901908667 ទូរសព្ទ័លេខៈ                </t>
  </si>
  <si>
    <t>22055</t>
  </si>
  <si>
    <t>A78CA01211</t>
  </si>
  <si>
    <t>2,112 P'KGS</t>
  </si>
  <si>
    <t>220551</t>
  </si>
  <si>
    <t>A91CX00573</t>
  </si>
  <si>
    <t>3.IAAU1867536/ IAAF774576</t>
  </si>
  <si>
    <t>1,090 P'KGS</t>
  </si>
  <si>
    <t>1.BHCU5001810/ IAAF887828
2.IAAU1874263/ IAAF887825</t>
  </si>
  <si>
    <t>1.CSNU7303776-40'HQ
2.MAGU5181842-40'HQ</t>
  </si>
  <si>
    <r>
      <rPr>
        <sz val="11"/>
        <color rgb="FFFF0000"/>
        <rFont val="Calibri"/>
        <family val="2"/>
        <scheme val="minor"/>
      </rPr>
      <t>1.EISU8255219-40HC</t>
    </r>
    <r>
      <rPr>
        <sz val="11"/>
        <color theme="1"/>
        <rFont val="Calibri"/>
        <family val="2"/>
        <scheme val="minor"/>
      </rPr>
      <t xml:space="preserve">
</t>
    </r>
    <r>
      <rPr>
        <sz val="11"/>
        <color rgb="FFFF0000"/>
        <rFont val="Calibri"/>
        <family val="2"/>
        <scheme val="minor"/>
      </rPr>
      <t>2.EITU9445109-40HC</t>
    </r>
    <r>
      <rPr>
        <sz val="11"/>
        <color theme="1"/>
        <rFont val="Calibri"/>
        <family val="2"/>
        <scheme val="minor"/>
      </rPr>
      <t xml:space="preserve">
</t>
    </r>
    <r>
      <rPr>
        <sz val="11"/>
        <color rgb="FFFF0000"/>
        <rFont val="Calibri"/>
        <family val="2"/>
        <scheme val="minor"/>
      </rPr>
      <t>3.TGHU6531974-40HC</t>
    </r>
  </si>
  <si>
    <t>22056</t>
  </si>
  <si>
    <t>22057</t>
  </si>
  <si>
    <t>22058</t>
  </si>
  <si>
    <t>EGLV147200036860</t>
  </si>
  <si>
    <t>EVER CORE 0198 V.037S</t>
  </si>
  <si>
    <t>1.EITU1523967/ EMCMHZ9861
2.TCNU3811157/ EMCMHZ9871</t>
  </si>
  <si>
    <t>2960 CARTONS</t>
  </si>
  <si>
    <t>40'H</t>
  </si>
  <si>
    <t>11.02.2022</t>
  </si>
  <si>
    <t>D2022-0034430</t>
  </si>
  <si>
    <t>PMLU9007124-40'HC, TCNU9577468-40'HC, OMPL9506984-40'HC</t>
  </si>
  <si>
    <t>88 ROLLS</t>
  </si>
  <si>
    <t>OMPLCHS220023</t>
  </si>
  <si>
    <t>004/2022</t>
  </si>
  <si>
    <t>D2022-0034118</t>
  </si>
  <si>
    <t>NP SAMUT SONGKHRAM V.2205S</t>
  </si>
  <si>
    <t>TTNU9803655-40'HC, OMPL9005190-40'HC, OMPL9002014-40'HC, OMPL5578405-40'HC</t>
  </si>
  <si>
    <t>124 ROLLS</t>
  </si>
  <si>
    <t>OMPLCHS220023-1</t>
  </si>
  <si>
    <t>005/2022</t>
  </si>
  <si>
    <t>CAXU6561379-20'GP</t>
  </si>
  <si>
    <r>
      <rPr>
        <sz val="11"/>
        <color rgb="FFFF0000"/>
        <rFont val="Calibri"/>
        <family val="2"/>
        <scheme val="minor"/>
      </rPr>
      <t>1.CAIU4414720-40'HQ</t>
    </r>
    <r>
      <rPr>
        <sz val="11"/>
        <color theme="1"/>
        <rFont val="Calibri"/>
        <family val="2"/>
        <scheme val="minor"/>
      </rPr>
      <t xml:space="preserve">
</t>
    </r>
    <r>
      <rPr>
        <sz val="11"/>
        <color rgb="FFFF0000"/>
        <rFont val="Calibri"/>
        <family val="2"/>
        <scheme val="minor"/>
      </rPr>
      <t>2.JXLU7845376-40'HQ</t>
    </r>
    <r>
      <rPr>
        <sz val="11"/>
        <color theme="1"/>
        <rFont val="Calibri"/>
        <family val="2"/>
        <scheme val="minor"/>
      </rPr>
      <t xml:space="preserve">
</t>
    </r>
    <r>
      <rPr>
        <sz val="11"/>
        <color rgb="FFFF0000"/>
        <rFont val="Calibri"/>
        <family val="2"/>
        <scheme val="minor"/>
      </rPr>
      <t>3.TCNU5721290-40'HQ</t>
    </r>
    <r>
      <rPr>
        <sz val="11"/>
        <color theme="1"/>
        <rFont val="Calibri"/>
        <family val="2"/>
        <scheme val="minor"/>
      </rPr>
      <t xml:space="preserve">
</t>
    </r>
    <r>
      <rPr>
        <sz val="11"/>
        <color rgb="FFFF0000"/>
        <rFont val="Calibri"/>
        <family val="2"/>
        <scheme val="minor"/>
      </rPr>
      <t>4.TCNU8188883-40'HQ</t>
    </r>
    <r>
      <rPr>
        <sz val="11"/>
        <color theme="1"/>
        <rFont val="Calibri"/>
        <family val="2"/>
        <scheme val="minor"/>
      </rPr>
      <t xml:space="preserve">
</t>
    </r>
    <r>
      <rPr>
        <sz val="11"/>
        <color rgb="FFFF0000"/>
        <rFont val="Calibri"/>
        <family val="2"/>
        <scheme val="minor"/>
      </rPr>
      <t>5.TCNU8775160-40'HQ</t>
    </r>
    <r>
      <rPr>
        <sz val="11"/>
        <color theme="1"/>
        <rFont val="Calibri"/>
        <family val="2"/>
        <scheme val="minor"/>
      </rPr>
      <t xml:space="preserve">
</t>
    </r>
    <r>
      <rPr>
        <sz val="11"/>
        <color rgb="FFFF0000"/>
        <rFont val="Calibri"/>
        <family val="2"/>
        <scheme val="minor"/>
      </rPr>
      <t>6.TGBU5496239-40'HQ</t>
    </r>
    <r>
      <rPr>
        <sz val="11"/>
        <color theme="1"/>
        <rFont val="Calibri"/>
        <family val="2"/>
        <scheme val="minor"/>
      </rPr>
      <t xml:space="preserve">
</t>
    </r>
    <r>
      <rPr>
        <sz val="11"/>
        <color rgb="FFFF0000"/>
        <rFont val="Calibri"/>
        <family val="2"/>
        <scheme val="minor"/>
      </rPr>
      <t>7.TGBU5759295-40'HQ</t>
    </r>
    <r>
      <rPr>
        <sz val="11"/>
        <color theme="1"/>
        <rFont val="Calibri"/>
        <family val="2"/>
        <scheme val="minor"/>
      </rPr>
      <t xml:space="preserve">
</t>
    </r>
    <r>
      <rPr>
        <sz val="11"/>
        <color rgb="FFFF0000"/>
        <rFont val="Calibri"/>
        <family val="2"/>
        <scheme val="minor"/>
      </rPr>
      <t>8.ZCSU7357978-40'HQ</t>
    </r>
    <r>
      <rPr>
        <sz val="11"/>
        <color theme="1"/>
        <rFont val="Calibri"/>
        <family val="2"/>
        <scheme val="minor"/>
      </rPr>
      <t xml:space="preserve">
</t>
    </r>
    <r>
      <rPr>
        <sz val="11"/>
        <color rgb="FFFF0000"/>
        <rFont val="Calibri"/>
        <family val="2"/>
        <scheme val="minor"/>
      </rPr>
      <t>9.ZCSU7541985-40'HQ</t>
    </r>
    <r>
      <rPr>
        <sz val="11"/>
        <color theme="1"/>
        <rFont val="Calibri"/>
        <family val="2"/>
        <scheme val="minor"/>
      </rPr>
      <t xml:space="preserve">
</t>
    </r>
    <r>
      <rPr>
        <sz val="11"/>
        <color rgb="FFFF0000"/>
        <rFont val="Calibri"/>
        <family val="2"/>
        <scheme val="minor"/>
      </rPr>
      <t>10.ZCSU8474808-40'HQ</t>
    </r>
  </si>
  <si>
    <r>
      <rPr>
        <sz val="11"/>
        <color rgb="FFFF0000"/>
        <rFont val="Calibri"/>
        <family val="2"/>
        <scheme val="minor"/>
      </rPr>
      <t>1.BEAU4918291-40'HQ</t>
    </r>
    <r>
      <rPr>
        <sz val="11"/>
        <color theme="1"/>
        <rFont val="Calibri"/>
        <family val="2"/>
        <scheme val="minor"/>
      </rPr>
      <t xml:space="preserve">
</t>
    </r>
    <r>
      <rPr>
        <sz val="11"/>
        <color rgb="FFFF0000"/>
        <rFont val="Calibri"/>
        <family val="2"/>
        <scheme val="minor"/>
      </rPr>
      <t>2.GCXU5874824-40'HQ</t>
    </r>
  </si>
  <si>
    <r>
      <rPr>
        <sz val="11"/>
        <color rgb="FFFF0000"/>
        <rFont val="Calibri"/>
        <family val="2"/>
        <scheme val="minor"/>
      </rPr>
      <t>1.BMOU6813611-40'HQ (PART OF)</t>
    </r>
    <r>
      <rPr>
        <sz val="11"/>
        <color theme="1"/>
        <rFont val="Calibri"/>
        <family val="2"/>
        <scheme val="minor"/>
      </rPr>
      <t xml:space="preserve">
</t>
    </r>
    <r>
      <rPr>
        <sz val="11"/>
        <color rgb="FFFF0000"/>
        <rFont val="Calibri"/>
        <family val="2"/>
        <scheme val="minor"/>
      </rPr>
      <t>2.TXGU5011259-40'HQ</t>
    </r>
  </si>
  <si>
    <r>
      <rPr>
        <sz val="11"/>
        <color rgb="FFFF0000"/>
        <rFont val="Calibri"/>
        <family val="2"/>
        <scheme val="minor"/>
      </rPr>
      <t>1.BMOU6246396-40'HQ</t>
    </r>
    <r>
      <rPr>
        <sz val="11"/>
        <color theme="1"/>
        <rFont val="Calibri"/>
        <family val="2"/>
        <scheme val="minor"/>
      </rPr>
      <t xml:space="preserve">
</t>
    </r>
    <r>
      <rPr>
        <sz val="11"/>
        <color rgb="FFFF0000"/>
        <rFont val="Calibri"/>
        <family val="2"/>
        <scheme val="minor"/>
      </rPr>
      <t>2.BMOU6813611-40'HQ (PART OF)</t>
    </r>
    <r>
      <rPr>
        <sz val="11"/>
        <color theme="1"/>
        <rFont val="Calibri"/>
        <family val="2"/>
        <scheme val="minor"/>
      </rPr>
      <t xml:space="preserve">
</t>
    </r>
    <r>
      <rPr>
        <sz val="11"/>
        <color rgb="FFFF0000"/>
        <rFont val="Calibri"/>
        <family val="2"/>
        <scheme val="minor"/>
      </rPr>
      <t>3.FCIU7130789-40'HQ</t>
    </r>
    <r>
      <rPr>
        <sz val="11"/>
        <color theme="1"/>
        <rFont val="Calibri"/>
        <family val="2"/>
        <scheme val="minor"/>
      </rPr>
      <t xml:space="preserve">
</t>
    </r>
    <r>
      <rPr>
        <sz val="11"/>
        <color rgb="FFFF0000"/>
        <rFont val="Calibri"/>
        <family val="2"/>
        <scheme val="minor"/>
      </rPr>
      <t>4.FCIU7132246-40'HQ</t>
    </r>
  </si>
  <si>
    <r>
      <rPr>
        <sz val="11"/>
        <color rgb="FFFF0000"/>
        <rFont val="Calibri"/>
        <family val="2"/>
        <scheme val="minor"/>
      </rPr>
      <t>1.BEAU4877839-40'HQ</t>
    </r>
    <r>
      <rPr>
        <sz val="11"/>
        <color theme="1"/>
        <rFont val="Calibri"/>
        <family val="2"/>
        <scheme val="minor"/>
      </rPr>
      <t xml:space="preserve">
</t>
    </r>
    <r>
      <rPr>
        <sz val="11"/>
        <color rgb="FFFF0000"/>
        <rFont val="Calibri"/>
        <family val="2"/>
        <scheme val="minor"/>
      </rPr>
      <t>2.BMOU6340397-40'HQ</t>
    </r>
    <r>
      <rPr>
        <sz val="11"/>
        <color theme="1"/>
        <rFont val="Calibri"/>
        <family val="2"/>
        <scheme val="minor"/>
      </rPr>
      <t xml:space="preserve">
</t>
    </r>
    <r>
      <rPr>
        <sz val="11"/>
        <color rgb="FFFF0000"/>
        <rFont val="Calibri"/>
        <family val="2"/>
        <scheme val="minor"/>
      </rPr>
      <t>3.FCIU7148319-40'HQ</t>
    </r>
    <r>
      <rPr>
        <sz val="11"/>
        <color theme="1"/>
        <rFont val="Calibri"/>
        <family val="2"/>
        <scheme val="minor"/>
      </rPr>
      <t xml:space="preserve">
</t>
    </r>
    <r>
      <rPr>
        <sz val="11"/>
        <color rgb="FFFF0000"/>
        <rFont val="Calibri"/>
        <family val="2"/>
        <scheme val="minor"/>
      </rPr>
      <t>4.FFAU1024437-40'HQ
5.FFAU3969509-40'HQ</t>
    </r>
    <r>
      <rPr>
        <sz val="11"/>
        <color theme="1"/>
        <rFont val="Calibri"/>
        <family val="2"/>
        <scheme val="minor"/>
      </rPr>
      <t xml:space="preserve">
</t>
    </r>
    <r>
      <rPr>
        <sz val="11"/>
        <color rgb="FFFF0000"/>
        <rFont val="Calibri"/>
        <family val="2"/>
        <scheme val="minor"/>
      </rPr>
      <t>6.FFAU4372837-40'HQ</t>
    </r>
    <r>
      <rPr>
        <sz val="11"/>
        <color theme="1"/>
        <rFont val="Calibri"/>
        <family val="2"/>
        <scheme val="minor"/>
      </rPr>
      <t xml:space="preserve">
</t>
    </r>
    <r>
      <rPr>
        <sz val="11"/>
        <color rgb="FFFF0000"/>
        <rFont val="Calibri"/>
        <family val="2"/>
        <scheme val="minor"/>
      </rPr>
      <t>7.TEMU6692895-40'HQ</t>
    </r>
  </si>
  <si>
    <t>22059</t>
  </si>
  <si>
    <t>2924SH317</t>
  </si>
  <si>
    <t>21AO-M010KH</t>
  </si>
  <si>
    <t>NEW DUMP TRUCK, MODEL YEAR: 2022</t>
  </si>
  <si>
    <t>22031 EIR</t>
  </si>
  <si>
    <t>22032 EIR</t>
  </si>
  <si>
    <t>22033 EIR</t>
  </si>
  <si>
    <t>22034 EIR</t>
  </si>
  <si>
    <t>22035 EIR</t>
  </si>
  <si>
    <t>22048 EIR</t>
  </si>
  <si>
    <t>22060</t>
  </si>
  <si>
    <t>ONEYDXBC00017900</t>
  </si>
  <si>
    <t>BRIDGE V.0216N</t>
  </si>
  <si>
    <t>1.NYKU0700195/AE095928A,DXBCUS2260844</t>
  </si>
  <si>
    <t>22061</t>
  </si>
  <si>
    <t>22062</t>
  </si>
  <si>
    <t>2924SH314</t>
  </si>
  <si>
    <t>ST20220310</t>
  </si>
  <si>
    <t>CRAWLER EXCAVATOR, 2022</t>
  </si>
  <si>
    <t>SHANGDONG</t>
  </si>
  <si>
    <t>2924SH315A</t>
  </si>
  <si>
    <t>BULLDOZER, 2022</t>
  </si>
  <si>
    <t>ST20220328</t>
  </si>
  <si>
    <t>22063</t>
  </si>
  <si>
    <t>171C500107</t>
  </si>
  <si>
    <t>12.02.2022</t>
  </si>
  <si>
    <t>1.WHSU6217068/WHLQ931494
2.WHSU6255160/WHLQ931493
3.WHSU6557031/WHLQ931492</t>
  </si>
  <si>
    <t>40'HC
40'HC
40'HC</t>
  </si>
  <si>
    <t>2,026 P'KGS</t>
  </si>
  <si>
    <t>CARTON BOX, PLASTIC WRAPPER, FILM ROLL LABEL, PAPER CORE</t>
  </si>
  <si>
    <t>22064</t>
  </si>
  <si>
    <t>AAAC003500</t>
  </si>
  <si>
    <t>HZX20220108</t>
  </si>
  <si>
    <t>HONGQI CAR H9, HS5, H5, 2021</t>
  </si>
  <si>
    <t>1.DFSU4298134-40'ST
2.APZU4547382-40'ST
3.AXIU4305811-40'ST
4.CMAU8584097-40'HC
5.CMAU8584100-40'HC</t>
  </si>
  <si>
    <t>Date</t>
  </si>
  <si>
    <t>ភេទប្រុស ដែលមានលិខិតឆ្លងដែនលេខៈ E37888060 ជាប្រធានក្រុមហ៊ុន H U A Y (CAMBODIA) INTERNATIONAL AUTO TRADE CO., LTD អត្តសញ្ញាណកម្មសារពើពន្ធ (VAT)លេខៈ L001-901909613 ទូរសព្ទ័លេខៈ +855 098881618​</t>
  </si>
  <si>
    <t>22065</t>
  </si>
  <si>
    <t>GY25BA2240822</t>
  </si>
  <si>
    <t xml:space="preserve">SCAFFOLDING FASTENER, STEEL PLATE, SCREW </t>
  </si>
  <si>
    <t>1330 P'KGS</t>
  </si>
  <si>
    <t>220651</t>
  </si>
  <si>
    <t>1.MSKU8324249/HQ/20.0189752
2.APHU4559419/HQ/20.0189753</t>
  </si>
  <si>
    <t>45'HQ
45'HQ</t>
  </si>
  <si>
    <t>DMC210924CA4885</t>
  </si>
  <si>
    <t>22066</t>
  </si>
  <si>
    <t>CNMC10911684</t>
  </si>
  <si>
    <t>220661</t>
  </si>
  <si>
    <t>220662</t>
  </si>
  <si>
    <t>1. DHHU2020666/HQ/20.0189756</t>
  </si>
  <si>
    <t>645 CTNS</t>
  </si>
  <si>
    <t>TSLGZ22012331162</t>
  </si>
  <si>
    <t>2. KALU1145006/HQ/20.0189760</t>
  </si>
  <si>
    <t>GY25BA2240916</t>
  </si>
  <si>
    <t>3.APLU4630846/HQ/20.0189759
4.APLU4628351/HQ/20.0189761</t>
  </si>
  <si>
    <t>1320 CTNS</t>
  </si>
  <si>
    <t>3.HMLU3002892/HQ/20.0189751
4.HSDU9988815/HQ/20.0189755</t>
  </si>
  <si>
    <t>22067</t>
  </si>
  <si>
    <t>GY25BA2242226</t>
  </si>
  <si>
    <t>20.02.2022</t>
  </si>
  <si>
    <t>1.FXLU2022268/HQ/19.0531832</t>
  </si>
  <si>
    <t>22068</t>
  </si>
  <si>
    <t>ONEYDXBC00962400</t>
  </si>
  <si>
    <t>BRIDGE V.0217N</t>
  </si>
  <si>
    <t>USED CAR TOYOTA LAND CRUISER VXR, MODEL YEAR 2022, LHD</t>
  </si>
  <si>
    <t>1.ONEU0278750 / AE114950A</t>
  </si>
  <si>
    <t>061434557</t>
  </si>
  <si>
    <t>088 8772209</t>
  </si>
  <si>
    <t>22054 EIR</t>
  </si>
  <si>
    <t>22069</t>
  </si>
  <si>
    <t>COAU7236762770</t>
  </si>
  <si>
    <t>A N D Y (CAMBODIA) INTERNATIONAL AUTO TRADE CO., LTD</t>
  </si>
  <si>
    <t>DF21PV-030KH003</t>
  </si>
  <si>
    <t>NEW CAR DONGFENG YIXUAN MAX 320T, LHD, 2022</t>
  </si>
  <si>
    <t xml:space="preserve">ZHANG HUA </t>
  </si>
  <si>
    <t>E37888060</t>
  </si>
  <si>
    <t>L001-902104222</t>
  </si>
  <si>
    <t>098881618​</t>
  </si>
  <si>
    <t>22070</t>
  </si>
  <si>
    <t>024C508302</t>
  </si>
  <si>
    <t>WAN HAI 163 V.S387</t>
  </si>
  <si>
    <t>22.02.2022</t>
  </si>
  <si>
    <t>3,296 CTNS</t>
  </si>
  <si>
    <t>1.WHSU5806844/WHLP217226
2.WHSU6192648/WHLP216181</t>
  </si>
  <si>
    <t>40'SD
40'SD</t>
  </si>
  <si>
    <t>220701</t>
  </si>
  <si>
    <t>024C508035</t>
  </si>
  <si>
    <t>1,866 PKGS</t>
  </si>
  <si>
    <t>3.WHSU5069834/WHLL883842</t>
  </si>
  <si>
    <t>22071</t>
  </si>
  <si>
    <t>1.MWCU6663259/ HQ/20.0189967</t>
  </si>
  <si>
    <t>675 CTNS</t>
  </si>
  <si>
    <t>22072</t>
  </si>
  <si>
    <t>SHAWD067607</t>
  </si>
  <si>
    <t>NEW CAR MAXUS T90, MODEL YEAR 2022</t>
  </si>
  <si>
    <t>E220781997180086</t>
  </si>
  <si>
    <t>1.ZCSU7396742-40'HQ</t>
  </si>
  <si>
    <t>22073</t>
  </si>
  <si>
    <t>SHAWD067608</t>
  </si>
  <si>
    <t>E220781997180087</t>
  </si>
  <si>
    <t>NEW CAR MAXUS D60, MODEL YEAR 2022</t>
  </si>
  <si>
    <t>22074</t>
  </si>
  <si>
    <t>SHAWD067642</t>
  </si>
  <si>
    <t>E220781997180088</t>
  </si>
  <si>
    <t>1.ZCSU6729725-40'HQ</t>
  </si>
  <si>
    <t>GY25BA2242318</t>
  </si>
  <si>
    <t xml:space="preserve">                  </t>
  </si>
  <si>
    <t>22075</t>
  </si>
  <si>
    <t>VLP/FE/22/01/B/0042</t>
  </si>
  <si>
    <t>EIC/2022/013/0066796A/00077562</t>
  </si>
  <si>
    <t>SONG XANH V.09 M07W</t>
  </si>
  <si>
    <t>1.BEAU5231170/IN0814188</t>
  </si>
  <si>
    <t>22076</t>
  </si>
  <si>
    <t>GY25BA2244624</t>
  </si>
  <si>
    <t>25.02.2022</t>
  </si>
  <si>
    <t xml:space="preserve">SCAFFOLDING FASTENER, PVC U PIPE FITTINGS, STEEL PLATE, SCREW </t>
  </si>
  <si>
    <t>1.SHLU8160004/HQ/20.0190060</t>
  </si>
  <si>
    <t>700 P'KGS</t>
  </si>
  <si>
    <t>22077</t>
  </si>
  <si>
    <t>SITINSV046995G</t>
  </si>
  <si>
    <t>SITC JAKARTA V.2204S</t>
  </si>
  <si>
    <t>24.02.2022</t>
  </si>
  <si>
    <t>1.CNU5321415/SITZ764843</t>
  </si>
  <si>
    <t>598 PACKAGES</t>
  </si>
  <si>
    <t>22078</t>
  </si>
  <si>
    <t>NSASHVG065946</t>
  </si>
  <si>
    <t>SITC INCHON V.2206S</t>
  </si>
  <si>
    <t>26.02.2022</t>
  </si>
  <si>
    <t>1.SITU9057977/SITZ620472</t>
  </si>
  <si>
    <t>2083PACKAGES</t>
  </si>
  <si>
    <t>22079</t>
  </si>
  <si>
    <t>DMC210924CA7446</t>
  </si>
  <si>
    <t>28.02.2022</t>
  </si>
  <si>
    <t>1.TTCU8728556/HQ/20.0190281</t>
  </si>
  <si>
    <t>22080</t>
  </si>
  <si>
    <t>NAM4975413</t>
  </si>
  <si>
    <t>NAWATA BHUM V.0RW7OS1MA</t>
  </si>
  <si>
    <t>23.02.2022</t>
  </si>
  <si>
    <t>USED CAR TSMR, MODEL YEAR 2021, LHD
USED CAR MERCEDES-BENZ GLE350, MODEL YEAR 2020, LHD
USED CAR MERCEDES-BENZ GLB250, MODEL YEAR 2021, LHD</t>
  </si>
  <si>
    <t>1.TCLU6706688/8582740</t>
  </si>
  <si>
    <t>22081</t>
  </si>
  <si>
    <t>ONEYRICBXX607400</t>
  </si>
  <si>
    <t>1.NYKU4826411/1703407</t>
  </si>
  <si>
    <t>22082</t>
  </si>
  <si>
    <t>ONEYDXBC00771900</t>
  </si>
  <si>
    <t>BRIDGE V.0218N</t>
  </si>
  <si>
    <t>NEW TOYOTA HIACE HIGH ROOF AMBULANCE, MODEL YEAR 2022, LHD</t>
  </si>
  <si>
    <t>1.GCXU5248543/H0545020</t>
  </si>
  <si>
    <t>160322461</t>
  </si>
  <si>
    <t>K006-902102027</t>
  </si>
  <si>
    <t>0974121521</t>
  </si>
  <si>
    <t>USED CAR FORD F150, MODEL YEAR 2017, LHD
NEW CAR TOYOTA TUNDRA , MODEL YEAR 2022, LHD</t>
  </si>
  <si>
    <r>
      <rPr>
        <sz val="11"/>
        <color rgb="FFFF0000"/>
        <rFont val="Calibri"/>
        <family val="2"/>
        <scheme val="minor"/>
      </rPr>
      <t>1.CSNU8537871-40HQ</t>
    </r>
    <r>
      <rPr>
        <sz val="11"/>
        <color theme="1"/>
        <rFont val="Calibri"/>
        <family val="2"/>
        <scheme val="minor"/>
      </rPr>
      <t xml:space="preserve">
</t>
    </r>
    <r>
      <rPr>
        <sz val="11"/>
        <color rgb="FFFF0000"/>
        <rFont val="Calibri"/>
        <family val="2"/>
        <scheme val="minor"/>
      </rPr>
      <t>2.CSNU8541589-40HQ</t>
    </r>
  </si>
  <si>
    <r>
      <rPr>
        <sz val="11"/>
        <color rgb="FFFF0000"/>
        <rFont val="Calibri"/>
        <family val="2"/>
        <scheme val="minor"/>
      </rPr>
      <t>1.TGBU7774961-40'HQ</t>
    </r>
    <r>
      <rPr>
        <sz val="11"/>
        <color theme="1"/>
        <rFont val="Calibri"/>
        <family val="2"/>
        <scheme val="minor"/>
      </rPr>
      <t xml:space="preserve">
</t>
    </r>
    <r>
      <rPr>
        <sz val="11"/>
        <color rgb="FFFF0000"/>
        <rFont val="Calibri"/>
        <family val="2"/>
        <scheme val="minor"/>
      </rPr>
      <t>2.FSCU8887483-40'HQ</t>
    </r>
    <r>
      <rPr>
        <sz val="11"/>
        <color theme="1"/>
        <rFont val="Calibri"/>
        <family val="2"/>
        <scheme val="minor"/>
      </rPr>
      <t xml:space="preserve">
</t>
    </r>
    <r>
      <rPr>
        <sz val="11"/>
        <color rgb="FFFF0000"/>
        <rFont val="Calibri"/>
        <family val="2"/>
        <scheme val="minor"/>
      </rPr>
      <t>3.UETU5294698-40'HQ</t>
    </r>
    <r>
      <rPr>
        <sz val="11"/>
        <color theme="1"/>
        <rFont val="Calibri"/>
        <family val="2"/>
        <scheme val="minor"/>
      </rPr>
      <t xml:space="preserve">
</t>
    </r>
    <r>
      <rPr>
        <sz val="11"/>
        <color rgb="FFFF0000"/>
        <rFont val="Calibri"/>
        <family val="2"/>
        <scheme val="minor"/>
      </rPr>
      <t>4.WBPU7043360-40'HQ</t>
    </r>
  </si>
  <si>
    <r>
      <rPr>
        <sz val="11"/>
        <color rgb="FFFF0000"/>
        <rFont val="Calibri"/>
        <family val="2"/>
        <scheme val="minor"/>
      </rPr>
      <t>1.RFCU5004160-40'HQ</t>
    </r>
    <r>
      <rPr>
        <sz val="11"/>
        <color theme="1"/>
        <rFont val="Calibri"/>
        <family val="2"/>
        <scheme val="minor"/>
      </rPr>
      <t xml:space="preserve">
</t>
    </r>
    <r>
      <rPr>
        <sz val="11"/>
        <color rgb="FFFF0000"/>
        <rFont val="Calibri"/>
        <family val="2"/>
        <scheme val="minor"/>
      </rPr>
      <t>2.ZCSU6564630-40'HQ</t>
    </r>
    <r>
      <rPr>
        <sz val="11"/>
        <color theme="1"/>
        <rFont val="Calibri"/>
        <family val="2"/>
        <scheme val="minor"/>
      </rPr>
      <t xml:space="preserve">
</t>
    </r>
    <r>
      <rPr>
        <sz val="11"/>
        <color rgb="FFFF0000"/>
        <rFont val="Calibri"/>
        <family val="2"/>
        <scheme val="minor"/>
      </rPr>
      <t>3.ZCSU6729725-40'HQ</t>
    </r>
    <r>
      <rPr>
        <sz val="11"/>
        <color theme="1"/>
        <rFont val="Calibri"/>
        <family val="2"/>
        <scheme val="minor"/>
      </rPr>
      <t xml:space="preserve">
</t>
    </r>
    <r>
      <rPr>
        <sz val="11"/>
        <color rgb="FFFF0000"/>
        <rFont val="Calibri"/>
        <family val="2"/>
        <scheme val="minor"/>
      </rPr>
      <t>4.ZCSU7519195-40'HQ</t>
    </r>
    <r>
      <rPr>
        <sz val="11"/>
        <color theme="1"/>
        <rFont val="Calibri"/>
        <family val="2"/>
        <scheme val="minor"/>
      </rPr>
      <t xml:space="preserve">
</t>
    </r>
    <r>
      <rPr>
        <sz val="11"/>
        <color rgb="FFFF0000"/>
        <rFont val="Calibri"/>
        <family val="2"/>
        <scheme val="minor"/>
      </rPr>
      <t>5.ZCSU7946371-40'HQ</t>
    </r>
    <r>
      <rPr>
        <sz val="11"/>
        <color theme="1"/>
        <rFont val="Calibri"/>
        <family val="2"/>
        <scheme val="minor"/>
      </rPr>
      <t xml:space="preserve">
</t>
    </r>
    <r>
      <rPr>
        <sz val="11"/>
        <color rgb="FFFF0000"/>
        <rFont val="Calibri"/>
        <family val="2"/>
        <scheme val="minor"/>
      </rPr>
      <t>6.ZCSU7948517-40'HQ</t>
    </r>
    <r>
      <rPr>
        <sz val="11"/>
        <color theme="1"/>
        <rFont val="Calibri"/>
        <family val="2"/>
        <scheme val="minor"/>
      </rPr>
      <t xml:space="preserve">
</t>
    </r>
    <r>
      <rPr>
        <sz val="11"/>
        <color rgb="FFFF0000"/>
        <rFont val="Calibri"/>
        <family val="2"/>
        <scheme val="minor"/>
      </rPr>
      <t>7.ZCSU7964930-40'HQ</t>
    </r>
  </si>
  <si>
    <t>22083</t>
  </si>
  <si>
    <t>OMPLCHS220043</t>
  </si>
  <si>
    <t>006/2022</t>
  </si>
  <si>
    <t>PINNVAREE V.22031E</t>
  </si>
  <si>
    <t>01.03.2022</t>
  </si>
  <si>
    <t xml:space="preserve">PMLU9008711-40', TCKU9303523-40', OMPL9918195-40', OMPL9055698-40' </t>
  </si>
  <si>
    <t>114 ROLLS</t>
  </si>
  <si>
    <t>REC DATE:</t>
  </si>
  <si>
    <t>22084</t>
  </si>
  <si>
    <t>EGLV149200998374</t>
  </si>
  <si>
    <t>DF21PV-030KH004-1</t>
  </si>
  <si>
    <t>22085</t>
  </si>
  <si>
    <t>EGLV149200998332</t>
  </si>
  <si>
    <t>LQ/YK/220206</t>
  </si>
  <si>
    <t>NEW DONGFENG BRAND CAR FORTHING T5 EVO, 2022</t>
  </si>
  <si>
    <t>1.EITU1278258-40'H
2.EGHU9329807-40'H</t>
  </si>
  <si>
    <t>1.EMCU8813642-40'H
2.EMCU8813832-40'H
3.EMCU8813771-40'H
4.EMCU8780575-40'H
5.EMCU8775049-40'H</t>
  </si>
  <si>
    <t>E16409716</t>
  </si>
  <si>
    <t>L001-901804963</t>
  </si>
  <si>
    <t>078 890 777</t>
  </si>
  <si>
    <t>MAEU213801325</t>
  </si>
  <si>
    <t>22086</t>
  </si>
  <si>
    <t>024C509259</t>
  </si>
  <si>
    <t>SCO SHANGHAI V.S045</t>
  </si>
  <si>
    <t>07.03.2022</t>
  </si>
  <si>
    <t>FOODSTUFFS</t>
  </si>
  <si>
    <t>1.FBLU0200830/WHLJ557799</t>
  </si>
  <si>
    <t>2,550 PKGS</t>
  </si>
  <si>
    <t>220861</t>
  </si>
  <si>
    <t>NSASHVG066432</t>
  </si>
  <si>
    <t>SITC RIZHAO V.2206S</t>
  </si>
  <si>
    <t>05.03.2022</t>
  </si>
  <si>
    <t>4823 PACKAGES</t>
  </si>
  <si>
    <t>1.TFLU4874965/SITZ629575
2.BMOU6861559/SITZ629584</t>
  </si>
  <si>
    <t>22087</t>
  </si>
  <si>
    <t>024C509814</t>
  </si>
  <si>
    <t>WAN HAI 163 V.S388</t>
  </si>
  <si>
    <t>06.03.2022</t>
  </si>
  <si>
    <t>1.TRHU4922225/WHLP215081
2.WHSU5794379/WHLQ886302</t>
  </si>
  <si>
    <t>5,160 PKGS</t>
  </si>
  <si>
    <t>22088</t>
  </si>
  <si>
    <t>YMLUI232211086</t>
  </si>
  <si>
    <t>09.03.2022</t>
  </si>
  <si>
    <t>CERAMIC DISHES
CERAMIC PLATES</t>
  </si>
  <si>
    <t>1.BMOU5560885/ YMAK936687
2.BMOU5697754/ YMAK936651</t>
  </si>
  <si>
    <t>40HQ
40HQ</t>
  </si>
  <si>
    <t>2266 P'KGS</t>
  </si>
  <si>
    <t>22089</t>
  </si>
  <si>
    <t>SU8910030Q-22</t>
  </si>
  <si>
    <t>NEW CAR JAC T8 PICK UP</t>
  </si>
  <si>
    <t>1.MRSU5805278-40'D
2.MRSU5805154-40'D</t>
  </si>
  <si>
    <t>22090</t>
  </si>
  <si>
    <t>SHAWD067758</t>
  </si>
  <si>
    <t>E220781997180105</t>
  </si>
  <si>
    <t>1.TCNU5347111-40'HQ
2.TCNU6393256-40'HQ
3.ZCSU6544640-40'HQ
4.ZCSU7079753-40'HQ
5.ZCSU8490727-40'HQ</t>
  </si>
  <si>
    <t>22091</t>
  </si>
  <si>
    <t>E220781997180104</t>
  </si>
  <si>
    <t>SHAWD067826</t>
  </si>
  <si>
    <t>1.BMOU4511309-40'HQ
2.GAOU6106768-40'HQ
3.TCNU8390683-40'HQ
4.TLLU5314989-40'HQ
5.ZCSU6525830-40'HQ</t>
  </si>
  <si>
    <t>22092</t>
  </si>
  <si>
    <t>SHAWD067695</t>
  </si>
  <si>
    <t>E220781997180131</t>
  </si>
  <si>
    <t>NEW CAR MAXUS D60, MODEL YEAR 2022, LHD</t>
  </si>
  <si>
    <t>1.BMOU4050531-40'HQ
2.CAIU9228673-40'HQ
3.SEGU5809492-40'HQ
4.TEMU6522841-40'HQ
5.ZCSU7028859-40'HQ
6.ZCSU7039874-40'HQ
7.ZCSU7255718-40'HQ
8.ZCSU8700778-40'HQ
9.ZCSU8853524-40'HQ
10.ZCSU8860035-40'HQ</t>
  </si>
  <si>
    <t>OUT</t>
  </si>
  <si>
    <t>DATE</t>
  </si>
  <si>
    <t>BALANCE</t>
  </si>
  <si>
    <t>FOR</t>
  </si>
  <si>
    <t>INV</t>
  </si>
  <si>
    <t>2022-0189</t>
  </si>
  <si>
    <t>ADEPT</t>
  </si>
  <si>
    <t>DINA</t>
  </si>
  <si>
    <t>22093</t>
  </si>
  <si>
    <t>NSASHVG067111</t>
  </si>
  <si>
    <t>WISDOM GRACE V.2206S</t>
  </si>
  <si>
    <t>11.03.2022</t>
  </si>
  <si>
    <t>1.UETU5778624/SITZ620329
2.SEGU6676244/SITZ620321
3.TRHU5733890/SITZ620323</t>
  </si>
  <si>
    <t>4141 PACKAGE(S)</t>
  </si>
  <si>
    <t>220931</t>
  </si>
  <si>
    <t>SITINSV046996G</t>
  </si>
  <si>
    <t>SITC LIAONING V.2204S</t>
  </si>
  <si>
    <t>1.TCKU6673606/SITZ778454</t>
  </si>
  <si>
    <t>678 PACKAGE(S)</t>
  </si>
  <si>
    <t>22094</t>
  </si>
  <si>
    <t>UZ58008013780</t>
  </si>
  <si>
    <t>14.03.2022</t>
  </si>
  <si>
    <t>1.TEMU1697786/YMAK240431</t>
  </si>
  <si>
    <t>751 CTNS</t>
  </si>
  <si>
    <t>22095</t>
  </si>
  <si>
    <t>SHAWD067759</t>
  </si>
  <si>
    <t>E220781997180103</t>
  </si>
  <si>
    <t>NEW CAR MG GT,2022</t>
  </si>
  <si>
    <t xml:space="preserve">1.TLLU8137207-40'HQ </t>
  </si>
  <si>
    <t>22096</t>
  </si>
  <si>
    <t>024C510084</t>
  </si>
  <si>
    <t>CHATTANOOGA V.S039</t>
  </si>
  <si>
    <t>15.03.2022</t>
  </si>
  <si>
    <t>FOODSTUFFS AND MIXED CARGO</t>
  </si>
  <si>
    <t>1.WHSU6525836 /WHLP205985</t>
  </si>
  <si>
    <t>2257 PKGS</t>
  </si>
  <si>
    <t>40SD</t>
  </si>
  <si>
    <t>220961</t>
  </si>
  <si>
    <t>024C510998</t>
  </si>
  <si>
    <t>2.TCNU7749850/WHLQ897208
3.WHSU6491994/WHLP223142</t>
  </si>
  <si>
    <t xml:space="preserve">3621 PKGS </t>
  </si>
  <si>
    <t>40SD
40SD</t>
  </si>
  <si>
    <t>22097</t>
  </si>
  <si>
    <t>ONEYDXBC01594600</t>
  </si>
  <si>
    <t>BRIDGE V.0221N</t>
  </si>
  <si>
    <t>USED CAR TOYOTA LANDCRUISER, MODEL YEAR: 2022, LHD</t>
  </si>
  <si>
    <t>1.NYKU5137741/DPWJALI1350884</t>
  </si>
  <si>
    <t>WAFRAH</t>
  </si>
  <si>
    <t>22098</t>
  </si>
  <si>
    <t>COAU7236505880</t>
  </si>
  <si>
    <t>21-Y-EV67-004</t>
  </si>
  <si>
    <t>KUO LUNG V.185S</t>
  </si>
  <si>
    <t>18.02.2022</t>
  </si>
  <si>
    <t>13.03.2022</t>
  </si>
  <si>
    <t>NEW CAR DONGFENG FENGON GLORY 500, 2022</t>
  </si>
  <si>
    <t>1.TEMU6287953-40'HQ
2.CSNU8445271-40'HQ
3.TGHU6980975-40'HQ</t>
  </si>
  <si>
    <t>22099</t>
  </si>
  <si>
    <t>NSASHVG068018</t>
  </si>
  <si>
    <t>SITC INCHON V.2208S</t>
  </si>
  <si>
    <t>FOODSTUFFS AND MIX CARGO</t>
  </si>
  <si>
    <t>1.TRHU4126104/SITZ632754
2.SEGU6846660/SITF747477
3.BMOU6513810/SITZ630702
4.TRHU6750568/SITZ628653</t>
  </si>
  <si>
    <t>2689 PACKAGE(S)</t>
  </si>
  <si>
    <t>40HC
40HC
40HC
40HC</t>
  </si>
  <si>
    <t>220991</t>
  </si>
  <si>
    <t>NSASHVG068157</t>
  </si>
  <si>
    <t>5.SITU9155361/SITA081493</t>
  </si>
  <si>
    <t>809 PACKAGE(S)</t>
  </si>
  <si>
    <t>17.03.2022</t>
  </si>
  <si>
    <t>22100</t>
  </si>
  <si>
    <t>SHAWD067900</t>
  </si>
  <si>
    <t>E220781997180135</t>
  </si>
  <si>
    <t>NEW CAR MG ZS , MODEL YEAR 2022, LHD</t>
  </si>
  <si>
    <t>22101</t>
  </si>
  <si>
    <t>SHAWD067760</t>
  </si>
  <si>
    <t>E220781997180127</t>
  </si>
  <si>
    <t>1.JXLU7847656-40'HQ (PART OF)</t>
  </si>
  <si>
    <t>22102</t>
  </si>
  <si>
    <t>SHAWD067896</t>
  </si>
  <si>
    <t>E220781997180134</t>
  </si>
  <si>
    <t>22103</t>
  </si>
  <si>
    <t>SHAWD067897</t>
  </si>
  <si>
    <t>E220781997180130</t>
  </si>
  <si>
    <t>1.CAAU5423262-40'HQ
2.ZCSU6580101-40'HQ
3.ZCSU6581936-40'HQ
4.ZCSU6591045-40'HQ
5.ZCSU6649194-40'HQ
6.ZCSU6771031-40'HQ
7.ZCSU7218421-40'HQ
8.ZCSU7361073-40'HQ
9.ZCSU7896265-40'HQ</t>
  </si>
  <si>
    <t>22104</t>
  </si>
  <si>
    <t>SHAWD067902</t>
  </si>
  <si>
    <t>20395958ETC</t>
  </si>
  <si>
    <t>E220781997180129</t>
  </si>
  <si>
    <t>22106</t>
  </si>
  <si>
    <t>SHAWD067901</t>
  </si>
  <si>
    <t>20396007ETC</t>
  </si>
  <si>
    <t>E220781997180138</t>
  </si>
  <si>
    <t>22107</t>
  </si>
  <si>
    <t>SHAWD067898</t>
  </si>
  <si>
    <t>E220781997180126</t>
  </si>
  <si>
    <t>22105</t>
  </si>
  <si>
    <t>22108</t>
  </si>
  <si>
    <t>NSASHVG068199</t>
  </si>
  <si>
    <t>FOODSTUFF AND MIX CARGO</t>
  </si>
  <si>
    <t>1.SEGU4867658/SITZ629591</t>
  </si>
  <si>
    <t>2250 PACKAGE(S)</t>
  </si>
  <si>
    <t>221081</t>
  </si>
  <si>
    <t>NSASHVG068025</t>
  </si>
  <si>
    <t>2150 PACKAGE(S)</t>
  </si>
  <si>
    <t>22109</t>
  </si>
  <si>
    <t>NSASHVG067403D</t>
  </si>
  <si>
    <t>2.UETU5768858/SITZ628835</t>
  </si>
  <si>
    <t>1.TRHU8433670/SITK482222</t>
  </si>
  <si>
    <t>1980 PACKAGE(S)</t>
  </si>
  <si>
    <t>221091</t>
  </si>
  <si>
    <t>NSASHVG068345</t>
  </si>
  <si>
    <t>2.BMOU6861585/SITZ628652</t>
  </si>
  <si>
    <t>2130 PACKAGE(S)</t>
  </si>
  <si>
    <t>TONGLU</t>
  </si>
  <si>
    <t>1.TGBU9301253-40'HQ (PART OF)</t>
  </si>
  <si>
    <t>SHAWD067871</t>
  </si>
  <si>
    <t>E220781997180136</t>
  </si>
  <si>
    <t>NEW CAR 3 UNITS
1 UNIT MG ZS, MODEL YEAR 2022, LHD
1 UNIT MG ZS, MODEL YEAR 2021, LHD
1 UNIT MG RX8, MODEL YEAR 2021, LHD</t>
  </si>
  <si>
    <t>1.ZCSU7148746- 40'HQ (PART OF)</t>
  </si>
  <si>
    <t>1.JXLU7847656-40'HQ</t>
  </si>
  <si>
    <t>1.BMOU4582750-40'HQ
2.TGBU9301253-40'HQ
3.ZCSU6590671-40'HQ
4.ZCSU6667691-40'HQ
5.ZCSU8673780-40'HQ</t>
  </si>
  <si>
    <t>1.BMOU4582750-40'HQ (PART OF)
2.ZCSU7148746-40'HQ</t>
  </si>
  <si>
    <t>22110</t>
  </si>
  <si>
    <t>OMPLCHS220046</t>
  </si>
  <si>
    <t>007/2022</t>
  </si>
  <si>
    <t>PINNVAREE V.22034E</t>
  </si>
  <si>
    <t>OMPL9573568-40'HC</t>
  </si>
  <si>
    <t>2022-0224</t>
  </si>
  <si>
    <t>PHUOC LONG 10
V.156W</t>
  </si>
  <si>
    <t>22111</t>
  </si>
  <si>
    <t>024C511330</t>
  </si>
  <si>
    <t>WAN HAI 163 V.S389</t>
  </si>
  <si>
    <t>22.03.2022</t>
  </si>
  <si>
    <t>4,550 PKGS</t>
  </si>
  <si>
    <t>1.WHLU5626425/WHLP219246
2.WHSU5423233/WHLP219977</t>
  </si>
  <si>
    <t>221111</t>
  </si>
  <si>
    <t>024C511623</t>
  </si>
  <si>
    <t>3.WHSU5645570/WHLP221177</t>
  </si>
  <si>
    <t>2,100 PKGS</t>
  </si>
  <si>
    <t>221112</t>
  </si>
  <si>
    <t>EGLV157200043448</t>
  </si>
  <si>
    <t>EVER CANDID</t>
  </si>
  <si>
    <t>0202-024S</t>
  </si>
  <si>
    <t>4.EGHU9271222/EMCMJK7741</t>
  </si>
  <si>
    <t>2,750 PKGS</t>
  </si>
  <si>
    <t>PHUOC LONG 10 V.156/W</t>
  </si>
  <si>
    <t>1.TRHU1391249/ZZCTB828682</t>
  </si>
  <si>
    <t>22112</t>
  </si>
  <si>
    <t>SHAWD067952</t>
  </si>
  <si>
    <t>E220781997180140</t>
  </si>
  <si>
    <t>NEW CAR MG RX5, MODEL YEAR: 2022, LHD</t>
  </si>
  <si>
    <t>1.TCNU6209204-40'HQ
2.TEMU6625346-40'HQ</t>
  </si>
  <si>
    <t>22113</t>
  </si>
  <si>
    <t>SHAWD067953</t>
  </si>
  <si>
    <t>E220781997180139</t>
  </si>
  <si>
    <t>NEW CAR MG ZS, MODEL YEAR: 2021, LHD</t>
  </si>
  <si>
    <t>1.TCNU5645841-40'HQ
2.TGHU9103964-40'HQ</t>
  </si>
  <si>
    <t>22114</t>
  </si>
  <si>
    <t>SHAWD067954</t>
  </si>
  <si>
    <t>E220781997180142</t>
  </si>
  <si>
    <t>NEW CAR MG HS, MODEL YEAR: 2022, LHD</t>
  </si>
  <si>
    <t xml:space="preserve">1.CAIU8558958-40'HQ	
2.TCNU2300609-40'HQ	
3.ZCSU7089108-40'HQ	</t>
  </si>
  <si>
    <t>22115</t>
  </si>
  <si>
    <t>SHAWD067955</t>
  </si>
  <si>
    <t>E220781997180141</t>
  </si>
  <si>
    <t>NEW CAR MG HS, MODEL YEAR: 2021, LHD</t>
  </si>
  <si>
    <t>1.BMOU4018611-40'HQ
2.GAOU6041179-40'HQ
3.ZCSU7504718-40'HQ</t>
  </si>
  <si>
    <t>22116</t>
  </si>
  <si>
    <t>EGLV149201499053</t>
  </si>
  <si>
    <t>DF21PV-030KH004-2</t>
  </si>
  <si>
    <t>NEW DONGFENG BRAND CAR FORTHING T5 EVO, 2022, LHD</t>
  </si>
  <si>
    <t>22117</t>
  </si>
  <si>
    <t>024C511573</t>
  </si>
  <si>
    <t>BUILDING MATERIAL AND HOUSEHOLD ITEMS</t>
  </si>
  <si>
    <t>1.CAAU5036474/WHLQ900200
2.WHSU6144362/WHLP222117</t>
  </si>
  <si>
    <t>2 CTRS (867 PKGS)</t>
  </si>
  <si>
    <t>ZHONGHU</t>
  </si>
  <si>
    <t>22118</t>
  </si>
  <si>
    <t>SITSGSVG275982</t>
  </si>
  <si>
    <t>AUTOMOTIVE ASIA (CAMBODIA) LIMITED</t>
  </si>
  <si>
    <t>C001/22V</t>
  </si>
  <si>
    <t>2 UNITS, AUDI Q2 S LINE 35 TFSI,MODEL YEAR 2021, LHD
1 UNIT, AUDI Q2 S LINE 35 TFSI, MODEL YEAR 2022, LHD</t>
  </si>
  <si>
    <t>1.BEAU2914152-20'GP
2.TCNU5709036-40'HC</t>
  </si>
  <si>
    <t>ATMT</t>
  </si>
  <si>
    <t>010852466</t>
  </si>
  <si>
    <t>L001-107030985</t>
  </si>
  <si>
    <t>អាសយដ្ឋាន#15Z ផ្លូវព្រះមុនីវង្ស កែងផ្លូវ 422 សង្កាត់ទន្លេបាសាក់ ខណ្ឌចំការមន រាជធានីភ្នំពេញ
VAT: L001-107030985</t>
  </si>
  <si>
    <t>https://maps.app.goo.gl/WDK2AHt4NY2gJxNs8</t>
  </si>
  <si>
    <t>023 222 204</t>
  </si>
  <si>
    <t>22119</t>
  </si>
  <si>
    <t>024C511034</t>
  </si>
  <si>
    <t>23.03.2022</t>
  </si>
  <si>
    <t>1,737 PKGS</t>
  </si>
  <si>
    <t>221191</t>
  </si>
  <si>
    <t>NSASHVG069265</t>
  </si>
  <si>
    <t>SITC RIZHAO V.2208S</t>
  </si>
  <si>
    <t>27.03.2022</t>
  </si>
  <si>
    <t>2.SEGU6645304/SITZ628898</t>
  </si>
  <si>
    <t>2,362 PACKAGE(S)</t>
  </si>
  <si>
    <t>221192</t>
  </si>
  <si>
    <t>NSASHVG069268</t>
  </si>
  <si>
    <t>1.WHSU5936180/WHLP217200</t>
  </si>
  <si>
    <t>2,630 PACKAGE(S)</t>
  </si>
  <si>
    <t>3.SITU9094991/SITZ630780
4.TRHU6360277/SITZ630716</t>
  </si>
  <si>
    <t>2022-0289</t>
  </si>
  <si>
    <t>22120</t>
  </si>
  <si>
    <t>NSASHVG069842</t>
  </si>
  <si>
    <t>1,515 PACKAGE(S)</t>
  </si>
  <si>
    <t>NSASHVG068963</t>
  </si>
  <si>
    <t>221201</t>
  </si>
  <si>
    <t>3.UETU5310778/SITZ630782
4.TRHU6948717/SITF749264</t>
  </si>
  <si>
    <t>2911 PACKAGE(S)</t>
  </si>
  <si>
    <t>1.TCLU8530520/SITZ630860
2.GAOU6269908/SITZ630738</t>
  </si>
  <si>
    <t>22121</t>
  </si>
  <si>
    <t>NSASHVG068159A</t>
  </si>
  <si>
    <t>1.FBLU0178443/SITA081412</t>
  </si>
  <si>
    <t>701 PACKAGE(S)</t>
  </si>
  <si>
    <t>221211</t>
  </si>
  <si>
    <t>NSASHVG069211</t>
  </si>
  <si>
    <t>2.BMOU6486308/SITZ627174
3.UETU5662660/SITZ627177
4.CAAU6301037/SITZ627173</t>
  </si>
  <si>
    <t>3595 PACKAGE(S)</t>
  </si>
  <si>
    <t>40'HC
40'HC
40'HC
40'HC</t>
  </si>
  <si>
    <t>22122</t>
  </si>
  <si>
    <t>NSASHVG069798</t>
  </si>
  <si>
    <t>1.TFBU7049327/SITZ628618
2.SEGU4491792/SITZ630755</t>
  </si>
  <si>
    <t>3125 PACKAGE(S)</t>
  </si>
  <si>
    <t>221221</t>
  </si>
  <si>
    <t>NSASHVG068841</t>
  </si>
  <si>
    <t>3.BMOU6842395/SITZ628821</t>
  </si>
  <si>
    <t>830 PACKAGE(S)</t>
  </si>
  <si>
    <t>NSASHVG068840</t>
  </si>
  <si>
    <t>FURNITURE AND MIX CARGO</t>
  </si>
  <si>
    <t>4.SITU9040974/SITZ630870</t>
  </si>
  <si>
    <t>468 PACKAGE(S)</t>
  </si>
  <si>
    <t>221222</t>
  </si>
  <si>
    <t>22123</t>
  </si>
  <si>
    <t>SITINSV047680G</t>
  </si>
  <si>
    <t>024C512793</t>
  </si>
  <si>
    <t>CHATTANOOGA V.S040</t>
  </si>
  <si>
    <t>31.03.2022</t>
  </si>
  <si>
    <t>2,480 PKGS</t>
  </si>
  <si>
    <t>1.TCNU5739597/WHLQ902995
2.WHLU5823804/WHLQ902994</t>
  </si>
  <si>
    <t>221231</t>
  </si>
  <si>
    <t>SITC JIANGSU V.2206S</t>
  </si>
  <si>
    <t>29.03.2022</t>
  </si>
  <si>
    <t>3.TCNU3745040/SITZ783354</t>
  </si>
  <si>
    <t>869 PACKAGE(S)</t>
  </si>
  <si>
    <t>22124</t>
  </si>
  <si>
    <t>NSASHVG069897</t>
  </si>
  <si>
    <t>BUILDING MATERIALS AND SUPERAMARKET EQUIPMENT</t>
  </si>
  <si>
    <t>308 PACKAGE(S)</t>
  </si>
  <si>
    <t>1.FFAU1138018/SITZ626582
2.TRHU6348570/SITZ626583
3.TGBU7035848/SITZ626590</t>
  </si>
  <si>
    <t>221241</t>
  </si>
  <si>
    <t>NSASHVG068927</t>
  </si>
  <si>
    <t>BUILDING MATERIAL AND MIX CARGO</t>
  </si>
  <si>
    <t>4.SEGU6669543/SITZ632164
5.UETU5634890/SITZ627690</t>
  </si>
  <si>
    <t>1251 PACKAGE(S)</t>
  </si>
  <si>
    <r>
      <rPr>
        <sz val="11"/>
        <color rgb="FFFF0000"/>
        <rFont val="Calibri"/>
        <family val="2"/>
        <scheme val="minor"/>
      </rPr>
      <t>1.EITU1606742-40'H</t>
    </r>
    <r>
      <rPr>
        <sz val="11"/>
        <color theme="1"/>
        <rFont val="Calibri"/>
        <family val="2"/>
        <scheme val="minor"/>
      </rPr>
      <t xml:space="preserve">
</t>
    </r>
    <r>
      <rPr>
        <sz val="11"/>
        <color rgb="FFFF0000"/>
        <rFont val="Calibri"/>
        <family val="2"/>
        <scheme val="minor"/>
      </rPr>
      <t>2.DRYU9827498-40'H</t>
    </r>
    <r>
      <rPr>
        <sz val="11"/>
        <color theme="1"/>
        <rFont val="Calibri"/>
        <family val="2"/>
        <scheme val="minor"/>
      </rPr>
      <t xml:space="preserve">
</t>
    </r>
    <r>
      <rPr>
        <sz val="11"/>
        <color rgb="FFFF0000"/>
        <rFont val="Calibri"/>
        <family val="2"/>
        <scheme val="minor"/>
      </rPr>
      <t>3.FCIU9955855-40'H</t>
    </r>
    <r>
      <rPr>
        <sz val="11"/>
        <color theme="1"/>
        <rFont val="Calibri"/>
        <family val="2"/>
        <scheme val="minor"/>
      </rPr>
      <t xml:space="preserve">
</t>
    </r>
    <r>
      <rPr>
        <sz val="11"/>
        <color rgb="FFFF0000"/>
        <rFont val="Calibri"/>
        <family val="2"/>
        <scheme val="minor"/>
      </rPr>
      <t>4.EITU1144726-40'H</t>
    </r>
    <r>
      <rPr>
        <sz val="11"/>
        <color theme="1"/>
        <rFont val="Calibri"/>
        <family val="2"/>
        <scheme val="minor"/>
      </rPr>
      <t xml:space="preserve">
</t>
    </r>
    <r>
      <rPr>
        <sz val="11"/>
        <color rgb="FFFF0000"/>
        <rFont val="Calibri"/>
        <family val="2"/>
        <scheme val="minor"/>
      </rPr>
      <t>5.TLLU5843128-40'H</t>
    </r>
  </si>
  <si>
    <t>22125</t>
  </si>
  <si>
    <t>NSASHVG070466</t>
  </si>
  <si>
    <t>WISDOM GRACE V.2208S</t>
  </si>
  <si>
    <t>1.TCKU6695565/SITZ630930
2.FFAU1142419/SITZ630328</t>
  </si>
  <si>
    <t>2799 PACKAGE(S)</t>
  </si>
  <si>
    <t>221251</t>
  </si>
  <si>
    <t>NSASHVG068967A</t>
  </si>
  <si>
    <t>3.SITU9117211/SITK834715
4.TEMU6148310/SITZ630714</t>
  </si>
  <si>
    <t>2262 PACKAGE(S)</t>
  </si>
  <si>
    <t>22126</t>
  </si>
  <si>
    <t>COAU7883554930</t>
  </si>
  <si>
    <t>PLASTIC CUP
JUTE SACKS
PLASTIC LUNCH BOX</t>
  </si>
  <si>
    <t>1.OOLU9110161/SYA0297937
2.OOCU6918289/SYA0297934</t>
  </si>
  <si>
    <t>1,066 P'KGS</t>
  </si>
  <si>
    <t>22127</t>
  </si>
  <si>
    <t>SHAWD067914</t>
  </si>
  <si>
    <t>22128</t>
  </si>
  <si>
    <t>NSASHVG070371</t>
  </si>
  <si>
    <t>1.UETU5771466/SITZ632640
2.TRHU6667155/SITZ632631</t>
  </si>
  <si>
    <t>1496 PACKAGE(S)</t>
  </si>
  <si>
    <t>221281</t>
  </si>
  <si>
    <t>NAHCB22000920</t>
  </si>
  <si>
    <t>CHANA BHUM V.824S</t>
  </si>
  <si>
    <t>3.CAIU2689354/CNCAN2115377</t>
  </si>
  <si>
    <t>505 PACKAGE(S)</t>
  </si>
  <si>
    <t>OPPEIN</t>
  </si>
  <si>
    <t>221282</t>
  </si>
  <si>
    <t>NSASHVG070416</t>
  </si>
  <si>
    <t>4.TEMU8152068/SITZ634026</t>
  </si>
  <si>
    <t xml:space="preserve">1305 PACKAGE(S) </t>
  </si>
  <si>
    <t>22129</t>
  </si>
  <si>
    <t>OMPLCHS220067</t>
  </si>
  <si>
    <t>008/2022</t>
  </si>
  <si>
    <t>PINNVAREE V.22035E</t>
  </si>
  <si>
    <t>CARTON BOX, PLASTIC WRAPPER, KRAFT PAPER, SPARE PART</t>
  </si>
  <si>
    <t>22130</t>
  </si>
  <si>
    <t>NSASHVG070043</t>
  </si>
  <si>
    <t>1.SEGU5607110/SITZ630131</t>
  </si>
  <si>
    <t>1037 PACKAGE(S)</t>
  </si>
  <si>
    <t>221301</t>
  </si>
  <si>
    <t>NSASHVG070629</t>
  </si>
  <si>
    <t>2230 PACKAGE(S)</t>
  </si>
  <si>
    <t>2.TGBU6668820/SITZ630383</t>
  </si>
  <si>
    <t xml:space="preserve">MOUSTAFA MT (CAMBODIA) CO.,LTD </t>
  </si>
  <si>
    <t>22131</t>
  </si>
  <si>
    <t>NSASHVG070698</t>
  </si>
  <si>
    <t>1.CAAU6300088/SITA083940</t>
  </si>
  <si>
    <t>2180 PACKAGE(S)</t>
  </si>
  <si>
    <t>OMPL9516803-40'HC</t>
  </si>
  <si>
    <t>22132</t>
  </si>
  <si>
    <t>OOLU2694728500</t>
  </si>
  <si>
    <t>03.04.2022</t>
  </si>
  <si>
    <t>PLASTIC CUP, JUTE SACKS, PLASTIC LUNCH BOX</t>
  </si>
  <si>
    <t>1.CBHU9570135/OOLHHM6121</t>
  </si>
  <si>
    <t>513 P'KGS</t>
  </si>
  <si>
    <t>061815277</t>
  </si>
  <si>
    <t>NAL SRUN 62 IMPORT EXPORT CO.,LTD</t>
  </si>
  <si>
    <t>22133</t>
  </si>
  <si>
    <t>EGLV147200209136</t>
  </si>
  <si>
    <t>EVER COPE V.0203-042S</t>
  </si>
  <si>
    <t>06.04.2022</t>
  </si>
  <si>
    <t>1.TGBU6922597/EMCMJC5711</t>
  </si>
  <si>
    <t>552 PACKAGES</t>
  </si>
  <si>
    <t>221331</t>
  </si>
  <si>
    <t>EGLV147200209080</t>
  </si>
  <si>
    <t>221332</t>
  </si>
  <si>
    <t>2.FFAU1595056/EMCMJC4401</t>
  </si>
  <si>
    <t>05.04.2022</t>
  </si>
  <si>
    <t>ASIATIC SUN V.213S</t>
  </si>
  <si>
    <t>BUILDING MATERIALS AND KITCHEN EQUIPMENT</t>
  </si>
  <si>
    <t>3.SUDU8572207/ML-CN9922292</t>
  </si>
  <si>
    <t>69 PACKAGES</t>
  </si>
  <si>
    <t>40'DRY</t>
  </si>
  <si>
    <t>217307727</t>
  </si>
  <si>
    <t>22134</t>
  </si>
  <si>
    <t>NSASHVG070306</t>
  </si>
  <si>
    <t>NSASHVG069893</t>
  </si>
  <si>
    <t>CONSTRUCTION MATERIAL</t>
  </si>
  <si>
    <t>1.UETU5286178/SITZ632710</t>
  </si>
  <si>
    <t>802PACKAGE(S)</t>
  </si>
  <si>
    <t>NSASHVG070621</t>
  </si>
  <si>
    <t>1200 PACKAGE(S)</t>
  </si>
  <si>
    <t>22135</t>
  </si>
  <si>
    <t>221351</t>
  </si>
  <si>
    <t>2.TRHU5788390/SITZ630257</t>
  </si>
  <si>
    <t>2021FAW8124E02</t>
  </si>
  <si>
    <t>EA3791641</t>
  </si>
  <si>
    <t>K005-901906510</t>
  </si>
  <si>
    <t>D2022-0080961</t>
  </si>
  <si>
    <t>22136</t>
  </si>
  <si>
    <t>HDMUSHAZ36733000</t>
  </si>
  <si>
    <t>1.GCXU5026320/211825601</t>
  </si>
  <si>
    <t>555 P'KGS</t>
  </si>
  <si>
    <t>FAW</t>
  </si>
  <si>
    <t>22137</t>
  </si>
  <si>
    <t>024C515830</t>
  </si>
  <si>
    <t>WAN HAI 163 V.S390</t>
  </si>
  <si>
    <t>07.04.2022</t>
  </si>
  <si>
    <t>1.WHSU5117402/WHLP452447</t>
  </si>
  <si>
    <t>1,240 PKGS</t>
  </si>
  <si>
    <t>221371</t>
  </si>
  <si>
    <t>024C515383</t>
  </si>
  <si>
    <t>2.DFSU7830791/WHLP452404</t>
  </si>
  <si>
    <t>800 PKGS</t>
  </si>
  <si>
    <t>22138</t>
  </si>
  <si>
    <t>EGLV147200199432</t>
  </si>
  <si>
    <t>1.EITU1720591/EMCMJG2671</t>
  </si>
  <si>
    <t>1637 PACKAGES</t>
  </si>
  <si>
    <t>221381</t>
  </si>
  <si>
    <t>EGLV147200209110</t>
  </si>
  <si>
    <t>2.TXGU5645248/EMCMJC4421</t>
  </si>
  <si>
    <t>812 PACKAGES</t>
  </si>
  <si>
    <t>22139</t>
  </si>
  <si>
    <t>024C515580</t>
  </si>
  <si>
    <t>FOODSTUFF AND KITCHENWARE</t>
  </si>
  <si>
    <t>1.DFSU7662487/WHLP219376
2.DFSU7725651/WHLQ898460
3.WHSU6693357/WHLP214656</t>
  </si>
  <si>
    <t>2,354 PKGS</t>
  </si>
  <si>
    <t>221391</t>
  </si>
  <si>
    <t>024C515384</t>
  </si>
  <si>
    <t>4.BEAU4803800/WHLP452403</t>
  </si>
  <si>
    <t>943 PKGS</t>
  </si>
  <si>
    <t>221392</t>
  </si>
  <si>
    <t>024C515278</t>
  </si>
  <si>
    <t>BUILDING MATERIAL AND KITCHENWARE</t>
  </si>
  <si>
    <t>5.WHSU5337813/WHLP212884
6.WHSU6620772/WHLP216235</t>
  </si>
  <si>
    <t>671 PKGS</t>
  </si>
  <si>
    <t>22140</t>
  </si>
  <si>
    <t>MCC ANDALAS V.212S</t>
  </si>
  <si>
    <t>1.HASU4211625/ML-CN2342050</t>
  </si>
  <si>
    <t>719 PACKAGES</t>
  </si>
  <si>
    <t>221401</t>
  </si>
  <si>
    <t>2.TCLU9234029/ML-CN2336926</t>
  </si>
  <si>
    <t>2240 PACKAGE</t>
  </si>
  <si>
    <t>22141</t>
  </si>
  <si>
    <t>NSASHVG070305A</t>
  </si>
  <si>
    <t>SITC INCHON V.2210S</t>
  </si>
  <si>
    <t>08.04.2022</t>
  </si>
  <si>
    <t>1.TRHU4736914/SITZ631305</t>
  </si>
  <si>
    <t>1300PACKAGE(S)</t>
  </si>
  <si>
    <t>221411</t>
  </si>
  <si>
    <t>NSASHVG071579</t>
  </si>
  <si>
    <t>2.TEMU8148860/SITZ630379</t>
  </si>
  <si>
    <t>1900PACKAGE(S)</t>
  </si>
  <si>
    <t>221412</t>
  </si>
  <si>
    <t>NSASHVG071636</t>
  </si>
  <si>
    <t>3.BEAU6422700/SITN083949</t>
  </si>
  <si>
    <t>2090PACKAGE(S)</t>
  </si>
  <si>
    <t>22142</t>
  </si>
  <si>
    <t>SHAWD068080</t>
  </si>
  <si>
    <t>2 UNITS NEW CAR MG HS, MODEL YEAR 2021
6 UNITS NEW CAR MG HS, MODEL YEAR 2022</t>
  </si>
  <si>
    <t>22143</t>
  </si>
  <si>
    <t>SHAWD068079</t>
  </si>
  <si>
    <t>1 UNIT NEW CAR  MG HS, MODEL YEAR 2021
1 UNIT NEW CAR  MG HS, MODEL YEAR 2022</t>
  </si>
  <si>
    <t>20400574ETC</t>
  </si>
  <si>
    <t>22144</t>
  </si>
  <si>
    <t>20400570ETC</t>
  </si>
  <si>
    <t>SHAWD067981</t>
  </si>
  <si>
    <t>NEW CAR MG ZS, MODEL YEAR 2021</t>
  </si>
  <si>
    <t>22145</t>
  </si>
  <si>
    <t>SHAWD068125</t>
  </si>
  <si>
    <t>NEW CAR MG ZS, MODEL YEAR 2022</t>
  </si>
  <si>
    <t>22146</t>
  </si>
  <si>
    <t>NEW FAW TRUCK, 2022, LHD</t>
  </si>
  <si>
    <t>1.MRKU2241438-40'HC</t>
  </si>
  <si>
    <t>22147</t>
  </si>
  <si>
    <t>024C516869</t>
  </si>
  <si>
    <t>1.WHSU5403094/WHLQ887050</t>
  </si>
  <si>
    <t>1,840 PKGS</t>
  </si>
  <si>
    <t>221471</t>
  </si>
  <si>
    <t>024C515829</t>
  </si>
  <si>
    <t>2.WHLU5665782/WHLP452474</t>
  </si>
  <si>
    <t>22148</t>
  </si>
  <si>
    <t>024C515828</t>
  </si>
  <si>
    <t>1.WHLU5797006/WHLP452473</t>
  </si>
  <si>
    <t>632 PKGS</t>
  </si>
  <si>
    <t>024C515277</t>
  </si>
  <si>
    <t>221481</t>
  </si>
  <si>
    <t>2.WHSU5946492/WHLP218489
3.WHSU6675327/WHLP222197</t>
  </si>
  <si>
    <t>2,285 PKGS</t>
  </si>
  <si>
    <t>549 PKGS</t>
  </si>
  <si>
    <t>2021FAW8124E01</t>
  </si>
  <si>
    <t>22149</t>
  </si>
  <si>
    <t>COAU7237726970</t>
  </si>
  <si>
    <t>DF22PV-030KH001-2</t>
  </si>
  <si>
    <t>NEW CAR FORTHING T5 EVO, 2022</t>
  </si>
  <si>
    <t>22150</t>
  </si>
  <si>
    <t>157 - 7781 1274</t>
  </si>
  <si>
    <t>NEW CAR POSCHE CAYENNE TURBO, LHD, MODEL YEAR 2022</t>
  </si>
  <si>
    <t>EMONS</t>
  </si>
  <si>
    <t>22151</t>
  </si>
  <si>
    <t>157 - 7781 1311</t>
  </si>
  <si>
    <t>AIR01</t>
  </si>
  <si>
    <t>សាខាគយ និងរដ្ឋាករអាកាសយាន្ដដ្ឋានអន្តរជាតិភ្នំពេញ</t>
  </si>
  <si>
    <t>NEW CAR BMW M5 CS, LHD, MODEL YEAR 2022</t>
  </si>
  <si>
    <t>PHNOM PENH AIRPORT</t>
  </si>
  <si>
    <t>11.04.2022</t>
  </si>
  <si>
    <t>NILL</t>
  </si>
  <si>
    <t>22152</t>
  </si>
  <si>
    <t>NSASHVG072217</t>
  </si>
  <si>
    <t>09.04.2022</t>
  </si>
  <si>
    <t>1.TRHU8159868/SITA077559
2.UETU5882080/SITA077557</t>
  </si>
  <si>
    <t>221521</t>
  </si>
  <si>
    <t>NSASHVG072104</t>
  </si>
  <si>
    <t>3.BMOU6466385/SITA077621</t>
  </si>
  <si>
    <t>621 PACKAGE(S)</t>
  </si>
  <si>
    <t>221522</t>
  </si>
  <si>
    <t>NSASHVG072107</t>
  </si>
  <si>
    <t>4.TGBU7040680/SITZ632825</t>
  </si>
  <si>
    <t>688 PACKAGE(S)</t>
  </si>
  <si>
    <t>22153</t>
  </si>
  <si>
    <t>NSASHVG072255</t>
  </si>
  <si>
    <t>BUILDING MATERIALS AND KITCHENWARE</t>
  </si>
  <si>
    <t>1.SITU9147849/SITZ634012
2.TRHU5282821/SITZ626369</t>
  </si>
  <si>
    <t>1208 PACKAGE(S)</t>
  </si>
  <si>
    <t>221531</t>
  </si>
  <si>
    <t>NSASHVG071573</t>
  </si>
  <si>
    <t>3.FFAU4303374/SITF728604</t>
  </si>
  <si>
    <t>687 PACKAGE(S)</t>
  </si>
  <si>
    <t>221532</t>
  </si>
  <si>
    <t>NSASHVG072413</t>
  </si>
  <si>
    <t>BUILDING MATERIAL</t>
  </si>
  <si>
    <t>4.TCNU3675620/SITA081390</t>
  </si>
  <si>
    <t>750 PACKAGE(S)</t>
  </si>
  <si>
    <t>22154</t>
  </si>
  <si>
    <t>NSASHVG072123</t>
  </si>
  <si>
    <t>1.TCKU7235060/SITA077634
2.UETU5638427/SITA077812</t>
  </si>
  <si>
    <t>4340 PACKAGE(S)</t>
  </si>
  <si>
    <t>221541</t>
  </si>
  <si>
    <t>NSASHVG072222</t>
  </si>
  <si>
    <t>3.FBLU0185340/SITK478197</t>
  </si>
  <si>
    <t>1250 PACKAGE(S)</t>
  </si>
  <si>
    <t>22155</t>
  </si>
  <si>
    <t>024C515496</t>
  </si>
  <si>
    <t>CHATTANOOGA V.S041</t>
  </si>
  <si>
    <t>15.04.2022</t>
  </si>
  <si>
    <t>1.WHLU5821859/WHLP452457</t>
  </si>
  <si>
    <t>2,030 PKGS</t>
  </si>
  <si>
    <t>221551</t>
  </si>
  <si>
    <t>025C568640</t>
  </si>
  <si>
    <t>221552</t>
  </si>
  <si>
    <t>2.WHSU5424986/WHLM989601</t>
  </si>
  <si>
    <t>1413 PACKAGE(S)</t>
  </si>
  <si>
    <t>024C515943</t>
  </si>
  <si>
    <t>2,350 PKGS</t>
  </si>
  <si>
    <t>3.WHLU5600312/WHLP221533</t>
  </si>
  <si>
    <t>221553</t>
  </si>
  <si>
    <t>EGLV147200286572</t>
  </si>
  <si>
    <t>EVER CONCERT V.0206-008S</t>
  </si>
  <si>
    <t>16.04.2022</t>
  </si>
  <si>
    <t>4.TGBU8672347/EMCMJG5781</t>
  </si>
  <si>
    <t>22156</t>
  </si>
  <si>
    <t>COAU7237186950</t>
  </si>
  <si>
    <t>JMC TRUCK</t>
  </si>
  <si>
    <t>2022JL490-1</t>
  </si>
  <si>
    <t>22157</t>
  </si>
  <si>
    <t>221571</t>
  </si>
  <si>
    <t>22158</t>
  </si>
  <si>
    <t>CMZ0775322</t>
  </si>
  <si>
    <t>1.TLLU7977548/C3631844</t>
  </si>
  <si>
    <t>550 P'KGS</t>
  </si>
  <si>
    <t>22159</t>
  </si>
  <si>
    <t>22160</t>
  </si>
  <si>
    <t>024C515886</t>
  </si>
  <si>
    <t>1.WHLU5720529/WHLQ887137
2.WHSU5647070/WHLP218416</t>
  </si>
  <si>
    <t>4,387 PKGS</t>
  </si>
  <si>
    <t>221591</t>
  </si>
  <si>
    <t>EGLV149202759610</t>
  </si>
  <si>
    <t>EVER CANDID 0207-025S</t>
  </si>
  <si>
    <t>17.04.2022</t>
  </si>
  <si>
    <t>3.GCXU5321623/EMCMJH3571</t>
  </si>
  <si>
    <t>1900 PKGS</t>
  </si>
  <si>
    <t>024C515498</t>
  </si>
  <si>
    <t>825 PKGS</t>
  </si>
  <si>
    <t>024C515870</t>
  </si>
  <si>
    <t>1,000 PKGS</t>
  </si>
  <si>
    <t>024C518189</t>
  </si>
  <si>
    <t>3.WHSU6047969/WHLQ901124</t>
  </si>
  <si>
    <t>400 PKGS</t>
  </si>
  <si>
    <t>221601</t>
  </si>
  <si>
    <t>221602</t>
  </si>
  <si>
    <t>1.WHSU5949953/WHLP205143</t>
  </si>
  <si>
    <t>2.WHLU5773149/WHLP452460</t>
  </si>
  <si>
    <r>
      <rPr>
        <sz val="11"/>
        <color rgb="FFFF0000"/>
        <rFont val="Calibri"/>
        <family val="2"/>
        <scheme val="minor"/>
      </rPr>
      <t>1.BSIU9695570-40'HQ</t>
    </r>
    <r>
      <rPr>
        <sz val="11"/>
        <color theme="1"/>
        <rFont val="Calibri"/>
        <family val="2"/>
        <scheme val="minor"/>
      </rPr>
      <t xml:space="preserve">
</t>
    </r>
    <r>
      <rPr>
        <sz val="11"/>
        <color rgb="FFFF0000"/>
        <rFont val="Calibri"/>
        <family val="2"/>
        <scheme val="minor"/>
      </rPr>
      <t>2.TCNU2711750-40'HQ</t>
    </r>
    <r>
      <rPr>
        <sz val="11"/>
        <color theme="1"/>
        <rFont val="Calibri"/>
        <family val="2"/>
        <scheme val="minor"/>
      </rPr>
      <t xml:space="preserve">
</t>
    </r>
    <r>
      <rPr>
        <sz val="11"/>
        <color rgb="FFFF0000"/>
        <rFont val="Calibri"/>
        <family val="2"/>
        <scheme val="minor"/>
      </rPr>
      <t>3.TGBU7077118-40'HQ</t>
    </r>
    <r>
      <rPr>
        <sz val="11"/>
        <color theme="1"/>
        <rFont val="Calibri"/>
        <family val="2"/>
        <scheme val="minor"/>
      </rPr>
      <t xml:space="preserve">
</t>
    </r>
    <r>
      <rPr>
        <sz val="11"/>
        <color rgb="FFFF0000"/>
        <rFont val="Calibri"/>
        <family val="2"/>
        <scheme val="minor"/>
      </rPr>
      <t>4.TRHU6112922-40'HQ</t>
    </r>
    <r>
      <rPr>
        <sz val="11"/>
        <color theme="1"/>
        <rFont val="Calibri"/>
        <family val="2"/>
        <scheme val="minor"/>
      </rPr>
      <t xml:space="preserve">
</t>
    </r>
    <r>
      <rPr>
        <sz val="11"/>
        <color rgb="FFFF0000"/>
        <rFont val="Calibri"/>
        <family val="2"/>
        <scheme val="minor"/>
      </rPr>
      <t>5.ZCSU6593346-40'HQ</t>
    </r>
    <r>
      <rPr>
        <sz val="11"/>
        <color theme="1"/>
        <rFont val="Calibri"/>
        <family val="2"/>
        <scheme val="minor"/>
      </rPr>
      <t xml:space="preserve">
</t>
    </r>
    <r>
      <rPr>
        <sz val="11"/>
        <color rgb="FFFF0000"/>
        <rFont val="Calibri"/>
        <family val="2"/>
        <scheme val="minor"/>
      </rPr>
      <t>6.ZCSU7154292-40'HQ</t>
    </r>
    <r>
      <rPr>
        <sz val="11"/>
        <color theme="1"/>
        <rFont val="Calibri"/>
        <family val="2"/>
        <scheme val="minor"/>
      </rPr>
      <t xml:space="preserve">
</t>
    </r>
    <r>
      <rPr>
        <sz val="11"/>
        <color rgb="FFFF0000"/>
        <rFont val="Calibri"/>
        <family val="2"/>
        <scheme val="minor"/>
      </rPr>
      <t>7.ZCSU7193386-40'HQ</t>
    </r>
    <r>
      <rPr>
        <sz val="11"/>
        <color theme="1"/>
        <rFont val="Calibri"/>
        <family val="2"/>
        <scheme val="minor"/>
      </rPr>
      <t xml:space="preserve">
</t>
    </r>
    <r>
      <rPr>
        <sz val="11"/>
        <color rgb="FFFF0000"/>
        <rFont val="Calibri"/>
        <family val="2"/>
        <scheme val="minor"/>
      </rPr>
      <t>8.ZCSU7608991-40'HQ</t>
    </r>
    <r>
      <rPr>
        <sz val="11"/>
        <color theme="1"/>
        <rFont val="Calibri"/>
        <family val="2"/>
        <scheme val="minor"/>
      </rPr>
      <t xml:space="preserve">
</t>
    </r>
    <r>
      <rPr>
        <sz val="11"/>
        <color rgb="FFFF0000"/>
        <rFont val="Calibri"/>
        <family val="2"/>
        <scheme val="minor"/>
      </rPr>
      <t>9.ZCSU7616066-40'HQ</t>
    </r>
    <r>
      <rPr>
        <sz val="11"/>
        <color theme="1"/>
        <rFont val="Calibri"/>
        <family val="2"/>
        <scheme val="minor"/>
      </rPr>
      <t xml:space="preserve">
</t>
    </r>
    <r>
      <rPr>
        <sz val="11"/>
        <color rgb="FFFF0000"/>
        <rFont val="Calibri"/>
        <family val="2"/>
        <scheme val="minor"/>
      </rPr>
      <t>10.ZCSU7660011-40'HQ</t>
    </r>
  </si>
  <si>
    <r>
      <rPr>
        <sz val="11"/>
        <color rgb="FFFF0000"/>
        <rFont val="Calibri"/>
        <family val="2"/>
        <scheme val="minor"/>
      </rPr>
      <t>1.FSCU8214271-40'HQ</t>
    </r>
    <r>
      <rPr>
        <sz val="11"/>
        <color theme="1"/>
        <rFont val="Calibri"/>
        <family val="2"/>
        <scheme val="minor"/>
      </rPr>
      <t xml:space="preserve">
</t>
    </r>
    <r>
      <rPr>
        <sz val="11"/>
        <color rgb="FFFF0000"/>
        <rFont val="Calibri"/>
        <family val="2"/>
        <scheme val="minor"/>
      </rPr>
      <t>2.TCKU7357979-40'HQ
3.TCNU5481671-40'HQ</t>
    </r>
    <r>
      <rPr>
        <sz val="11"/>
        <color theme="1"/>
        <rFont val="Calibri"/>
        <family val="2"/>
        <scheme val="minor"/>
      </rPr>
      <t xml:space="preserve">
</t>
    </r>
    <r>
      <rPr>
        <sz val="11"/>
        <color rgb="FFFF0000"/>
        <rFont val="Calibri"/>
        <family val="2"/>
        <scheme val="minor"/>
      </rPr>
      <t>4.ZCSU6503086-40'HQ</t>
    </r>
    <r>
      <rPr>
        <sz val="11"/>
        <color theme="1"/>
        <rFont val="Calibri"/>
        <family val="2"/>
        <scheme val="minor"/>
      </rPr>
      <t xml:space="preserve">
</t>
    </r>
    <r>
      <rPr>
        <sz val="11"/>
        <color rgb="FFFF0000"/>
        <rFont val="Calibri"/>
        <family val="2"/>
        <scheme val="minor"/>
      </rPr>
      <t>5.ZCSU6732204-40'HQ</t>
    </r>
    <r>
      <rPr>
        <sz val="11"/>
        <color theme="1"/>
        <rFont val="Calibri"/>
        <family val="2"/>
        <scheme val="minor"/>
      </rPr>
      <t xml:space="preserve">
</t>
    </r>
    <r>
      <rPr>
        <sz val="11"/>
        <color rgb="FFFF0000"/>
        <rFont val="Calibri"/>
        <family val="2"/>
        <scheme val="minor"/>
      </rPr>
      <t>6.ZCSU7106231-40'HQ</t>
    </r>
    <r>
      <rPr>
        <sz val="11"/>
        <color theme="1"/>
        <rFont val="Calibri"/>
        <family val="2"/>
        <scheme val="minor"/>
      </rPr>
      <t xml:space="preserve">
</t>
    </r>
    <r>
      <rPr>
        <sz val="11"/>
        <color rgb="FFFF0000"/>
        <rFont val="Calibri"/>
        <family val="2"/>
        <scheme val="minor"/>
      </rPr>
      <t>7.ZCSU7502510-40'HQ</t>
    </r>
    <r>
      <rPr>
        <sz val="11"/>
        <color theme="1"/>
        <rFont val="Calibri"/>
        <family val="2"/>
        <scheme val="minor"/>
      </rPr>
      <t xml:space="preserve">
</t>
    </r>
    <r>
      <rPr>
        <sz val="11"/>
        <color rgb="FFFF0000"/>
        <rFont val="Calibri"/>
        <family val="2"/>
        <scheme val="minor"/>
      </rPr>
      <t>8.ZCSU7564907-40'HQ</t>
    </r>
    <r>
      <rPr>
        <sz val="11"/>
        <color theme="1"/>
        <rFont val="Calibri"/>
        <family val="2"/>
        <scheme val="minor"/>
      </rPr>
      <t xml:space="preserve">
</t>
    </r>
    <r>
      <rPr>
        <sz val="11"/>
        <color rgb="FFFF0000"/>
        <rFont val="Calibri"/>
        <family val="2"/>
        <scheme val="minor"/>
      </rPr>
      <t>9.ZCSU8674540-40'HQ</t>
    </r>
  </si>
  <si>
    <r>
      <rPr>
        <sz val="11"/>
        <color rgb="FFFF0000"/>
        <rFont val="Calibri"/>
        <family val="2"/>
        <scheme val="minor"/>
      </rPr>
      <t>1.ZCSU6805569-40'HQ</t>
    </r>
    <r>
      <rPr>
        <sz val="11"/>
        <color theme="1"/>
        <rFont val="Calibri"/>
        <family val="2"/>
        <scheme val="minor"/>
      </rPr>
      <t xml:space="preserve">
</t>
    </r>
    <r>
      <rPr>
        <sz val="11"/>
        <color rgb="FFFF0000"/>
        <rFont val="Calibri"/>
        <family val="2"/>
        <scheme val="minor"/>
      </rPr>
      <t>2.ZCSU7755400-40'HQ</t>
    </r>
    <r>
      <rPr>
        <sz val="11"/>
        <color theme="1"/>
        <rFont val="Calibri"/>
        <family val="2"/>
        <scheme val="minor"/>
      </rPr>
      <t xml:space="preserve">
</t>
    </r>
    <r>
      <rPr>
        <sz val="11"/>
        <color rgb="FFFF0000"/>
        <rFont val="Calibri"/>
        <family val="2"/>
        <scheme val="minor"/>
      </rPr>
      <t>3.ZCSU8638579-40'HQ</t>
    </r>
  </si>
  <si>
    <r>
      <rPr>
        <sz val="11"/>
        <color rgb="FFFF0000"/>
        <rFont val="Calibri"/>
        <family val="2"/>
        <scheme val="minor"/>
      </rPr>
      <t>1.ZCSU7753623-40'HQ</t>
    </r>
    <r>
      <rPr>
        <sz val="11"/>
        <color theme="1"/>
        <rFont val="Calibri"/>
        <family val="2"/>
        <scheme val="minor"/>
      </rPr>
      <t xml:space="preserve">
</t>
    </r>
    <r>
      <rPr>
        <sz val="11"/>
        <color rgb="FFFF0000"/>
        <rFont val="Calibri"/>
        <family val="2"/>
        <scheme val="minor"/>
      </rPr>
      <t>2.ZCSU8638579-40'HQ</t>
    </r>
  </si>
  <si>
    <t>NAHCB22001036</t>
  </si>
  <si>
    <t>LILA BHUM V.852S</t>
  </si>
  <si>
    <t>1.TGBU7933718/CNCAN2109599</t>
  </si>
  <si>
    <t>1860 PACKAGE(S)</t>
  </si>
  <si>
    <t>CANCB22006656</t>
  </si>
  <si>
    <t>2.TCNU8951721/CNCAN1811773</t>
  </si>
  <si>
    <t>E22MA117HB710155</t>
  </si>
  <si>
    <t>22161</t>
  </si>
  <si>
    <t>ONEYDXBC03712700</t>
  </si>
  <si>
    <t>BRIDGE V.0226N</t>
  </si>
  <si>
    <t>1.FDCU0486660/AE114998A</t>
  </si>
  <si>
    <t>22162</t>
  </si>
  <si>
    <t>ONEYDXBC03711600</t>
  </si>
  <si>
    <t>1.FDCU0359602/AE114993A</t>
  </si>
  <si>
    <t>22163</t>
  </si>
  <si>
    <t>TH207SH013</t>
  </si>
  <si>
    <t>SAY SREYMOM IMPORT &amp; EXPORT CO.,LTD</t>
  </si>
  <si>
    <t>21AO-M008KH-3</t>
  </si>
  <si>
    <t>NEW DUMP TRUCK DONGFENG DFH3250A, 2022</t>
  </si>
  <si>
    <t>SAY SREYMOM</t>
  </si>
  <si>
    <t>110597540</t>
  </si>
  <si>
    <t>K006-902106071</t>
  </si>
  <si>
    <t>K007-902002874</t>
  </si>
  <si>
    <t>011 303 425</t>
  </si>
  <si>
    <t>ភេទស្រី មានអត្តសញ្ញាណប័ណ្ណសញ្ជាតិខ្មែរលេខៈ 110597540 មានតួនាទី ប្រធានក្រុមហ៊ុន SAY SREYMOM IMPORT &amp; EXPORT CO.,LTD អត្តសញ្ញាណកម្មសារពើពន្ធ (VAT)លេខៈ K006-902106071</t>
  </si>
  <si>
    <t>អាសយដ្ឋាន#1A ផ្លូវ56D9 ភូមិម័ល សង្កាត់ដង្កោ ខណ្ឌដង្កោ រាជធានីភ្នំពេញ
VAT: K006-902106071</t>
  </si>
  <si>
    <t>22164</t>
  </si>
  <si>
    <t>GBPNH2204018</t>
  </si>
  <si>
    <t>20220407/VP-BJC-KH</t>
  </si>
  <si>
    <t>GLS 07 V.215N</t>
  </si>
  <si>
    <t>19.04.2022</t>
  </si>
  <si>
    <t>CBM/CIF</t>
  </si>
  <si>
    <t>165 ROLLS</t>
  </si>
  <si>
    <t>22165</t>
  </si>
  <si>
    <t>UMG2</t>
  </si>
  <si>
    <t>TH207SH015/016</t>
  </si>
  <si>
    <t>22SQZ0601064025C-1</t>
  </si>
  <si>
    <t>NEW DUMP TRUCK SHACMAN, 2022</t>
  </si>
  <si>
    <t>22166</t>
  </si>
  <si>
    <t>SITSKSVG294587</t>
  </si>
  <si>
    <t>1.LYGU4037649/SITA151477
2.TRHU8433480/SITA151463</t>
  </si>
  <si>
    <t>878 PACKAGE(S)</t>
  </si>
  <si>
    <t>221661</t>
  </si>
  <si>
    <t>NSASHVG072608</t>
  </si>
  <si>
    <t>SITC RIZHAO V.2210S</t>
  </si>
  <si>
    <t>221662</t>
  </si>
  <si>
    <t>SITINSV048434G</t>
  </si>
  <si>
    <t>SITC FUJIAN V.2206S</t>
  </si>
  <si>
    <t>18.04.2022</t>
  </si>
  <si>
    <t>3.TCNU4524383/SITA077760</t>
  </si>
  <si>
    <t>2140 PACKAGE(S)</t>
  </si>
  <si>
    <t>4.SITU9137389/SITZ781131</t>
  </si>
  <si>
    <t>985 PACKAGE (S)</t>
  </si>
  <si>
    <t>22167</t>
  </si>
  <si>
    <t>NSASHVG072971</t>
  </si>
  <si>
    <t>1.TGBU7075223/SITA077915</t>
  </si>
  <si>
    <t>1630 PACKAGE(S)</t>
  </si>
  <si>
    <t>221671</t>
  </si>
  <si>
    <t>NSASHVG073180</t>
  </si>
  <si>
    <t>2.TRHU4741422/SITA082981
3.TCKU7166648/SITA082905</t>
  </si>
  <si>
    <t>1300 PACKAGE(S)</t>
  </si>
  <si>
    <t>NSASHVG072600</t>
  </si>
  <si>
    <t>BUILDING MATERIALS AND MIX CARGO</t>
  </si>
  <si>
    <t>4.BMOU6474396/SITZ628988</t>
  </si>
  <si>
    <t>221672</t>
  </si>
  <si>
    <t>22168</t>
  </si>
  <si>
    <t>NSASHVG072649</t>
  </si>
  <si>
    <t>1.TGHU6960330/SITZ632879</t>
  </si>
  <si>
    <t>500 PACKAGE(S)</t>
  </si>
  <si>
    <t>221681</t>
  </si>
  <si>
    <t>NSASHVG072648</t>
  </si>
  <si>
    <t>2.TEMU7421687/SITZ630812</t>
  </si>
  <si>
    <t>221682</t>
  </si>
  <si>
    <t>NSASHVG072802</t>
  </si>
  <si>
    <t>3.TCNU3670399/SITA082986</t>
  </si>
  <si>
    <t>700 PACKAGE(S)</t>
  </si>
  <si>
    <t>22169</t>
  </si>
  <si>
    <t>MAERSK ATLANTIC V.215N</t>
  </si>
  <si>
    <t>-USED CAR FORD F150 RAPTOR , MODEL YEAR 2017, LHD
-NEW CAR JEEP GLADIATOR SPORT, MODEL YEAR 2021, LHD</t>
  </si>
  <si>
    <t>1.MRKU2962820/002179</t>
  </si>
  <si>
    <t>EXPORT</t>
  </si>
  <si>
    <t>22170</t>
  </si>
  <si>
    <t>SITGTXSV376732</t>
  </si>
  <si>
    <t>CARDIFF TRADER V.2206S</t>
  </si>
  <si>
    <t>21.04.2022</t>
  </si>
  <si>
    <t>1.BEAU6441865/SITZ585070
2.CAAU6318087/SITZ589746</t>
  </si>
  <si>
    <t>220 PKGS</t>
  </si>
  <si>
    <t>YIWU</t>
  </si>
  <si>
    <t>221701</t>
  </si>
  <si>
    <t>024C515792</t>
  </si>
  <si>
    <t>WAN HAI 163 V.N391</t>
  </si>
  <si>
    <t>3.WHSU5977106/WHLP452520</t>
  </si>
  <si>
    <t>1,340 PKGS</t>
  </si>
  <si>
    <t>221702</t>
  </si>
  <si>
    <t>024C518365</t>
  </si>
  <si>
    <t>4.WHSU5693012/WHLQ899933
5.WHSU6174074/WHLQ899931</t>
  </si>
  <si>
    <t>3,610 PKGS</t>
  </si>
  <si>
    <t>22171</t>
  </si>
  <si>
    <t>ZGNGB0160000467</t>
  </si>
  <si>
    <t>20.04.2022</t>
  </si>
  <si>
    <t>1.ZGXU6307924/ZG0158650</t>
  </si>
  <si>
    <t>545 P'KGS</t>
  </si>
  <si>
    <t>22172</t>
  </si>
  <si>
    <t>024C515791</t>
  </si>
  <si>
    <t>1.WHSU5989642/WHLP452480</t>
  </si>
  <si>
    <t>2,330 PKGS</t>
  </si>
  <si>
    <t>221721</t>
  </si>
  <si>
    <t>NSASHVG073949</t>
  </si>
  <si>
    <t>WISDOM GRACE V.2210S</t>
  </si>
  <si>
    <t>4350 PACKAGE(S)</t>
  </si>
  <si>
    <t>2.SITU9085562/SITA077824
3.TRHU6693489/SITA077890</t>
  </si>
  <si>
    <t>22173</t>
  </si>
  <si>
    <t>NSASHVG073961</t>
  </si>
  <si>
    <t>1.TCNU4520032/SITA078905</t>
  </si>
  <si>
    <t>2260 PACKAGE(S)</t>
  </si>
  <si>
    <t>221731</t>
  </si>
  <si>
    <t>NSASHVG073964</t>
  </si>
  <si>
    <t>2.CAAU6300452/SITA077911</t>
  </si>
  <si>
    <t>2110 PACKAGE(S)</t>
  </si>
  <si>
    <t>ភេទប្រុស ដែលមានលិខិតឆ្លងដែនលេខៈAC2134008 អគ្គនាយករងនៃក្រុមហ៊ុន BJC CELLOX(CAMBODIA) CO., LTD អត្តសញ្ញាណកម្មសារពើពន្ធ (VAT)លេខៈ L001-901639149 ទូរសព្ទ័លេខៈ 069 777 815  ទីតាំងនៅផ្លូវជាតិលេខ ១ គីឡូម៉ែតលេខ ៤៦ ភូមិ សំរោងក្អែរ  ឃុំ សំរោងធំ ស្រុកកៀនស្វាយ ខេត្តកណ្តាល ។</t>
  </si>
  <si>
    <t>22174</t>
  </si>
  <si>
    <t>SITSKSVG296074</t>
  </si>
  <si>
    <t>1.TCKU7156300/SITA182322</t>
  </si>
  <si>
    <t>563 PACKAGE(S)</t>
  </si>
  <si>
    <t>221741</t>
  </si>
  <si>
    <t>NSASHVG073951</t>
  </si>
  <si>
    <t>2.FFAU4185646/SITA077829
3.FFAU1136442/SITA077984
4.TEMU8150337/SITA077823</t>
  </si>
  <si>
    <t>6560 PACKAGE(S)</t>
  </si>
  <si>
    <t>221742</t>
  </si>
  <si>
    <t>024C519442</t>
  </si>
  <si>
    <t>5.BEAU4808709/WHLP449944</t>
  </si>
  <si>
    <t>753 PKGS</t>
  </si>
  <si>
    <t>22175</t>
  </si>
  <si>
    <t>COAU7883640380</t>
  </si>
  <si>
    <t>23.04.2022</t>
  </si>
  <si>
    <t>1.OOCU7442330/CR066119</t>
  </si>
  <si>
    <t>512 P'KGS</t>
  </si>
  <si>
    <t>221751</t>
  </si>
  <si>
    <t>CNMC10922004</t>
  </si>
  <si>
    <t>BUILDING MATERIALS</t>
  </si>
  <si>
    <t>2.HSDU9918022/LSO095</t>
  </si>
  <si>
    <t>FEEDS UP CO., LTD</t>
  </si>
  <si>
    <r>
      <rPr>
        <sz val="11"/>
        <color rgb="FFFF0000"/>
        <rFont val="Calibri"/>
        <family val="2"/>
        <scheme val="minor"/>
      </rPr>
      <t>1.CAAU6137129-40'HQ</t>
    </r>
    <r>
      <rPr>
        <sz val="11"/>
        <color theme="1"/>
        <rFont val="Calibri"/>
        <family val="2"/>
        <scheme val="minor"/>
      </rPr>
      <t xml:space="preserve">
</t>
    </r>
    <r>
      <rPr>
        <sz val="11"/>
        <color rgb="FFFF0000"/>
        <rFont val="Calibri"/>
        <family val="2"/>
        <scheme val="minor"/>
      </rPr>
      <t>2.TGBU8706468-40'HQ</t>
    </r>
    <r>
      <rPr>
        <sz val="11"/>
        <color theme="1"/>
        <rFont val="Calibri"/>
        <family val="2"/>
        <scheme val="minor"/>
      </rPr>
      <t xml:space="preserve">
</t>
    </r>
    <r>
      <rPr>
        <sz val="11"/>
        <color rgb="FFFF0000"/>
        <rFont val="Calibri"/>
        <family val="2"/>
        <scheme val="minor"/>
      </rPr>
      <t>3.OOCU7280769-40'HQ</t>
    </r>
    <r>
      <rPr>
        <sz val="11"/>
        <color theme="1"/>
        <rFont val="Calibri"/>
        <family val="2"/>
        <scheme val="minor"/>
      </rPr>
      <t xml:space="preserve">
</t>
    </r>
    <r>
      <rPr>
        <sz val="11"/>
        <color rgb="FFFF0000"/>
        <rFont val="Calibri"/>
        <family val="2"/>
        <scheme val="minor"/>
      </rPr>
      <t>4.CSNU7634500-40'HQ
5.OOCU8151220-40'HQ</t>
    </r>
    <r>
      <rPr>
        <sz val="11"/>
        <color theme="1"/>
        <rFont val="Calibri"/>
        <family val="2"/>
        <scheme val="minor"/>
      </rPr>
      <t xml:space="preserve">
</t>
    </r>
    <r>
      <rPr>
        <sz val="11"/>
        <color rgb="FFFF0000"/>
        <rFont val="Calibri"/>
        <family val="2"/>
        <scheme val="minor"/>
      </rPr>
      <t>6.CBHU8176718-40'HQ</t>
    </r>
    <r>
      <rPr>
        <sz val="11"/>
        <color theme="1"/>
        <rFont val="Calibri"/>
        <family val="2"/>
        <scheme val="minor"/>
      </rPr>
      <t xml:space="preserve">
</t>
    </r>
    <r>
      <rPr>
        <sz val="11"/>
        <color rgb="FFFF0000"/>
        <rFont val="Calibri"/>
        <family val="2"/>
        <scheme val="minor"/>
      </rPr>
      <t>7.TGHU6570543-40'HQ</t>
    </r>
    <r>
      <rPr>
        <sz val="11"/>
        <color theme="1"/>
        <rFont val="Calibri"/>
        <family val="2"/>
        <scheme val="minor"/>
      </rPr>
      <t xml:space="preserve">
</t>
    </r>
    <r>
      <rPr>
        <sz val="11"/>
        <color rgb="FFFF0000"/>
        <rFont val="Calibri"/>
        <family val="2"/>
        <scheme val="minor"/>
      </rPr>
      <t>8.CSNU6635776-40'HQ</t>
    </r>
  </si>
  <si>
    <t>22176</t>
  </si>
  <si>
    <t>SITSKSVG295848</t>
  </si>
  <si>
    <t>1.TEMU8159756/SITF343094
2.FFAU1316001/SITF343070</t>
  </si>
  <si>
    <t>3540 PACKAGE(S)</t>
  </si>
  <si>
    <t>221761</t>
  </si>
  <si>
    <t>CANCB22007438</t>
  </si>
  <si>
    <t>CHANA BHUM V.825S</t>
  </si>
  <si>
    <t>3.SEGU4733561/CNCAN1824265</t>
  </si>
  <si>
    <t>1610 PACKAGE(S)</t>
  </si>
  <si>
    <t>22177</t>
  </si>
  <si>
    <t>NSASHVG074357</t>
  </si>
  <si>
    <t>22.04.2022</t>
  </si>
  <si>
    <t>1.SITU9132983/SITZ629528</t>
  </si>
  <si>
    <t>970 PACKAGE(S)</t>
  </si>
  <si>
    <t>221771</t>
  </si>
  <si>
    <t>024C520861</t>
  </si>
  <si>
    <t>2.WHSU5256347/WHLQ900302</t>
  </si>
  <si>
    <t>500 PKGS</t>
  </si>
  <si>
    <t>024C515793</t>
  </si>
  <si>
    <t>221772</t>
  </si>
  <si>
    <t>3.WHSU5332241/WHLP452519</t>
  </si>
  <si>
    <t>764 PKGS</t>
  </si>
  <si>
    <t>221773</t>
  </si>
  <si>
    <t>024C518310</t>
  </si>
  <si>
    <t>4.TCKU7529656/WHLP185049</t>
  </si>
  <si>
    <t>22178</t>
  </si>
  <si>
    <t>NSASHVG074764</t>
  </si>
  <si>
    <t>1.DFSU7637756/SITA077429</t>
  </si>
  <si>
    <t>221781</t>
  </si>
  <si>
    <t>SITSKSVG299197</t>
  </si>
  <si>
    <t>221782</t>
  </si>
  <si>
    <t>NAHCB22001190</t>
  </si>
  <si>
    <t>5.REGU5080331/CNCAN2115466</t>
  </si>
  <si>
    <t>2.TRHU4127158/SITA167150
3.TRHU8400105/SITA167156
4.SITU9109638/SITA171449</t>
  </si>
  <si>
    <t>712210285879</t>
  </si>
  <si>
    <t>22179</t>
  </si>
  <si>
    <t>22180</t>
  </si>
  <si>
    <t>221801</t>
  </si>
  <si>
    <t>221802</t>
  </si>
  <si>
    <t>221803</t>
  </si>
  <si>
    <t>1.WBPU7088620 /TSP1007563</t>
  </si>
  <si>
    <t>514 P'KGS</t>
  </si>
  <si>
    <t>164C501400</t>
  </si>
  <si>
    <t>1.CAIU9389050/WHLS815212</t>
  </si>
  <si>
    <t>1,590 PACKAGE(S)</t>
  </si>
  <si>
    <t>ASIATIC QUEST V.215S</t>
  </si>
  <si>
    <t>2.CAAU6448901/ML-CN2325603</t>
  </si>
  <si>
    <t>995 PACKAGES</t>
  </si>
  <si>
    <t>NSASHVG073959</t>
  </si>
  <si>
    <t>3.TCKU7113972/SITA077893</t>
  </si>
  <si>
    <t>2190 PACKAGE(S)</t>
  </si>
  <si>
    <t>SITSKSVG295862</t>
  </si>
  <si>
    <t>4.SEGU4784213/SITA148006</t>
  </si>
  <si>
    <t>1900 CARTON(S)</t>
  </si>
  <si>
    <t>22181</t>
  </si>
  <si>
    <t>26.04.2022</t>
  </si>
  <si>
    <t>1.ZCSU8610951/A4220258532</t>
  </si>
  <si>
    <t>511 P'KGS</t>
  </si>
  <si>
    <t>22182</t>
  </si>
  <si>
    <t>1.MRKU2123944/ML-CN2283982</t>
  </si>
  <si>
    <t>750 PACKAGES</t>
  </si>
  <si>
    <t>22183</t>
  </si>
  <si>
    <t>22184</t>
  </si>
  <si>
    <t>SHAWD068213</t>
  </si>
  <si>
    <t>MAXUS T60, 2022</t>
  </si>
  <si>
    <t>22185</t>
  </si>
  <si>
    <t>SHAWD068214</t>
  </si>
  <si>
    <t>MAXUS D60, 2022</t>
  </si>
  <si>
    <t>1.TCNU2312045-40'HQ</t>
  </si>
  <si>
    <t>22186</t>
  </si>
  <si>
    <t>SHAWD068117</t>
  </si>
  <si>
    <t>GOSUGZH0233159</t>
  </si>
  <si>
    <t>22187</t>
  </si>
  <si>
    <t>SITINSV048590G</t>
  </si>
  <si>
    <t>USED HOUSEHOLD GOODS</t>
  </si>
  <si>
    <t>1.SEGU5603562/SITA349800</t>
  </si>
  <si>
    <t>541 PACKAGE (S)</t>
  </si>
  <si>
    <t>S.J HOLDINGS</t>
  </si>
  <si>
    <t>AGRIMILE TRADING CO.,LTD</t>
  </si>
  <si>
    <t>CHHOEM SAMBOK</t>
  </si>
  <si>
    <t>030587652</t>
  </si>
  <si>
    <t>K008-902103926</t>
  </si>
  <si>
    <t>017 537 443</t>
  </si>
  <si>
    <t>ភេទស្រី មានអត្តសញ្ញាណប័ណ្ណសញ្ជាតិខ្មែរលេខៈ 030587652 មានតួនាទី ប្រធានក្រុមហ៊ុន AGRIMILE TRADING CO.,LTD អត្តសញ្ញាណកម្មសារពើពន្ធ (VAT)លេខៈ K008-902103926</t>
  </si>
  <si>
    <t>SITC MACAO V.2206S</t>
  </si>
  <si>
    <t>OMPLCHS220091</t>
  </si>
  <si>
    <t>010/2022</t>
  </si>
  <si>
    <t>TCKU9183217-40'HC</t>
  </si>
  <si>
    <t>1.TGBU7182176-40'HQ
2.ZCSU6584447-40'HQ
3.ZCSU7194947-40'HQ</t>
  </si>
  <si>
    <t>E22328222416S263</t>
  </si>
  <si>
    <t>E22328222416S258</t>
  </si>
  <si>
    <t>E22328222416S257</t>
  </si>
  <si>
    <t>E22328222416S256</t>
  </si>
  <si>
    <t>22188</t>
  </si>
  <si>
    <t>SZXCB22011966</t>
  </si>
  <si>
    <t>KITI BHUM V.984S</t>
  </si>
  <si>
    <t>28.04.2022</t>
  </si>
  <si>
    <t>1.TGBU7933554/CNSHK2118605</t>
  </si>
  <si>
    <t>2285 PACKAGE (S)</t>
  </si>
  <si>
    <t>221881</t>
  </si>
  <si>
    <t>SZXCB22011965</t>
  </si>
  <si>
    <t>2.GESU5720306/CNSHK2118601</t>
  </si>
  <si>
    <t>2290 PACKAGE (S)</t>
  </si>
  <si>
    <t>221882</t>
  </si>
  <si>
    <t>SITINSV048965G</t>
  </si>
  <si>
    <t>SITC GUANGDONG V.2208S</t>
  </si>
  <si>
    <t>30.04.2022</t>
  </si>
  <si>
    <t>3.SITU9058211/SITA351283</t>
  </si>
  <si>
    <t>656 PACKAGE ( S )</t>
  </si>
  <si>
    <t>22189</t>
  </si>
  <si>
    <t>COAU7883636570</t>
  </si>
  <si>
    <t>29.04.2022</t>
  </si>
  <si>
    <t>1.CCLU7379602/20631792</t>
  </si>
  <si>
    <t>494 P'KGS</t>
  </si>
  <si>
    <t>22190</t>
  </si>
  <si>
    <t>025C575538</t>
  </si>
  <si>
    <t>CHATTANOOGA V.S042</t>
  </si>
  <si>
    <t>02.05.2022</t>
  </si>
  <si>
    <t>1.TCLU5618480/WHLS820973</t>
  </si>
  <si>
    <t>221901</t>
  </si>
  <si>
    <t>029C509068</t>
  </si>
  <si>
    <t>2.WHLU5729001/WHLP184619</t>
  </si>
  <si>
    <t>750 PKGS</t>
  </si>
  <si>
    <t>221902</t>
  </si>
  <si>
    <t>024C521025</t>
  </si>
  <si>
    <t>3.DFSU7620291/WHLQ878614</t>
  </si>
  <si>
    <t>22191</t>
  </si>
  <si>
    <t>029C509496</t>
  </si>
  <si>
    <t>1.WHSU5097076/WHLQ903233</t>
  </si>
  <si>
    <t>2490 PKGS</t>
  </si>
  <si>
    <t>221911</t>
  </si>
  <si>
    <t>025C578532</t>
  </si>
  <si>
    <t>2.DFSU7728120/WHLS815220</t>
  </si>
  <si>
    <t>2,260 PACKAGE(S)</t>
  </si>
  <si>
    <t>221912</t>
  </si>
  <si>
    <t>JPTSIH22030001</t>
  </si>
  <si>
    <t>WAN HAI V.506</t>
  </si>
  <si>
    <t>3.WHSU6190136/WHLS374900</t>
  </si>
  <si>
    <t>990 PACKAGES</t>
  </si>
  <si>
    <t>KOUUN SYOJI</t>
  </si>
  <si>
    <t>22192</t>
  </si>
  <si>
    <t>NSASHVG075157</t>
  </si>
  <si>
    <t>SITC INCHON V.2212S</t>
  </si>
  <si>
    <t>01.05.2022</t>
  </si>
  <si>
    <t>1.UETU5710624/SITA067657</t>
  </si>
  <si>
    <t>2060 PACKAGE(S)</t>
  </si>
  <si>
    <t>221921</t>
  </si>
  <si>
    <t>NSASHVG075151</t>
  </si>
  <si>
    <t>2.TGBU7055103/SITA079087</t>
  </si>
  <si>
    <t>2080PACKAGE(S)</t>
  </si>
  <si>
    <t>221922</t>
  </si>
  <si>
    <t>MAERSK NUSSFJORD V.214S</t>
  </si>
  <si>
    <t>3.TRHU5614633/ML-CN9745484</t>
  </si>
  <si>
    <t>2260 package</t>
  </si>
  <si>
    <t>221923</t>
  </si>
  <si>
    <t>SITSKSVG302351</t>
  </si>
  <si>
    <t>4.FFAU1328018/SITA147955</t>
  </si>
  <si>
    <t>1510 PACKAGE(S)</t>
  </si>
  <si>
    <t>22193</t>
  </si>
  <si>
    <t>NSASHVG075146</t>
  </si>
  <si>
    <t>4130 PACKAGE(S)</t>
  </si>
  <si>
    <t>1.TCNU6354331/SITA079081
2.FFAU1653595/SITA079089</t>
  </si>
  <si>
    <t>221931</t>
  </si>
  <si>
    <t>NSASHVG075152</t>
  </si>
  <si>
    <t>4150 PACKAGE(S)</t>
  </si>
  <si>
    <t>3.TCKU7236452/SITA078921
4.TRHU6748513/SITA067672</t>
  </si>
  <si>
    <t>217629960</t>
  </si>
  <si>
    <t>22194</t>
  </si>
  <si>
    <t>NSASHVG075449</t>
  </si>
  <si>
    <t>750PACKAGE(S)</t>
  </si>
  <si>
    <t>221941</t>
  </si>
  <si>
    <t>SITSKSVG302579</t>
  </si>
  <si>
    <t>2.SEGU6687249/SITA163325</t>
  </si>
  <si>
    <t>221942</t>
  </si>
  <si>
    <t>NSASHVG075910</t>
  </si>
  <si>
    <t>3.SITU9027503/SITA077455</t>
  </si>
  <si>
    <t>221943</t>
  </si>
  <si>
    <t>NSASHVG075195</t>
  </si>
  <si>
    <t>4.UETU5875901/SITA067659</t>
  </si>
  <si>
    <t>1.BMOU6843339/SITA077813</t>
  </si>
  <si>
    <t>500PACKAGE(S)</t>
  </si>
  <si>
    <t>BUILDING MATERIALS​​ AND KITCHENWARE</t>
  </si>
  <si>
    <t>22195</t>
  </si>
  <si>
    <t>SITSKSVG302223</t>
  </si>
  <si>
    <t>1.TCNU1959715/SITA163801</t>
  </si>
  <si>
    <t>1590 PACKAGE(S)</t>
  </si>
  <si>
    <t>221951</t>
  </si>
  <si>
    <t>025C586242</t>
  </si>
  <si>
    <t>2.WHLU5697537/WHLS820333</t>
  </si>
  <si>
    <t>2,175 PACKAGE(S)</t>
  </si>
  <si>
    <t>NSASHVG075293</t>
  </si>
  <si>
    <t>221952</t>
  </si>
  <si>
    <t>3.UETU5292910/SITZ631258</t>
  </si>
  <si>
    <t>980 PACKAGE(S)</t>
  </si>
  <si>
    <t>22196</t>
  </si>
  <si>
    <t>ONEYBH1RA0615300</t>
  </si>
  <si>
    <t>BRIDGE V.0224N</t>
  </si>
  <si>
    <t>02.04.2022</t>
  </si>
  <si>
    <t>NEW CAR TOYOTA HIACE, MODEL YEAR 2022, LHD</t>
  </si>
  <si>
    <t>1.TCNU5077818/BH002522A</t>
  </si>
  <si>
    <t>CAO SHANG</t>
  </si>
  <si>
    <t>ភេទស្រី ដែលមានលិខិតឆ្លងដែនលេខៈ EFI654952 មានតួនាទី ប្រធានក្រុមហ៊ុន L U SEA TRADING SERVICE CO., LTD អត្តសញ្ញាណកម្មសារពើពន្ធ (VAT)លេខៈ K009-901905395</t>
  </si>
  <si>
    <t>L U SEA TRADING SERVICE CO., LTD</t>
  </si>
  <si>
    <t>ផ្លូវជាតិលេខ៥ ភូមិដួង សង្កាត់ព្រែកព្នៅ ខណ្ឌរាជធានី ភ្នំពេញ
VAT : K009-901905395</t>
  </si>
  <si>
    <t>22197</t>
  </si>
  <si>
    <t>ONEYDXBC04249600</t>
  </si>
  <si>
    <t>BRIDGE V.0228N</t>
  </si>
  <si>
    <t>USED CAR TOYATA LAND CRUISER VXR, MODEL YEAR 2022, LHD</t>
  </si>
  <si>
    <t>1.TRHU7011388/AE114991A</t>
  </si>
  <si>
    <t>22198</t>
  </si>
  <si>
    <t>024C521867</t>
  </si>
  <si>
    <t>WAN HAI 163 V.S392</t>
  </si>
  <si>
    <t>04.05.2022</t>
  </si>
  <si>
    <t>1.WHSU6307808/WHLP449926</t>
  </si>
  <si>
    <t>2,335 PKGS</t>
  </si>
  <si>
    <t>221981</t>
  </si>
  <si>
    <t>030C510764</t>
  </si>
  <si>
    <t>2.WHLU5592027/WHLR103248</t>
  </si>
  <si>
    <t>221982</t>
  </si>
  <si>
    <t>030C510936</t>
  </si>
  <si>
    <t>3.WHSU6773323/WHLM989745</t>
  </si>
  <si>
    <t>2,210 PACKAGE(S)</t>
  </si>
  <si>
    <t>1,960 PACKAGE(S)</t>
  </si>
  <si>
    <t>TOP SMART</t>
  </si>
  <si>
    <t>22199</t>
  </si>
  <si>
    <t>030C510763</t>
  </si>
  <si>
    <t>1.WHSU5910993/WHLS847928</t>
  </si>
  <si>
    <t>1,860 PACKAGE(S)</t>
  </si>
  <si>
    <t>221991</t>
  </si>
  <si>
    <t>030C510762</t>
  </si>
  <si>
    <t>2.WHSU6332987/WHLR115308</t>
  </si>
  <si>
    <t>2,350 PACKAGE(S)</t>
  </si>
  <si>
    <t>22200</t>
  </si>
  <si>
    <t>024C523118</t>
  </si>
  <si>
    <t>1.WHSU5209520/WHLQ880632</t>
  </si>
  <si>
    <t>222001</t>
  </si>
  <si>
    <t>024C522604</t>
  </si>
  <si>
    <t>2.WHSU6407480/WHLQ900642</t>
  </si>
  <si>
    <t>22201</t>
  </si>
  <si>
    <t>COAU7238104939</t>
  </si>
  <si>
    <t>1.TEMU6003851/CR066112
2.BSIU9598591/CR086174
3.BMOU4947530/CR080112</t>
  </si>
  <si>
    <t>1559 P'KGS</t>
  </si>
  <si>
    <t>222011</t>
  </si>
  <si>
    <t>CNMC10922012</t>
  </si>
  <si>
    <t>22202</t>
  </si>
  <si>
    <t>OOLU2695556940</t>
  </si>
  <si>
    <t>4.DHLU2021025/ HQ/20.0191432</t>
  </si>
  <si>
    <t>2021FAW8124E03</t>
  </si>
  <si>
    <t>NEW FAW BRAND TRUCK, TIGER VH CA1110P40K2L1EA84, 2022</t>
  </si>
  <si>
    <t>22203</t>
  </si>
  <si>
    <t>NSASHVG076322</t>
  </si>
  <si>
    <t>SITC RIZHAO V.2212S</t>
  </si>
  <si>
    <t>06.05.2022</t>
  </si>
  <si>
    <t>1.TGBU7828158/SITA067766
2.UETU5306490/SITA079043</t>
  </si>
  <si>
    <t>4520 PACKAGE(S)</t>
  </si>
  <si>
    <t>222031</t>
  </si>
  <si>
    <t>NSASHVG076318</t>
  </si>
  <si>
    <t>4160 PACKAGE(S)</t>
  </si>
  <si>
    <t>3.TGBU7047453/SITA079046
4.TEMU7423186/SITA067726</t>
  </si>
  <si>
    <t>222032</t>
  </si>
  <si>
    <t>NSASHVG076323</t>
  </si>
  <si>
    <t>5.TCNU4523134/SITA067656</t>
  </si>
  <si>
    <t>1990 PACKAGE(S)</t>
  </si>
  <si>
    <t>22204</t>
  </si>
  <si>
    <t>GBPNH2205012</t>
  </si>
  <si>
    <t>20220502/VP-BJC-KH</t>
  </si>
  <si>
    <t>GAOU6458835-40HC, KDCU5183758-40HC</t>
  </si>
  <si>
    <t>57 ROLLS</t>
  </si>
  <si>
    <t>22205</t>
  </si>
  <si>
    <t>SITINSV048907G</t>
  </si>
  <si>
    <t>SITC KAWASAKI V.2208S</t>
  </si>
  <si>
    <t>07.05.2022</t>
  </si>
  <si>
    <t>1.TLLU4073790/SITA349501</t>
  </si>
  <si>
    <t>222051</t>
  </si>
  <si>
    <t>SZXCB22010995</t>
  </si>
  <si>
    <t>KOU LUNG V.187S</t>
  </si>
  <si>
    <t>09.05.2022</t>
  </si>
  <si>
    <t>2.WBPU7070719/CNSHK2205067</t>
  </si>
  <si>
    <t>2195 PACKAGE(S)</t>
  </si>
  <si>
    <t>222052</t>
  </si>
  <si>
    <t>348 PACKAGE(S)</t>
  </si>
  <si>
    <t>SITSKSVG306542</t>
  </si>
  <si>
    <t>3.BMOU6849912/SITA181079
4.SITU9070752/SITA166904</t>
  </si>
  <si>
    <t>4040PACKAGE(S)</t>
  </si>
  <si>
    <t>40HC
40HC</t>
  </si>
  <si>
    <t>22206</t>
  </si>
  <si>
    <t>025C590221</t>
  </si>
  <si>
    <t>1.DFSU7519619/WHLJ632299
2.WHLU5519582/WHLM992684</t>
  </si>
  <si>
    <t>3,260
PACKAGE(S)</t>
  </si>
  <si>
    <t>22207</t>
  </si>
  <si>
    <t>NSASHVG077258</t>
  </si>
  <si>
    <t>1.SEGU6715016/SITA067774</t>
  </si>
  <si>
    <t>222071</t>
  </si>
  <si>
    <t>SITSKSVG306507</t>
  </si>
  <si>
    <t>2.BMOU4908889/SITA180191
3.DFSU7706939/SITF356053</t>
  </si>
  <si>
    <t>1500PACKAGE(S)</t>
  </si>
  <si>
    <t>22208</t>
  </si>
  <si>
    <t>NSASHVG076389</t>
  </si>
  <si>
    <t>1.FFAU4189235/SITA077454</t>
  </si>
  <si>
    <t>222081</t>
  </si>
  <si>
    <t>SITSKSVG306506</t>
  </si>
  <si>
    <t>2.SEGU6677739/SITA149713
3.FFAU4188096/SITA166327</t>
  </si>
  <si>
    <t>22209</t>
  </si>
  <si>
    <t>COAU7238350283</t>
  </si>
  <si>
    <t>KUO LUNG V.187S</t>
  </si>
  <si>
    <t>1.FFAU3475867/20540187</t>
  </si>
  <si>
    <t>222091</t>
  </si>
  <si>
    <t>COAU7238269917</t>
  </si>
  <si>
    <t>2.CSNU7390045/20531756</t>
  </si>
  <si>
    <t>650 CARTONS</t>
  </si>
  <si>
    <t>22210</t>
  </si>
  <si>
    <t>COAU7238194010</t>
  </si>
  <si>
    <t>1.FFAU2268607/205428254</t>
  </si>
  <si>
    <t>2010 PACKAGES</t>
  </si>
  <si>
    <t>COAU7238194020</t>
  </si>
  <si>
    <t>2.CCLU7799734/SYA0620518</t>
  </si>
  <si>
    <t>1095 PACKAGES</t>
  </si>
  <si>
    <t>COAU7238654424</t>
  </si>
  <si>
    <t>3.FFAU2395509/20018734
4.OOCU8343624/19969301</t>
  </si>
  <si>
    <t>2550 PACKAGES</t>
  </si>
  <si>
    <t>22211</t>
  </si>
  <si>
    <t>COAU7238463247</t>
  </si>
  <si>
    <t>362 PACKAGES</t>
  </si>
  <si>
    <t>22212</t>
  </si>
  <si>
    <t>YMLUI253028695</t>
  </si>
  <si>
    <t>NAWATA BHUM V. 188N</t>
  </si>
  <si>
    <t>08.05.2022</t>
  </si>
  <si>
    <t>USED CAR TOYOTA LAND CRUISER VX, MODEL YEAR 2022</t>
  </si>
  <si>
    <t>1.TEMU7649445/YMAL690757</t>
  </si>
  <si>
    <t>APPLE</t>
  </si>
  <si>
    <t>222111</t>
  </si>
  <si>
    <t>222112</t>
  </si>
  <si>
    <t>222113</t>
  </si>
  <si>
    <t>COAU7883684450</t>
  </si>
  <si>
    <t>10.05.2022</t>
  </si>
  <si>
    <t>1.TRHU5834659/22334039</t>
  </si>
  <si>
    <t>530 P'KGS</t>
  </si>
  <si>
    <t>5.OOCU9048691/SYA0648567</t>
  </si>
  <si>
    <t>D2022-0110763</t>
  </si>
  <si>
    <t>22213</t>
  </si>
  <si>
    <t>EGLV147200328259</t>
  </si>
  <si>
    <t>EVER CONCERT V.0210-009S</t>
  </si>
  <si>
    <t>12.05.2022</t>
  </si>
  <si>
    <t>1.TLLU4845759/EMCPEE9851</t>
  </si>
  <si>
    <t>40H</t>
  </si>
  <si>
    <t>222131</t>
  </si>
  <si>
    <t>EGLV146200543241</t>
  </si>
  <si>
    <t>2.EGHU8446732/EMCPDZ9591</t>
  </si>
  <si>
    <t>BAOKANG</t>
  </si>
  <si>
    <t>PAIBOON LAOCHAN</t>
  </si>
  <si>
    <t>AB4916750</t>
  </si>
  <si>
    <t>092 784 079</t>
  </si>
  <si>
    <t>EG2412090</t>
  </si>
  <si>
    <t>K002-902101770</t>
  </si>
  <si>
    <t>22214</t>
  </si>
  <si>
    <t>222141</t>
  </si>
  <si>
    <t>22215</t>
  </si>
  <si>
    <t>222151</t>
  </si>
  <si>
    <t>222152</t>
  </si>
  <si>
    <t>024C523338</t>
  </si>
  <si>
    <t>CHATTANOOGA V.S043</t>
  </si>
  <si>
    <t>15.05.2022</t>
  </si>
  <si>
    <t>KITCHENWARE AND PLASTIC PRODUCTS</t>
  </si>
  <si>
    <t>1.WHSU6708586/WHLQ877737</t>
  </si>
  <si>
    <t>700 PKGS</t>
  </si>
  <si>
    <t>024C524939</t>
  </si>
  <si>
    <t>2.WHSU6218608/WHLQ900625</t>
  </si>
  <si>
    <t>024C524947</t>
  </si>
  <si>
    <t>1.TCLU1739821/WHLQ893955</t>
  </si>
  <si>
    <t>024C526552</t>
  </si>
  <si>
    <t>2.TCNU7292635/WHLQ900644</t>
  </si>
  <si>
    <t>024C524543</t>
  </si>
  <si>
    <t>3.WHSU5873544/WHLQ904424</t>
  </si>
  <si>
    <t>WICHAI ON-SRI.</t>
  </si>
  <si>
    <t>ភេទប្រុស ដែលមានលិខិតឆ្លងដែនលេខៈ AB2484839 អគ្គនាយករងនៃក្រុមហ៊ុន BJC CELLOX(CAMBODIA) CO., LTD អត្តសញ្ញាណកម្មសារពើពន្ធ (VAT)លេខៈ L001-901639149 ទូរសព្ទ័លេខៈ 089 890 324 ទីតាំងនៅផ្លូវជាតិលេខ ១ គីឡូម៉ែតលេខ ៤៦ ភូមិ សំរោងក្អែរ  ឃុំ សំរោងធំ ស្រុកកៀនស្វាយ ខេត្តកណ្តាល ។</t>
  </si>
  <si>
    <t>22216</t>
  </si>
  <si>
    <t>CANCB22009550</t>
  </si>
  <si>
    <t>CHANA BHUM V.826S</t>
  </si>
  <si>
    <t>222161</t>
  </si>
  <si>
    <t>CANCB22009378</t>
  </si>
  <si>
    <t>1.REGU5123475/CNCAN2200700</t>
  </si>
  <si>
    <t>650 PACKAGE(S)</t>
  </si>
  <si>
    <t>2.BSIU9304980/CNCAN2109793</t>
  </si>
  <si>
    <t>1940 PACKAGE(S)</t>
  </si>
  <si>
    <t>222162</t>
  </si>
  <si>
    <t>SZXCB22014743</t>
  </si>
  <si>
    <t>3.REGU5117770/CNSHK2117194</t>
  </si>
  <si>
    <t>770 PACKAGE (S)</t>
  </si>
  <si>
    <t>22217</t>
  </si>
  <si>
    <t>CANCB22009376</t>
  </si>
  <si>
    <t>1970 CARTON(S)</t>
  </si>
  <si>
    <t>222171</t>
  </si>
  <si>
    <t>CANCB22009210</t>
  </si>
  <si>
    <t>570 PACKAGE(S)</t>
  </si>
  <si>
    <t>1.TGBU8069159/CNCAN2207550
2.CIPU5172479/CNCAN2207546</t>
  </si>
  <si>
    <t>3.TCNU2396895/CNCAN2009815</t>
  </si>
  <si>
    <t>E22328222416T177</t>
  </si>
  <si>
    <t>E22328222416T176</t>
  </si>
  <si>
    <t>E22328222416T179</t>
  </si>
  <si>
    <t>22218</t>
  </si>
  <si>
    <t>SHAWD068122</t>
  </si>
  <si>
    <t>20400572ETC</t>
  </si>
  <si>
    <t>NEW CAR  MG HS,2021
NEW CAR  MG 6,2022</t>
  </si>
  <si>
    <t>22219</t>
  </si>
  <si>
    <t>SHAWD068118</t>
  </si>
  <si>
    <t>20401493ETC</t>
  </si>
  <si>
    <t>NEW CAR  MG H,2022</t>
  </si>
  <si>
    <t>22220</t>
  </si>
  <si>
    <t>SHAWD068121</t>
  </si>
  <si>
    <t>NEW CAR MG 6,2022</t>
  </si>
  <si>
    <t>22221</t>
  </si>
  <si>
    <t>OMPLCHS220119</t>
  </si>
  <si>
    <t>013/2022</t>
  </si>
  <si>
    <t>PINNVAREE V.22041E</t>
  </si>
  <si>
    <t>17.05.2022</t>
  </si>
  <si>
    <t>CARTON BOX, PLASTIC WRAPPER, PAPER CORE, KRAFT PAPER, SPARE PART</t>
  </si>
  <si>
    <t>1.ZCSU7534040-40'HQ (PART OF)
2.ZCSU7930586-40'HQ</t>
  </si>
  <si>
    <t>1.ZCSU6671747-40'HQ
2.ZCSU7155982-40'HQ</t>
  </si>
  <si>
    <t>22222</t>
  </si>
  <si>
    <t>EGLV149203355156</t>
  </si>
  <si>
    <t>EVER CANDID V.0211-026S</t>
  </si>
  <si>
    <t>19.05.2022</t>
  </si>
  <si>
    <t>1.EMCU8428034/EMCHYS0211</t>
  </si>
  <si>
    <t>2220 PKGS</t>
  </si>
  <si>
    <t>222221</t>
  </si>
  <si>
    <t>SITINSV048966G</t>
  </si>
  <si>
    <t>SITC SHANDONG V.2208S</t>
  </si>
  <si>
    <t>2.TCKU6166664/SITZ776724</t>
  </si>
  <si>
    <t>1,189 PACKAGE(S)</t>
  </si>
  <si>
    <t>222222</t>
  </si>
  <si>
    <t>SITINSV049514G</t>
  </si>
  <si>
    <t>3.UETU5797265/SITA353291</t>
  </si>
  <si>
    <t>282 PACKAGE(S)</t>
  </si>
  <si>
    <t>22223</t>
  </si>
  <si>
    <t>EGLV149202729397</t>
  </si>
  <si>
    <t>DF22PV-030KH008</t>
  </si>
  <si>
    <t>DONGFENG BRAND CAR FORTHING T5 EVO,2022</t>
  </si>
  <si>
    <t>22224</t>
  </si>
  <si>
    <t>SITINSV049567G</t>
  </si>
  <si>
    <t>SITC KANTO V.2208S</t>
  </si>
  <si>
    <t>1.BMOU6496327/SITA354181</t>
  </si>
  <si>
    <t>289 PACKAGE(S)</t>
  </si>
  <si>
    <t>21.05.2022</t>
  </si>
  <si>
    <t>22225</t>
  </si>
  <si>
    <t>SZXCB22016181</t>
  </si>
  <si>
    <t>KITI BHUM V.985S</t>
  </si>
  <si>
    <t>1.TGHU6185151/CNSHK2207127</t>
  </si>
  <si>
    <t>22226</t>
  </si>
  <si>
    <t>030C512410</t>
  </si>
  <si>
    <t>WAN HAI 163 V.S393</t>
  </si>
  <si>
    <t>1.WHSU5215651/WHLM989746</t>
  </si>
  <si>
    <t>2,450 PACKAGE(S)</t>
  </si>
  <si>
    <t>222261</t>
  </si>
  <si>
    <t>025C604071</t>
  </si>
  <si>
    <t>4,800 PACKAGE(S)</t>
  </si>
  <si>
    <t>222262</t>
  </si>
  <si>
    <t>025C604249</t>
  </si>
  <si>
    <t>2,470 PACKAGE(S)</t>
  </si>
  <si>
    <t>2.WHLU5770160/WHLS836734
3.WHLU5805821/WHLS824581</t>
  </si>
  <si>
    <t>4.WHSU5134591/WHLS821244</t>
  </si>
  <si>
    <t>YIWU DAJING</t>
  </si>
  <si>
    <t>22227</t>
  </si>
  <si>
    <t>030C511615</t>
  </si>
  <si>
    <t>1.WHSU5052493/WHLS849391</t>
  </si>
  <si>
    <t>2,100 PACKAGE(S)</t>
  </si>
  <si>
    <t>222271</t>
  </si>
  <si>
    <t>030C511624</t>
  </si>
  <si>
    <t>2.WHLU5699210/WHLS849399</t>
  </si>
  <si>
    <t>850 PACKAGE(S)</t>
  </si>
  <si>
    <t>222272</t>
  </si>
  <si>
    <t>025C604283</t>
  </si>
  <si>
    <t>3.WHSU5703548/WHLS849123</t>
  </si>
  <si>
    <t>2,045 PACKAGE(S)</t>
  </si>
  <si>
    <t>222273</t>
  </si>
  <si>
    <t>025C604480</t>
  </si>
  <si>
    <t>3,940 PACKAGE(S)</t>
  </si>
  <si>
    <t>4.WHLU5570352/WHLS836737
5.WHSU5032732/WHLS836736</t>
  </si>
  <si>
    <t>22228</t>
  </si>
  <si>
    <t>SZXCB22015523</t>
  </si>
  <si>
    <t>CAPE FULMAR V.128S</t>
  </si>
  <si>
    <t>23.05.2022</t>
  </si>
  <si>
    <t>1.TEMU7534148/CNSHK2116775</t>
  </si>
  <si>
    <t>2480 PACKAGE(S)</t>
  </si>
  <si>
    <t>222281</t>
  </si>
  <si>
    <t>SZXCB22015195</t>
  </si>
  <si>
    <t>2.CAAU6442272/CNSHK2117244</t>
  </si>
  <si>
    <t>22229</t>
  </si>
  <si>
    <t>SZXCB22015196</t>
  </si>
  <si>
    <t>1.FFAU4016482/CNSHK2117226</t>
  </si>
  <si>
    <t>222291</t>
  </si>
  <si>
    <t>SZXCB22015524</t>
  </si>
  <si>
    <t>2.CAIU4432128/CNSHK2116782</t>
  </si>
  <si>
    <t>2350 PACKAGE(S)</t>
  </si>
  <si>
    <t>222292</t>
  </si>
  <si>
    <t>SZXCB22016840</t>
  </si>
  <si>
    <t>3.CAIU9606475/CNSHK2116692</t>
  </si>
  <si>
    <t>1310 PACKAGE(S)</t>
  </si>
  <si>
    <t>22230</t>
  </si>
  <si>
    <t>GBPNH2205023</t>
  </si>
  <si>
    <t>20220509/VP-BJC-KH</t>
  </si>
  <si>
    <t>GLS16 V220N</t>
  </si>
  <si>
    <t>1.GAOU6130403-40'HC, 2.GAOU6132052-40'HC</t>
  </si>
  <si>
    <r>
      <rPr>
        <sz val="11"/>
        <color rgb="FFFF0000"/>
        <rFont val="Calibri"/>
        <family val="2"/>
        <scheme val="minor"/>
      </rPr>
      <t>GAOU6130635</t>
    </r>
    <r>
      <rPr>
        <sz val="11"/>
        <color theme="1"/>
        <rFont val="Calibri"/>
        <family val="2"/>
        <scheme val="minor"/>
      </rPr>
      <t xml:space="preserve">-40HC, </t>
    </r>
    <r>
      <rPr>
        <sz val="11"/>
        <color rgb="FFFF0000"/>
        <rFont val="Calibri"/>
        <family val="2"/>
        <scheme val="minor"/>
      </rPr>
      <t>GAOU6456914</t>
    </r>
    <r>
      <rPr>
        <sz val="11"/>
        <color theme="1"/>
        <rFont val="Calibri"/>
        <family val="2"/>
        <scheme val="minor"/>
      </rPr>
      <t xml:space="preserve">-40HC, </t>
    </r>
    <r>
      <rPr>
        <sz val="11"/>
        <color rgb="FFFF0000"/>
        <rFont val="Calibri"/>
        <family val="2"/>
        <scheme val="minor"/>
      </rPr>
      <t>KDCU5150456</t>
    </r>
    <r>
      <rPr>
        <sz val="11"/>
        <color theme="1"/>
        <rFont val="Calibri"/>
        <family val="2"/>
        <scheme val="minor"/>
      </rPr>
      <t xml:space="preserve">-40HC, </t>
    </r>
    <r>
      <rPr>
        <sz val="11"/>
        <color rgb="FFFF0000"/>
        <rFont val="Calibri"/>
        <family val="2"/>
        <scheme val="minor"/>
      </rPr>
      <t>GAOU6457660</t>
    </r>
    <r>
      <rPr>
        <sz val="11"/>
        <color theme="1"/>
        <rFont val="Calibri"/>
        <family val="2"/>
        <scheme val="minor"/>
      </rPr>
      <t xml:space="preserve">-40HC, </t>
    </r>
    <r>
      <rPr>
        <sz val="11"/>
        <color rgb="FFFF0000"/>
        <rFont val="Calibri"/>
        <family val="2"/>
        <scheme val="minor"/>
      </rPr>
      <t>GAOU6458250</t>
    </r>
    <r>
      <rPr>
        <sz val="11"/>
        <color theme="1"/>
        <rFont val="Calibri"/>
        <family val="2"/>
        <scheme val="minor"/>
      </rPr>
      <t>-40HC</t>
    </r>
  </si>
  <si>
    <r>
      <t>1.</t>
    </r>
    <r>
      <rPr>
        <sz val="11"/>
        <color rgb="FFFF0000"/>
        <rFont val="Calibri"/>
        <family val="2"/>
        <scheme val="minor"/>
      </rPr>
      <t>OOLU9104831</t>
    </r>
    <r>
      <rPr>
        <sz val="11"/>
        <color theme="1"/>
        <rFont val="Calibri"/>
        <family val="2"/>
        <scheme val="minor"/>
      </rPr>
      <t>-40'HQ</t>
    </r>
  </si>
  <si>
    <r>
      <t>1.</t>
    </r>
    <r>
      <rPr>
        <sz val="11"/>
        <color rgb="FFFF0000"/>
        <rFont val="Calibri"/>
        <family val="2"/>
        <scheme val="minor"/>
      </rPr>
      <t>CSNU6049097</t>
    </r>
    <r>
      <rPr>
        <sz val="11"/>
        <color theme="1"/>
        <rFont val="Calibri"/>
        <family val="2"/>
        <scheme val="minor"/>
      </rPr>
      <t>-40'HQ</t>
    </r>
  </si>
  <si>
    <t>22231</t>
  </si>
  <si>
    <t>COAU7238632690</t>
  </si>
  <si>
    <t>24.05.2022</t>
  </si>
  <si>
    <t>1.CCLU7444950/SYA0615528</t>
  </si>
  <si>
    <t>775 PACKAGES</t>
  </si>
  <si>
    <t>222311</t>
  </si>
  <si>
    <t>COAU7238632692</t>
  </si>
  <si>
    <t>1315 PACKAGES</t>
  </si>
  <si>
    <t>22232</t>
  </si>
  <si>
    <t>COAU7238632694</t>
  </si>
  <si>
    <t>1300 PACKAGES</t>
  </si>
  <si>
    <t>222321</t>
  </si>
  <si>
    <t>COAU7238632691</t>
  </si>
  <si>
    <t>1.OOCU7598913/SYA0607092</t>
  </si>
  <si>
    <t>2.TGBU8581709/16052027</t>
  </si>
  <si>
    <t>2.CBHU9047166/SYA0615563</t>
  </si>
  <si>
    <t>2430 PACKAGES</t>
  </si>
  <si>
    <t>22233</t>
  </si>
  <si>
    <t>ONEYDXBC04693900</t>
  </si>
  <si>
    <t>BRIDGE V.0231N</t>
  </si>
  <si>
    <t>1.TRHU8469375/AE113806A</t>
  </si>
  <si>
    <t>22234</t>
  </si>
  <si>
    <t>NSASHVG077789</t>
  </si>
  <si>
    <t>SITC PYEONGTAEK V.2215S</t>
  </si>
  <si>
    <t>1.TLLU4741796/SITZ633432</t>
  </si>
  <si>
    <t>222341</t>
  </si>
  <si>
    <t>NSASHVG078049</t>
  </si>
  <si>
    <t>2.SITU9106449/SITK484071</t>
  </si>
  <si>
    <t>660PACKAGE(S)</t>
  </si>
  <si>
    <t>222342</t>
  </si>
  <si>
    <t>NSASHVG077752</t>
  </si>
  <si>
    <t>3.TCKU7966830/SITZ623565</t>
  </si>
  <si>
    <t>670CARTON(S)</t>
  </si>
  <si>
    <t>L001-901909613</t>
  </si>
  <si>
    <t>098881618</t>
  </si>
  <si>
    <t>22235</t>
  </si>
  <si>
    <t>COAU7238860910</t>
  </si>
  <si>
    <t>KAMA BHUM V.282S</t>
  </si>
  <si>
    <t>1.TGBU8019420/SYA0627523</t>
  </si>
  <si>
    <t>222351</t>
  </si>
  <si>
    <t>COAU7238533906</t>
  </si>
  <si>
    <t>2.BMOU5840905/20547248
3.TRHU4207870/20547130</t>
  </si>
  <si>
    <t>222352</t>
  </si>
  <si>
    <t>COAU7238193950</t>
  </si>
  <si>
    <t>4.OOCU7869738/19983095</t>
  </si>
  <si>
    <t>2250 PACKAGES</t>
  </si>
  <si>
    <t>22236</t>
  </si>
  <si>
    <t>SITSKSVG312273</t>
  </si>
  <si>
    <t>1.SITU9144541/SITA176985
2.TCNU2334933/SITZ160982
3.TLLU4070424/SITZ163766</t>
  </si>
  <si>
    <t>5280 PACKAGE(S)</t>
  </si>
  <si>
    <t>1290 PACKAGES</t>
  </si>
  <si>
    <t>3390 PACKAGES</t>
  </si>
  <si>
    <t>TRIU9269776-40'HC</t>
  </si>
  <si>
    <t>22237</t>
  </si>
  <si>
    <t>CNMC10922026</t>
  </si>
  <si>
    <t>27.05.2022</t>
  </si>
  <si>
    <t>1.MSKU4563029/HQ/20.0191595</t>
  </si>
  <si>
    <t>45HC</t>
  </si>
  <si>
    <t>552 P'KGS</t>
  </si>
  <si>
    <t>22238</t>
  </si>
  <si>
    <t>COAU7883762750</t>
  </si>
  <si>
    <t>BUILIDING MATERIALS AND KITCHENWARE</t>
  </si>
  <si>
    <t>1200 PACKAGES</t>
  </si>
  <si>
    <t>1.FFAU2454258/20541832
2.BEAU5796285/20541657</t>
  </si>
  <si>
    <t>222381</t>
  </si>
  <si>
    <t>EGLV149202578712</t>
  </si>
  <si>
    <t>EVER CORE V.0212-042S</t>
  </si>
  <si>
    <t>3.EMCU9827980/EMCHYV1651</t>
  </si>
  <si>
    <t>222382</t>
  </si>
  <si>
    <t>4.CARU9452735/EMCHYM1231
5.FCIU9298241/EMCHZM8111
6.EGHU9830779/EMCHYS0921</t>
  </si>
  <si>
    <t>1800 PACKAGES</t>
  </si>
  <si>
    <t>40H
40H
40H</t>
  </si>
  <si>
    <t>EGLV149202578691</t>
  </si>
  <si>
    <t>22239</t>
  </si>
  <si>
    <t>PAV PHEA RUM</t>
  </si>
  <si>
    <t>BURIRUM TECHNICIAN CO.,LTD</t>
  </si>
  <si>
    <t>K007-902201280</t>
  </si>
  <si>
    <t>012 400 152</t>
  </si>
  <si>
    <t>SZXCB22016110</t>
  </si>
  <si>
    <t>BURIRUM TECHNICIAN CO., LTD</t>
  </si>
  <si>
    <t>NEW CAR HONGQI HS5, MODEL YEAR 2021</t>
  </si>
  <si>
    <t>1.CAIU9483658-40HC
2.OCGU8100878-40HC
3.TXGU5303754-40HC
4.TXGU6772421-40HC
5.TXGU6877870-40HC</t>
  </si>
  <si>
    <t>22240</t>
  </si>
  <si>
    <t>HZX20220518C</t>
  </si>
  <si>
    <t>SZXCB22016104</t>
  </si>
  <si>
    <t>HZX20220518B</t>
  </si>
  <si>
    <t>1.CAIU9609113-40HC
2.TCNU7193925-40HC
3.TXGU5429927-40HC
4.CAIU9718433-40HC</t>
  </si>
  <si>
    <t>061675682</t>
  </si>
  <si>
    <t>#C-09 និង C-10 ផ្លូវ លំ ភូមិ ដំណាក់ធំ សង្កាត់ ស្ទឹងមានជ័យទី២ ខណ្ឌ មានជ័យ រាជធានីភ្នំពេញ
VAT : K007-902201280</t>
  </si>
  <si>
    <t>22241</t>
  </si>
  <si>
    <t>NSASHVG077724</t>
  </si>
  <si>
    <t>SITC PY EONGTAEK V.2215S</t>
  </si>
  <si>
    <t>1.SITU9072159/SITA067515</t>
  </si>
  <si>
    <t>2310 PACKAGE(S)</t>
  </si>
  <si>
    <t>22242</t>
  </si>
  <si>
    <t>NSASHVG078435</t>
  </si>
  <si>
    <t>29.05.2022</t>
  </si>
  <si>
    <t>1.CAAU6308495/SITA067520</t>
  </si>
  <si>
    <t>2130PACKAGE(S)</t>
  </si>
  <si>
    <t>222421</t>
  </si>
  <si>
    <t>SITC RIZHAO V.2215S</t>
  </si>
  <si>
    <t>NSASHVG078439</t>
  </si>
  <si>
    <t>2.UETU5820302/SITA067759</t>
  </si>
  <si>
    <t>2310PACKAGE(S)</t>
  </si>
  <si>
    <t>222422</t>
  </si>
  <si>
    <t>COAU7238555989</t>
  </si>
  <si>
    <t>3.TEMU7997224/20547219</t>
  </si>
  <si>
    <t>2320 Package</t>
  </si>
  <si>
    <t>22243</t>
  </si>
  <si>
    <t>SITSKSVG316398</t>
  </si>
  <si>
    <t>1.SEKU6381654/SITF343415</t>
  </si>
  <si>
    <t>ZHONGHU ENERGY</t>
  </si>
  <si>
    <t>222431</t>
  </si>
  <si>
    <t>NSASHVG078517</t>
  </si>
  <si>
    <t>2.TRHU6677718/SITA078943</t>
  </si>
  <si>
    <t>222432</t>
  </si>
  <si>
    <t>NSASHVG077754A</t>
  </si>
  <si>
    <t>3.TRHU6952846/SITA073955
4.TRHU6349771/SITA078942</t>
  </si>
  <si>
    <t>1340CARTON(S)</t>
  </si>
  <si>
    <t>22244</t>
  </si>
  <si>
    <t>SITSKSVG315852</t>
  </si>
  <si>
    <t>1.TLLU4115576/SITF355260</t>
  </si>
  <si>
    <t>650PACKAGE(S)</t>
  </si>
  <si>
    <t>222441</t>
  </si>
  <si>
    <t>NSASHVG078627</t>
  </si>
  <si>
    <t>2.TGBU7718295/SITZ627884</t>
  </si>
  <si>
    <t>700PACKAGE(S)</t>
  </si>
  <si>
    <t>222442</t>
  </si>
  <si>
    <t>SITSKSVG315861</t>
  </si>
  <si>
    <t>3.BMOU4905067/SITF343294</t>
  </si>
  <si>
    <t>KUNMING DE</t>
  </si>
  <si>
    <t>222443</t>
  </si>
  <si>
    <t>NSASHVG078521</t>
  </si>
  <si>
    <t>4.SEGU5358505/SITA079506</t>
  </si>
  <si>
    <t>22245</t>
  </si>
  <si>
    <t>SITINSV049668G</t>
  </si>
  <si>
    <t>SITC JAKARTA V.2210S</t>
  </si>
  <si>
    <t>30.05.2022</t>
  </si>
  <si>
    <t>1.BMOU4906700/SITA354426</t>
  </si>
  <si>
    <t>1,450 PACKAGE(S)</t>
  </si>
  <si>
    <t>22246</t>
  </si>
  <si>
    <t>SITSKSVG316351</t>
  </si>
  <si>
    <t>1.SEGU6647035/SITF338635</t>
  </si>
  <si>
    <t>2295PACKAGE(S)</t>
  </si>
  <si>
    <t>22247</t>
  </si>
  <si>
    <t>SZXCB22016103</t>
  </si>
  <si>
    <t>HZX20220518</t>
  </si>
  <si>
    <t>NEW CAR HONGQI CAR, MODEL YEAR 2021</t>
  </si>
  <si>
    <t>1.CAIU9733525-40HC</t>
  </si>
  <si>
    <r>
      <rPr>
        <sz val="11"/>
        <color rgb="FFFF0000"/>
        <rFont val="Calibri"/>
        <family val="2"/>
        <scheme val="minor"/>
      </rPr>
      <t>1.GAOU6084289-40'HQ</t>
    </r>
    <r>
      <rPr>
        <sz val="11"/>
        <color theme="1"/>
        <rFont val="Calibri"/>
        <family val="2"/>
        <scheme val="minor"/>
      </rPr>
      <t xml:space="preserve">
</t>
    </r>
    <r>
      <rPr>
        <sz val="11"/>
        <color rgb="FFFF0000"/>
        <rFont val="Calibri"/>
        <family val="2"/>
        <scheme val="minor"/>
      </rPr>
      <t>2.TGBU6251797-40'HQ</t>
    </r>
    <r>
      <rPr>
        <sz val="11"/>
        <color theme="1"/>
        <rFont val="Calibri"/>
        <family val="2"/>
        <scheme val="minor"/>
      </rPr>
      <t xml:space="preserve">
</t>
    </r>
    <r>
      <rPr>
        <sz val="11"/>
        <color rgb="FFFF0000"/>
        <rFont val="Calibri"/>
        <family val="2"/>
        <scheme val="minor"/>
      </rPr>
      <t>3.TGBU7262250-40'HQ</t>
    </r>
    <r>
      <rPr>
        <sz val="11"/>
        <color theme="1"/>
        <rFont val="Calibri"/>
        <family val="2"/>
        <scheme val="minor"/>
      </rPr>
      <t xml:space="preserve">
</t>
    </r>
    <r>
      <rPr>
        <sz val="11"/>
        <color rgb="FFFF0000"/>
        <rFont val="Calibri"/>
        <family val="2"/>
        <scheme val="minor"/>
      </rPr>
      <t>4.ZCSU7534040-40'HQ</t>
    </r>
    <r>
      <rPr>
        <sz val="11"/>
        <color theme="1"/>
        <rFont val="Calibri"/>
        <family val="2"/>
        <scheme val="minor"/>
      </rPr>
      <t xml:space="preserve">
</t>
    </r>
    <r>
      <rPr>
        <sz val="11"/>
        <color rgb="FFFF0000"/>
        <rFont val="Calibri"/>
        <family val="2"/>
        <scheme val="minor"/>
      </rPr>
      <t>5.ZCSU7565971-40'HQ</t>
    </r>
    <r>
      <rPr>
        <sz val="11"/>
        <color theme="1"/>
        <rFont val="Calibri"/>
        <family val="2"/>
        <scheme val="minor"/>
      </rPr>
      <t xml:space="preserve">
</t>
    </r>
    <r>
      <rPr>
        <sz val="11"/>
        <color rgb="FFFF0000"/>
        <rFont val="Calibri"/>
        <family val="2"/>
        <scheme val="minor"/>
      </rPr>
      <t>6.ZCSU7898041-40'HQ</t>
    </r>
    <r>
      <rPr>
        <sz val="11"/>
        <color theme="1"/>
        <rFont val="Calibri"/>
        <family val="2"/>
        <scheme val="minor"/>
      </rPr>
      <t xml:space="preserve">
</t>
    </r>
    <r>
      <rPr>
        <sz val="11"/>
        <color rgb="FFFF0000"/>
        <rFont val="Calibri"/>
        <family val="2"/>
        <scheme val="minor"/>
      </rPr>
      <t>7.ZCSU7945755-40'HQ</t>
    </r>
  </si>
  <si>
    <r>
      <rPr>
        <sz val="11"/>
        <color rgb="FFFF0000"/>
        <rFont val="Calibri"/>
        <family val="2"/>
        <scheme val="minor"/>
      </rPr>
      <t>1.EGHU9431090-40H</t>
    </r>
    <r>
      <rPr>
        <sz val="11"/>
        <color theme="1"/>
        <rFont val="Calibri"/>
        <family val="2"/>
        <scheme val="minor"/>
      </rPr>
      <t xml:space="preserve">
</t>
    </r>
    <r>
      <rPr>
        <sz val="11"/>
        <color rgb="FFFF0000"/>
        <rFont val="Calibri"/>
        <family val="2"/>
        <scheme val="minor"/>
      </rPr>
      <t>2.EISU9141524-40H</t>
    </r>
    <r>
      <rPr>
        <sz val="11"/>
        <color theme="1"/>
        <rFont val="Calibri"/>
        <family val="2"/>
        <scheme val="minor"/>
      </rPr>
      <t xml:space="preserve">
</t>
    </r>
    <r>
      <rPr>
        <sz val="11"/>
        <color rgb="FFFF0000"/>
        <rFont val="Calibri"/>
        <family val="2"/>
        <scheme val="minor"/>
      </rPr>
      <t>3.DRYU9858647-40H</t>
    </r>
    <r>
      <rPr>
        <sz val="11"/>
        <color theme="1"/>
        <rFont val="Calibri"/>
        <family val="2"/>
        <scheme val="minor"/>
      </rPr>
      <t xml:space="preserve">
</t>
    </r>
    <r>
      <rPr>
        <sz val="11"/>
        <color rgb="FFFF0000"/>
        <rFont val="Calibri"/>
        <family val="2"/>
        <scheme val="minor"/>
      </rPr>
      <t>4.EMCU8531736-40H</t>
    </r>
    <r>
      <rPr>
        <sz val="11"/>
        <color theme="1"/>
        <rFont val="Calibri"/>
        <family val="2"/>
        <scheme val="minor"/>
      </rPr>
      <t xml:space="preserve">
</t>
    </r>
    <r>
      <rPr>
        <sz val="11"/>
        <color rgb="FFFF0000"/>
        <rFont val="Calibri"/>
        <family val="2"/>
        <scheme val="minor"/>
      </rPr>
      <t>5.EMCU9704610-40H</t>
    </r>
    <r>
      <rPr>
        <sz val="11"/>
        <color theme="1"/>
        <rFont val="Calibri"/>
        <family val="2"/>
        <scheme val="minor"/>
      </rPr>
      <t xml:space="preserve">
</t>
    </r>
    <r>
      <rPr>
        <sz val="11"/>
        <color rgb="FFFF0000"/>
        <rFont val="Calibri"/>
        <family val="2"/>
        <scheme val="minor"/>
      </rPr>
      <t>6.TLLU4093965-40H</t>
    </r>
    <r>
      <rPr>
        <sz val="11"/>
        <color theme="1"/>
        <rFont val="Calibri"/>
        <family val="2"/>
        <scheme val="minor"/>
      </rPr>
      <t xml:space="preserve">
</t>
    </r>
    <r>
      <rPr>
        <sz val="11"/>
        <color rgb="FFFF0000"/>
        <rFont val="Calibri"/>
        <family val="2"/>
        <scheme val="minor"/>
      </rPr>
      <t>7.TEMU6297930-40H</t>
    </r>
    <r>
      <rPr>
        <sz val="11"/>
        <color theme="1"/>
        <rFont val="Calibri"/>
        <family val="2"/>
        <scheme val="minor"/>
      </rPr>
      <t xml:space="preserve">
</t>
    </r>
    <r>
      <rPr>
        <sz val="11"/>
        <color rgb="FFFF0000"/>
        <rFont val="Calibri"/>
        <family val="2"/>
        <scheme val="minor"/>
      </rPr>
      <t>8.HMCU9215397-40H</t>
    </r>
    <r>
      <rPr>
        <sz val="11"/>
        <color theme="1"/>
        <rFont val="Calibri"/>
        <family val="2"/>
        <scheme val="minor"/>
      </rPr>
      <t xml:space="preserve">
</t>
    </r>
    <r>
      <rPr>
        <sz val="11"/>
        <color rgb="FFFF0000"/>
        <rFont val="Calibri"/>
        <family val="2"/>
        <scheme val="minor"/>
      </rPr>
      <t>9.EGHU8438932-40H</t>
    </r>
  </si>
  <si>
    <r>
      <rPr>
        <sz val="11"/>
        <color rgb="FFFF0000"/>
        <rFont val="Calibri"/>
        <family val="2"/>
        <scheme val="minor"/>
      </rPr>
      <t>1.FFAU1164378-40'HC</t>
    </r>
    <r>
      <rPr>
        <sz val="11"/>
        <color theme="1"/>
        <rFont val="Calibri"/>
        <family val="2"/>
        <scheme val="minor"/>
      </rPr>
      <t xml:space="preserve">
2.BMOU6465732-40'HC
</t>
    </r>
    <r>
      <rPr>
        <sz val="11"/>
        <color rgb="FFFF0000"/>
        <rFont val="Calibri"/>
        <family val="2"/>
        <scheme val="minor"/>
      </rPr>
      <t>3.UETU5762356-40'HC</t>
    </r>
    <r>
      <rPr>
        <sz val="11"/>
        <color theme="1"/>
        <rFont val="Calibri"/>
        <family val="2"/>
        <scheme val="minor"/>
      </rPr>
      <t xml:space="preserve">
</t>
    </r>
    <r>
      <rPr>
        <sz val="11"/>
        <color rgb="FFFF0000"/>
        <rFont val="Calibri"/>
        <family val="2"/>
        <scheme val="minor"/>
      </rPr>
      <t>4.SITU9106958-40'HC</t>
    </r>
  </si>
  <si>
    <t>22248</t>
  </si>
  <si>
    <t>NSASHVG078470</t>
  </si>
  <si>
    <t>SITC GUANGDONG V.2210S</t>
  </si>
  <si>
    <t>1.TRHU5781116/SITA074647</t>
  </si>
  <si>
    <t>1,610 PACKAGE(S)</t>
  </si>
  <si>
    <t>31.05.2022</t>
  </si>
  <si>
    <t>MONTH</t>
  </si>
  <si>
    <t>YEAR</t>
  </si>
  <si>
    <t>22249</t>
  </si>
  <si>
    <t>HALIBUT V.220S</t>
  </si>
  <si>
    <t>03.06.2022</t>
  </si>
  <si>
    <t>1.MSKU1593225/ML-CN2247857</t>
  </si>
  <si>
    <t>2270 PACKAGES</t>
  </si>
  <si>
    <t>40DRY</t>
  </si>
  <si>
    <t>222491</t>
  </si>
  <si>
    <t>2.MTSU9629170/ML-CN2253594</t>
  </si>
  <si>
    <t>1530 PACKAGES</t>
  </si>
  <si>
    <t>222492</t>
  </si>
  <si>
    <t>3.MRKU3082855/ML-CN2245501</t>
  </si>
  <si>
    <t>2240 PACKAGES</t>
  </si>
  <si>
    <t>218491270</t>
  </si>
  <si>
    <t>218453832</t>
  </si>
  <si>
    <t>218495005</t>
  </si>
  <si>
    <t>22250</t>
  </si>
  <si>
    <t>COAU7238312540</t>
  </si>
  <si>
    <t>2022JL491-2</t>
  </si>
  <si>
    <t>NEW JMC BRAND CAR PICK UP VIGUS PRO, 2022</t>
  </si>
  <si>
    <t>1.CBHU7043813-40HQ
2.SLSU8017398-40HQ</t>
  </si>
  <si>
    <t>22251</t>
  </si>
  <si>
    <t>EGLV149204029724</t>
  </si>
  <si>
    <t>EVER CONCERT V.0213-010S</t>
  </si>
  <si>
    <t>04.06.2022</t>
  </si>
  <si>
    <t>1.BMOU5814547/EMCHYL0171</t>
  </si>
  <si>
    <t>1430 PKGS</t>
  </si>
  <si>
    <t>222511</t>
  </si>
  <si>
    <t>EGLV147200463253</t>
  </si>
  <si>
    <t>2.HMCU9204788/EMCMJM1751</t>
  </si>
  <si>
    <t>2330 PACKAGES</t>
  </si>
  <si>
    <t>222512</t>
  </si>
  <si>
    <t>EGLV147200463237</t>
  </si>
  <si>
    <t>3.FCIU7057667/EMCMJM1731</t>
  </si>
  <si>
    <t>2260 PACKAGES</t>
  </si>
  <si>
    <t>222513</t>
  </si>
  <si>
    <t>EGLV149203629052</t>
  </si>
  <si>
    <t>1305 PKGS</t>
  </si>
  <si>
    <t>22252</t>
  </si>
  <si>
    <t>EGLV156200222701</t>
  </si>
  <si>
    <t>BUILDING MATERIAL &amp; KITCHENWARE</t>
  </si>
  <si>
    <t>4.TCNU2286223/EMCHYP9171</t>
  </si>
  <si>
    <t>1.EISU9428957/EMCPEM3081</t>
  </si>
  <si>
    <t>600 PKGS</t>
  </si>
  <si>
    <t>222521</t>
  </si>
  <si>
    <t>EGLV147200472724</t>
  </si>
  <si>
    <t>2.EITU1425127/EMCMJM2011</t>
  </si>
  <si>
    <t>222531</t>
  </si>
  <si>
    <t>222522</t>
  </si>
  <si>
    <t>EGLV147200412713</t>
  </si>
  <si>
    <t>3.TGBU6983530/EMCPEN9021</t>
  </si>
  <si>
    <t>22253</t>
  </si>
  <si>
    <t>1.PONU7895808/ML-CN5478382</t>
  </si>
  <si>
    <t>2.MRKU3618110/ML-CN9130520</t>
  </si>
  <si>
    <t>22254</t>
  </si>
  <si>
    <t>EGLV147200472759</t>
  </si>
  <si>
    <t>1.IMTU9080087/EMCMJM2041</t>
  </si>
  <si>
    <t>2310 PACKAGES</t>
  </si>
  <si>
    <t>222541</t>
  </si>
  <si>
    <t>025C625284</t>
  </si>
  <si>
    <t>WAN HAI 163 V.S394</t>
  </si>
  <si>
    <t>2.WHSU5656662/WHLS842116</t>
  </si>
  <si>
    <t>2,410 PACKAGE(S)</t>
  </si>
  <si>
    <t>000268</t>
  </si>
  <si>
    <t>MAO CHAN THY</t>
  </si>
  <si>
    <t>1.ZCSU7753623-40'HQ (PART OF)</t>
  </si>
  <si>
    <t>02013</t>
  </si>
  <si>
    <t>02014</t>
  </si>
  <si>
    <t>02015</t>
  </si>
  <si>
    <t>02016</t>
  </si>
  <si>
    <t>02024</t>
  </si>
  <si>
    <t>02040</t>
  </si>
  <si>
    <t>02050</t>
  </si>
  <si>
    <t>02061</t>
  </si>
  <si>
    <t>02064</t>
  </si>
  <si>
    <t>02062</t>
  </si>
  <si>
    <t>02063</t>
  </si>
  <si>
    <t>02074</t>
  </si>
  <si>
    <t>02112</t>
  </si>
  <si>
    <t>02113</t>
  </si>
  <si>
    <t>02114</t>
  </si>
  <si>
    <t>02115</t>
  </si>
  <si>
    <t>02116</t>
  </si>
  <si>
    <t>02140</t>
  </si>
  <si>
    <t>02141</t>
  </si>
  <si>
    <t>02142</t>
  </si>
  <si>
    <t>02168</t>
  </si>
  <si>
    <t>02190</t>
  </si>
  <si>
    <t>02234</t>
  </si>
  <si>
    <t>02235</t>
  </si>
  <si>
    <t>02270</t>
  </si>
  <si>
    <t>02284</t>
  </si>
  <si>
    <t>02294</t>
  </si>
  <si>
    <t>02324</t>
  </si>
  <si>
    <t>02306</t>
  </si>
  <si>
    <t>02323</t>
  </si>
  <si>
    <t>02354</t>
  </si>
  <si>
    <t>02355</t>
  </si>
  <si>
    <t>02356</t>
  </si>
  <si>
    <t>02357</t>
  </si>
  <si>
    <t>02403</t>
  </si>
  <si>
    <t>02404</t>
  </si>
  <si>
    <t>02405</t>
  </si>
  <si>
    <t>02413</t>
  </si>
  <si>
    <t>02421</t>
  </si>
  <si>
    <t>02422</t>
  </si>
  <si>
    <t>02455</t>
  </si>
  <si>
    <t>02456</t>
  </si>
  <si>
    <t>02499</t>
  </si>
  <si>
    <t>02516</t>
  </si>
  <si>
    <t>02517</t>
  </si>
  <si>
    <t>02518</t>
  </si>
  <si>
    <t>02519</t>
  </si>
  <si>
    <t>02520</t>
  </si>
  <si>
    <t>02527</t>
  </si>
  <si>
    <t>02556</t>
  </si>
  <si>
    <t>02546</t>
  </si>
  <si>
    <t>02555</t>
  </si>
  <si>
    <t>22255</t>
  </si>
  <si>
    <t>029C512224</t>
  </si>
  <si>
    <t>1.WHSU5719040/WHLQ887687</t>
  </si>
  <si>
    <t>222551</t>
  </si>
  <si>
    <t>164C502119</t>
  </si>
  <si>
    <t>2.TCNU4372064/WHLQ878568</t>
  </si>
  <si>
    <t>222552</t>
  </si>
  <si>
    <t>024C524963</t>
  </si>
  <si>
    <t>3.DFSU7653320/WHLP224334</t>
  </si>
  <si>
    <t>222553</t>
  </si>
  <si>
    <t>024C526066</t>
  </si>
  <si>
    <t>4.GCXU5350663/WHLP224256</t>
  </si>
  <si>
    <t>02581</t>
  </si>
  <si>
    <t>02582</t>
  </si>
  <si>
    <t>22256</t>
  </si>
  <si>
    <t>SITINSV049952G</t>
  </si>
  <si>
    <t>SITC JIANGSU V.2210S</t>
  </si>
  <si>
    <t>05.06.2022</t>
  </si>
  <si>
    <t>1.TCKU7363360/SITA353708</t>
  </si>
  <si>
    <t>230 PACKAGE(S)</t>
  </si>
  <si>
    <t>222561</t>
  </si>
  <si>
    <t>NSASHVG079390</t>
  </si>
  <si>
    <t>SITC INCHON V.2216S</t>
  </si>
  <si>
    <t>06.06.2022</t>
  </si>
  <si>
    <t>2.TLLU4073892/SITA083377</t>
  </si>
  <si>
    <t>1370 PACKAGE(S)</t>
  </si>
  <si>
    <t>222562</t>
  </si>
  <si>
    <t>NSASHVG079389</t>
  </si>
  <si>
    <t>3.TCKU7164820/SITA079061</t>
  </si>
  <si>
    <t>2200 PACKAGE(S)</t>
  </si>
  <si>
    <t>222563</t>
  </si>
  <si>
    <t>SITSKSVG318334</t>
  </si>
  <si>
    <t>4.SITU9145110/SITA193318</t>
  </si>
  <si>
    <t>1930 PACKAGE(S)</t>
  </si>
  <si>
    <t>22257</t>
  </si>
  <si>
    <t>VLP/FE/22/05/B/0136</t>
  </si>
  <si>
    <t>EIC/2022/013/0327715A/00320554</t>
  </si>
  <si>
    <t>1.NYKU4922816/IN0989372</t>
  </si>
  <si>
    <t>22258</t>
  </si>
  <si>
    <t>VLP/FE/22/05/B/0137</t>
  </si>
  <si>
    <t>EIC/2022/013/0339283A/00321028</t>
  </si>
  <si>
    <t>1.TLLU4818389/IN0908530</t>
  </si>
  <si>
    <t>MEKONG V.16</t>
  </si>
  <si>
    <t>22259</t>
  </si>
  <si>
    <t>222591</t>
  </si>
  <si>
    <t>222592</t>
  </si>
  <si>
    <t>222593</t>
  </si>
  <si>
    <t>22260</t>
  </si>
  <si>
    <t>222601</t>
  </si>
  <si>
    <t>SITSKSVG317434</t>
  </si>
  <si>
    <t>EGLV149203373286</t>
  </si>
  <si>
    <t>CNMC10922054</t>
  </si>
  <si>
    <t>1. NUKU4536285/H/19.0532882</t>
  </si>
  <si>
    <t>2.BMOU5003196/EMCHYV0941</t>
  </si>
  <si>
    <t>566 P'KGS</t>
  </si>
  <si>
    <t>1.TRHU5412798/SITA183319</t>
  </si>
  <si>
    <t>SITSKSVG317522</t>
  </si>
  <si>
    <t>2.TRHU8619454/SITA193351</t>
  </si>
  <si>
    <t>024C526012</t>
  </si>
  <si>
    <t>40SD96</t>
  </si>
  <si>
    <t>NSASHVG079318</t>
  </si>
  <si>
    <t>ZHONGGHU</t>
  </si>
  <si>
    <t>3.UETU5236367/SITK831797</t>
  </si>
  <si>
    <t>4.WHSU6160698/WHLP223061</t>
  </si>
  <si>
    <t>22261</t>
  </si>
  <si>
    <t>LAX-CAM-D2201</t>
  </si>
  <si>
    <t>BRIDGE V.0233N</t>
  </si>
  <si>
    <t>1.TGBU5730028/UL8533774
2.BEAU6077943/UL8533773
3.OOLU8939610/UL8533772
4.OOCU6931589/06369</t>
  </si>
  <si>
    <t>AUTO ONLY</t>
  </si>
  <si>
    <t>- 1 UNIT USED CARFORD MODEL T, MODEL YEAR 1912, LHD
- 1 UNIT USED CAR CADILLAC SERIES 62, MODEL YEAR 1941, LHD
- 1 UNIT USED CAR BENTLEY BROOKLANDS, MODEL YEAR 2009, LHD
- 1 UNIT USED CAR BENTLEY S2, MODEL YEAR 1962, LHD
- 1 UNIT USED CAR MESSERSCHMITT KR201, MODEL YEAR 1959, LHD
- 1 UNIT USED CAR JAGUAR 3.4S SALOO, MODEL YEAR 1966, LHD
- 1 UNIT USED MACK FIRE TRUCK, MODEL YEAR 1933, LHD</t>
  </si>
  <si>
    <t>VN-KH 22/01/23212</t>
  </si>
  <si>
    <t>VN-KH 22/01/23229</t>
  </si>
  <si>
    <t>VN-KH 22/01/23215</t>
  </si>
  <si>
    <t>22262</t>
  </si>
  <si>
    <t>02617</t>
  </si>
  <si>
    <t>02618</t>
  </si>
  <si>
    <t>02619</t>
  </si>
  <si>
    <t>02654</t>
  </si>
  <si>
    <t>02655</t>
  </si>
  <si>
    <t>02656</t>
  </si>
  <si>
    <t>222621</t>
  </si>
  <si>
    <t>222622</t>
  </si>
  <si>
    <t>22263</t>
  </si>
  <si>
    <t>222631</t>
  </si>
  <si>
    <t>222632</t>
  </si>
  <si>
    <t>222633</t>
  </si>
  <si>
    <t>22264</t>
  </si>
  <si>
    <t>222641</t>
  </si>
  <si>
    <t>222642</t>
  </si>
  <si>
    <t>222643</t>
  </si>
  <si>
    <t>22265</t>
  </si>
  <si>
    <t>222651</t>
  </si>
  <si>
    <t>222652</t>
  </si>
  <si>
    <t>22266</t>
  </si>
  <si>
    <t>164C502501</t>
  </si>
  <si>
    <t>WAN HAI 165 V.S396</t>
  </si>
  <si>
    <t>09.06.2022</t>
  </si>
  <si>
    <t>1.WHSU6228859/WHLM192506</t>
  </si>
  <si>
    <t>1,300 PACKAGE(S)</t>
  </si>
  <si>
    <t>030C515168</t>
  </si>
  <si>
    <t>2.WHSU5195658/WHLS849275</t>
  </si>
  <si>
    <t>1,325 PACKAGE(S)</t>
  </si>
  <si>
    <t>NSASHVG079250</t>
  </si>
  <si>
    <t>3.TRHU4115310/SITZ623782</t>
  </si>
  <si>
    <t>2380PACKAGE(S)</t>
  </si>
  <si>
    <t>NAHCB22002078</t>
  </si>
  <si>
    <t>KITI BHUM V.986S</t>
  </si>
  <si>
    <t>1.TCNU2396529/CNCAN2115549</t>
  </si>
  <si>
    <t>870 PACKAGE(S)</t>
  </si>
  <si>
    <t>SZXCB22022453</t>
  </si>
  <si>
    <t>2.TGHU6264646/CNSHK2210754</t>
  </si>
  <si>
    <t>NAHCB22002118</t>
  </si>
  <si>
    <t>3.CAIU8252593/CNCAN2115528</t>
  </si>
  <si>
    <t>2320 PACKAGE(S)</t>
  </si>
  <si>
    <t>2330 PACKAGE(S)</t>
  </si>
  <si>
    <t>NAHCB22002122</t>
  </si>
  <si>
    <t>4.TGHU6781422/CNCAN2115527</t>
  </si>
  <si>
    <t>025C634628</t>
  </si>
  <si>
    <t>KITCHENWARE AND PLASTICS PRODUCTS</t>
  </si>
  <si>
    <t>1.WHSU5221715/WHLP276618</t>
  </si>
  <si>
    <t>029C513765</t>
  </si>
  <si>
    <t>024C527168</t>
  </si>
  <si>
    <t>3.WHSU6546130/WHLP452246</t>
  </si>
  <si>
    <t>024C529682</t>
  </si>
  <si>
    <t>4.WHLU5563034/WHLP418394
5.WHSU5003190/WHLP418315</t>
  </si>
  <si>
    <t>1200 PKGS</t>
  </si>
  <si>
    <t>024C527165</t>
  </si>
  <si>
    <t>029C513881</t>
  </si>
  <si>
    <t>025C635408</t>
  </si>
  <si>
    <t>1,340 CARTON(S)</t>
  </si>
  <si>
    <t>COAU7238842311</t>
  </si>
  <si>
    <t>1.TRHU5536042/CR080054
2.BMOU5216041/CR080053</t>
  </si>
  <si>
    <t>1134 P'KGS</t>
  </si>
  <si>
    <t>1.WHSU5001963/WHLQ891689</t>
  </si>
  <si>
    <t>2.TRHU4917825/WHLP452241</t>
  </si>
  <si>
    <t>3.CAAU5154055/WHLS800752
4.WHSU5355144/WHLM189649</t>
  </si>
  <si>
    <t>2.WHSU6328267/WHLP184620</t>
  </si>
  <si>
    <t>22267</t>
  </si>
  <si>
    <t>GBPNH2206009</t>
  </si>
  <si>
    <t>20220531/VP-BJC-KH</t>
  </si>
  <si>
    <t>1.DRYU9963827-40'HC</t>
  </si>
  <si>
    <t>36 ROLLS</t>
  </si>
  <si>
    <t xml:space="preserve">ADD NEW CNEE </t>
  </si>
  <si>
    <t>PIC</t>
  </si>
  <si>
    <t>RECOVERY COLLECTION CONSULTANT CO.,LTD</t>
  </si>
  <si>
    <t>SON DARA IMEX CO.,LTD</t>
  </si>
  <si>
    <t>SCD</t>
  </si>
  <si>
    <t>MOUSTAFA MT</t>
  </si>
  <si>
    <t>DHONNA JIA CHENG IMP EXP CO.,LTD</t>
  </si>
  <si>
    <t>SAM SOPHAL</t>
  </si>
  <si>
    <t>VN-KH 22/01/23434</t>
  </si>
  <si>
    <t>22268</t>
  </si>
  <si>
    <t>MCC ANDALAS V.221S</t>
  </si>
  <si>
    <t>07.06.2022</t>
  </si>
  <si>
    <t>1.MRSU5465840/ML-CN0670208</t>
  </si>
  <si>
    <t>22269</t>
  </si>
  <si>
    <t>ONEYDXBC04989300</t>
  </si>
  <si>
    <t>BRIDGE V.0234N</t>
  </si>
  <si>
    <t>11.06.2022</t>
  </si>
  <si>
    <t>1.TCKU3446574/AE110954A</t>
  </si>
  <si>
    <t>AUTOMATIC</t>
  </si>
  <si>
    <t>22270</t>
  </si>
  <si>
    <t>NAHCB22002121</t>
  </si>
  <si>
    <t>9.06.2022</t>
  </si>
  <si>
    <t>1.SEGU4226021/CNCAN2115525</t>
  </si>
  <si>
    <t>22271</t>
  </si>
  <si>
    <t>CNMC10922062</t>
  </si>
  <si>
    <t>1.GGLU7777157/H/19.0532587</t>
  </si>
  <si>
    <t>02283</t>
  </si>
  <si>
    <t>22272</t>
  </si>
  <si>
    <t>ASIATIC QUEST V.222S</t>
  </si>
  <si>
    <t>12.06.2022</t>
  </si>
  <si>
    <t>1.MSKU0938657/ML-CN8355482</t>
  </si>
  <si>
    <t>1310 PACKAGES</t>
  </si>
  <si>
    <t>222721</t>
  </si>
  <si>
    <t>2.MRSU5851910/ML-CN8355474</t>
  </si>
  <si>
    <t>1305 PACKAGES</t>
  </si>
  <si>
    <t>222722</t>
  </si>
  <si>
    <t>3.TGBU6809699/ML-CN0680101</t>
  </si>
  <si>
    <t>SZXCB2201931401</t>
  </si>
  <si>
    <t>22273</t>
  </si>
  <si>
    <t>1.FSCU8134113/CNSHK2207430</t>
  </si>
  <si>
    <t>22274</t>
  </si>
  <si>
    <t>SITINSV049669G</t>
  </si>
  <si>
    <t>SITC KAWASAKI V.2210S</t>
  </si>
  <si>
    <t>1.FFAU1324028/SITZ774377</t>
  </si>
  <si>
    <t>1556 PACKAGE(S)</t>
  </si>
  <si>
    <t>22275</t>
  </si>
  <si>
    <t>1.TLLU5987594/ML-CN8355481</t>
  </si>
  <si>
    <t>222751</t>
  </si>
  <si>
    <t>FURNITURE AND MIXED CARGO</t>
  </si>
  <si>
    <t>2.TCNU2629580/ML-CN8355479</t>
  </si>
  <si>
    <t>222752</t>
  </si>
  <si>
    <t>3.TCKU7036407/ML-CN8355473</t>
  </si>
  <si>
    <t>2380 PACKAGES</t>
  </si>
  <si>
    <t>218949136</t>
  </si>
  <si>
    <t>218726401</t>
  </si>
  <si>
    <t>02711</t>
  </si>
  <si>
    <t>02713</t>
  </si>
  <si>
    <t>02712</t>
  </si>
  <si>
    <t>02714</t>
  </si>
  <si>
    <t>02715</t>
  </si>
  <si>
    <t>02761</t>
  </si>
  <si>
    <t>02756</t>
  </si>
  <si>
    <t>02757</t>
  </si>
  <si>
    <t>02754</t>
  </si>
  <si>
    <t>02755</t>
  </si>
  <si>
    <t>02758</t>
  </si>
  <si>
    <t>22276</t>
  </si>
  <si>
    <t>218777191</t>
  </si>
  <si>
    <t>1.MSKU0634654/ML-CN8355484</t>
  </si>
  <si>
    <t>2350 PACKAGES</t>
  </si>
  <si>
    <t>222761</t>
  </si>
  <si>
    <t>NSASHVG080202</t>
  </si>
  <si>
    <t>SITC PYEONGTAEK V.2217S</t>
  </si>
  <si>
    <t>14.06.2022</t>
  </si>
  <si>
    <t>CHAIR</t>
  </si>
  <si>
    <t>2.TCKU7169009/SITA073573</t>
  </si>
  <si>
    <t>467 PACKAGE(S)</t>
  </si>
  <si>
    <t>222762</t>
  </si>
  <si>
    <t>NSASHVG080070</t>
  </si>
  <si>
    <t>222763</t>
  </si>
  <si>
    <t>222764</t>
  </si>
  <si>
    <t>NSASHVG080069</t>
  </si>
  <si>
    <t>3.SITU9154262/SITA067587</t>
  </si>
  <si>
    <t>1920 PACKAGE(S)</t>
  </si>
  <si>
    <t>1700 PACKAGE(S)</t>
  </si>
  <si>
    <t>NSASHVG080903</t>
  </si>
  <si>
    <t>4.DFSU7706820/SITA079186</t>
  </si>
  <si>
    <t>5.BMOU6517190/SITA083237</t>
  </si>
  <si>
    <t>22277</t>
  </si>
  <si>
    <t>CNMC10922068</t>
  </si>
  <si>
    <t>1.YMLU8067540/H/19.0533017</t>
  </si>
  <si>
    <t>584 P'KGS</t>
  </si>
  <si>
    <t>222771</t>
  </si>
  <si>
    <t>CNMC10922072</t>
  </si>
  <si>
    <t>2.MOEU0603530/HQ/20.0191840</t>
  </si>
  <si>
    <t>22278</t>
  </si>
  <si>
    <t>NSASHVG080198</t>
  </si>
  <si>
    <t>1.TLLU4600062/SITZ632340
2.BMOU6466934/SITA072331
3.TCKU6700595/SITA072339</t>
  </si>
  <si>
    <t>1950 PACKAGE(S)</t>
  </si>
  <si>
    <t>40HC
40HC
40HC</t>
  </si>
  <si>
    <t>NSASHVG080332</t>
  </si>
  <si>
    <t>BUILDING MATERIALS AND HOUSEHOLD</t>
  </si>
  <si>
    <t>4.SITU9114608/SITA073865</t>
  </si>
  <si>
    <t>NSASHVG079849A</t>
  </si>
  <si>
    <t>5.TRHU5435896/SITA073940</t>
  </si>
  <si>
    <t>222781</t>
  </si>
  <si>
    <t>222782</t>
  </si>
  <si>
    <t>22279</t>
  </si>
  <si>
    <t>029C512223</t>
  </si>
  <si>
    <t>1.WHSU6549334/WHLQ915881</t>
  </si>
  <si>
    <t>850 PKGS</t>
  </si>
  <si>
    <t>222791</t>
  </si>
  <si>
    <t>NSASHVG080375</t>
  </si>
  <si>
    <t>2.TGBU7056347/SITA072336</t>
  </si>
  <si>
    <t>222792</t>
  </si>
  <si>
    <t>NSASHVG079913</t>
  </si>
  <si>
    <t>3.UETU5636147/SITA080758</t>
  </si>
  <si>
    <t>222793</t>
  </si>
  <si>
    <t>NSASHVG079847</t>
  </si>
  <si>
    <t>4.UETU5884420/SITA077428
5.TEMU6688365/SITA068470</t>
  </si>
  <si>
    <t>1400 PACKAGE(S)</t>
  </si>
  <si>
    <t>22280</t>
  </si>
  <si>
    <t>OMPLCHS220137</t>
  </si>
  <si>
    <t>014/2022</t>
  </si>
  <si>
    <t>PINNVAREE V.22046E</t>
  </si>
  <si>
    <t>6-14</t>
  </si>
  <si>
    <t>CARTON BOX, PLASTIC WRAPPER, STICKER, KRAFT PAPER, SPARE PART</t>
  </si>
  <si>
    <t>1.OMPL9516803-40'HC</t>
  </si>
  <si>
    <t>22281</t>
  </si>
  <si>
    <t>SITSKSVG322398</t>
  </si>
  <si>
    <t>SITC RIZHAO V.2217S</t>
  </si>
  <si>
    <t>16.06.2022</t>
  </si>
  <si>
    <t>1.BEAU4345902/SITA154615</t>
  </si>
  <si>
    <t>690 PACKAGE(S)</t>
  </si>
  <si>
    <t>222811</t>
  </si>
  <si>
    <t>024C531803</t>
  </si>
  <si>
    <t>WAN HAI 275 V.S183</t>
  </si>
  <si>
    <t>18.06.2022</t>
  </si>
  <si>
    <t>2.WHLU5572782/WHLR170230</t>
  </si>
  <si>
    <t>222812</t>
  </si>
  <si>
    <t>029C514688</t>
  </si>
  <si>
    <t>3.WHSU5960850/WHLP193354</t>
  </si>
  <si>
    <t>22282</t>
  </si>
  <si>
    <t>029C515612</t>
  </si>
  <si>
    <t>1.WHSU6170280/WHLQ897767</t>
  </si>
  <si>
    <t>222821</t>
  </si>
  <si>
    <t>024C532896</t>
  </si>
  <si>
    <t>2.FBLU0021916/WHLQ900624
3.TCNU6004143/WHLQ884975</t>
  </si>
  <si>
    <t>1,340 CTNS</t>
  </si>
  <si>
    <t>222822</t>
  </si>
  <si>
    <t>SITSKSVG323371</t>
  </si>
  <si>
    <t>4.TRHU8618360/SITA154430</t>
  </si>
  <si>
    <t>22283</t>
  </si>
  <si>
    <t>024C530715</t>
  </si>
  <si>
    <t>1.WHSU5689352/WHLR170308</t>
  </si>
  <si>
    <t>2,360 PKGS</t>
  </si>
  <si>
    <t>222831</t>
  </si>
  <si>
    <t>NSASHVG080049</t>
  </si>
  <si>
    <t>2.SEGU4717880/SITA075363
3.TCNU4526555/SITA078938</t>
  </si>
  <si>
    <t>4485 PACKAGE(S)</t>
  </si>
  <si>
    <t>222832</t>
  </si>
  <si>
    <t>NSASHVG080045</t>
  </si>
  <si>
    <t>4.TGBU7222387/SITA080935
5.BMOU6468599/SITA078945</t>
  </si>
  <si>
    <t>4555 PACKAGE(S)</t>
  </si>
  <si>
    <t>22284</t>
  </si>
  <si>
    <t>024C530712</t>
  </si>
  <si>
    <t>XIANG FU 2 V.E836</t>
  </si>
  <si>
    <t>1.BSIU9900145/WHLR170389</t>
  </si>
  <si>
    <t>1,320 PKGS</t>
  </si>
  <si>
    <t>222841</t>
  </si>
  <si>
    <t>024C532914</t>
  </si>
  <si>
    <t>2.WHLU5578667/WHLQ914887</t>
  </si>
  <si>
    <t>1,330 PKGS</t>
  </si>
  <si>
    <t>222842</t>
  </si>
  <si>
    <t>3.TCKU7584566/WHLQ914886</t>
  </si>
  <si>
    <t>1,332 PKGS</t>
  </si>
  <si>
    <t>22285</t>
  </si>
  <si>
    <t>1400 PACKAGES</t>
  </si>
  <si>
    <t>40DRY
40DRY</t>
  </si>
  <si>
    <t>222851</t>
  </si>
  <si>
    <t>024C532904</t>
  </si>
  <si>
    <t>1.MSKU1895673/ML-CN5486625
2.MSKU0009662/ML-CN5486554</t>
  </si>
  <si>
    <t>3.WHSU5313909/WHLQ914930</t>
  </si>
  <si>
    <t>2,150 PKGS</t>
  </si>
  <si>
    <t>222852</t>
  </si>
  <si>
    <t>029C514686</t>
  </si>
  <si>
    <t>4.TCKU7055393/WHLQ884973
5.WHSU5633538/WHLQ909110</t>
  </si>
  <si>
    <t>4,690 PKGS</t>
  </si>
  <si>
    <t>SITC PYEONEGTAEK V.2217S</t>
  </si>
  <si>
    <t>024C532913</t>
  </si>
  <si>
    <t>02843</t>
  </si>
  <si>
    <t>02818</t>
  </si>
  <si>
    <t>02819</t>
  </si>
  <si>
    <t>02820</t>
  </si>
  <si>
    <t>02782</t>
  </si>
  <si>
    <t>02783</t>
  </si>
  <si>
    <t>02784</t>
  </si>
  <si>
    <t>02785</t>
  </si>
  <si>
    <t>22286</t>
  </si>
  <si>
    <t>EGLV149203999576</t>
  </si>
  <si>
    <t>1.EMCU8234424/EMCMQK8181</t>
  </si>
  <si>
    <t>02861</t>
  </si>
  <si>
    <t>02864</t>
  </si>
  <si>
    <t>02865</t>
  </si>
  <si>
    <t>02866</t>
  </si>
  <si>
    <t>02867</t>
  </si>
  <si>
    <t>00658</t>
  </si>
  <si>
    <t>00649</t>
  </si>
  <si>
    <t>00711</t>
  </si>
  <si>
    <t>00712</t>
  </si>
  <si>
    <t>00656</t>
  </si>
  <si>
    <t>00657</t>
  </si>
  <si>
    <t>00756</t>
  </si>
  <si>
    <t>00755</t>
  </si>
  <si>
    <t>00806</t>
  </si>
  <si>
    <t>22287</t>
  </si>
  <si>
    <t>EGLV147200480808</t>
  </si>
  <si>
    <t>EVER CORE V.0216-043S</t>
  </si>
  <si>
    <t>21.06.2022</t>
  </si>
  <si>
    <t>1.EITU9054995/EMCPEN3381</t>
  </si>
  <si>
    <t>694 PACKAGES</t>
  </si>
  <si>
    <t>222871</t>
  </si>
  <si>
    <t>EGLV147200480816</t>
  </si>
  <si>
    <t>2.GAOU6390777/EMCPEN3961</t>
  </si>
  <si>
    <t>22288</t>
  </si>
  <si>
    <t>NSASHVG080054</t>
  </si>
  <si>
    <t>1.TRHU6956570/SITA075415</t>
  </si>
  <si>
    <t>2365 PACKAGE(S)</t>
  </si>
  <si>
    <t>222881</t>
  </si>
  <si>
    <t>222882</t>
  </si>
  <si>
    <t>22289</t>
  </si>
  <si>
    <t>COAU7238898890</t>
  </si>
  <si>
    <t>KAMA BHUM V.283S</t>
  </si>
  <si>
    <t>20.06.2022</t>
  </si>
  <si>
    <t>1.TGBU4948490/CR077058</t>
  </si>
  <si>
    <t>2140 PACKAGES</t>
  </si>
  <si>
    <t>HONGKONG</t>
  </si>
  <si>
    <t>030C515416</t>
  </si>
  <si>
    <t>WAN HAI 163 V.S395</t>
  </si>
  <si>
    <t>2.WHSU5521780/WHLS808534</t>
  </si>
  <si>
    <t>2290 PACKAGE(S)</t>
  </si>
  <si>
    <t>SZXCB22020768</t>
  </si>
  <si>
    <t>3.CAIU9614167/SHA2228087</t>
  </si>
  <si>
    <t>1750 PACKAGE(S)</t>
  </si>
  <si>
    <t>222891</t>
  </si>
  <si>
    <t>EGLV147200520958</t>
  </si>
  <si>
    <t>22.06.2022</t>
  </si>
  <si>
    <t>2.TCNU2402792/EMCPEN8781</t>
  </si>
  <si>
    <t>2370 PACKAGES</t>
  </si>
  <si>
    <t>222892</t>
  </si>
  <si>
    <t>NAHCB22002370</t>
  </si>
  <si>
    <t>METHI BHUM V.364S</t>
  </si>
  <si>
    <t>19.06.2022</t>
  </si>
  <si>
    <t>3.CAIU8294921/CNCAN1913517</t>
  </si>
  <si>
    <t>1335 PACKAGE(S)</t>
  </si>
  <si>
    <t>222893</t>
  </si>
  <si>
    <t>NAHCB22002371</t>
  </si>
  <si>
    <t>4.TCNU7289020/CNCAN1913520</t>
  </si>
  <si>
    <t>1334 PACKAGE(S)</t>
  </si>
  <si>
    <t>22290</t>
  </si>
  <si>
    <t>GBPNH2206023</t>
  </si>
  <si>
    <t>20220609/VP-BJC-KH</t>
  </si>
  <si>
    <t>VN-KH 22/01/24402</t>
  </si>
  <si>
    <t>GLS16 V224N</t>
  </si>
  <si>
    <t>1.KDCU5111399-40'HC, 2.DRYU9951024-40'HC</t>
  </si>
  <si>
    <t>22291</t>
  </si>
  <si>
    <t>SITINSV050292G</t>
  </si>
  <si>
    <t>SITC GUANGXI V.2210S</t>
  </si>
  <si>
    <t>1.TRHU5790606/SITZ2774374</t>
  </si>
  <si>
    <t>518 PACKAGE(S)</t>
  </si>
  <si>
    <t>222911</t>
  </si>
  <si>
    <t>025C641904</t>
  </si>
  <si>
    <t>2.WHSU5977575/WHLS886150</t>
  </si>
  <si>
    <t>2,292 PACKAGE(S)</t>
  </si>
  <si>
    <t>22292</t>
  </si>
  <si>
    <t>164C502585</t>
  </si>
  <si>
    <t>1.WHSU5264229/WHLS840657</t>
  </si>
  <si>
    <t>1,302 PACKAGE(S)</t>
  </si>
  <si>
    <t>222921</t>
  </si>
  <si>
    <t>EGLV149204139970</t>
  </si>
  <si>
    <t>2.EGHU9678136/EMCJAH1321</t>
  </si>
  <si>
    <t>625 PKGS</t>
  </si>
  <si>
    <t>222922</t>
  </si>
  <si>
    <t>NAHCB22002453</t>
  </si>
  <si>
    <t>CHANA BHUM V.828S</t>
  </si>
  <si>
    <t>24.06.2022</t>
  </si>
  <si>
    <t>3.TXGU6879533/CNFOS1401826</t>
  </si>
  <si>
    <t>1776 PACKAGE(S)</t>
  </si>
  <si>
    <t>22293</t>
  </si>
  <si>
    <t>024C531780</t>
  </si>
  <si>
    <t>1.WHSU6253569/WHLQ911483</t>
  </si>
  <si>
    <t>2,340 PKGS</t>
  </si>
  <si>
    <t>222931</t>
  </si>
  <si>
    <t>029C516078</t>
  </si>
  <si>
    <t>25.06.2022</t>
  </si>
  <si>
    <t>2.WHSU5158952/WHLQ893919</t>
  </si>
  <si>
    <t>2,394 PKGS</t>
  </si>
  <si>
    <t>222932</t>
  </si>
  <si>
    <t>024C535104</t>
  </si>
  <si>
    <t>3.WHSU5984933/WHLQ915825</t>
  </si>
  <si>
    <t>2,372 PKGS</t>
  </si>
  <si>
    <t>WAN HAI 165 V.S397</t>
  </si>
  <si>
    <t>22294</t>
  </si>
  <si>
    <t>025C652827</t>
  </si>
  <si>
    <t>1.WHSU6794814/WHLM187074</t>
  </si>
  <si>
    <t>600 CARTON(S)</t>
  </si>
  <si>
    <t>02469</t>
  </si>
  <si>
    <t>02468</t>
  </si>
  <si>
    <t>02534</t>
  </si>
  <si>
    <t>01313</t>
  </si>
  <si>
    <t>00702</t>
  </si>
  <si>
    <t>00807</t>
  </si>
  <si>
    <t>00880</t>
  </si>
  <si>
    <t>01047</t>
  </si>
  <si>
    <t>01044</t>
  </si>
  <si>
    <t>01556</t>
  </si>
  <si>
    <t>01579</t>
  </si>
  <si>
    <t>01810</t>
  </si>
  <si>
    <t>01811</t>
  </si>
  <si>
    <t>01915</t>
  </si>
  <si>
    <t>01914</t>
  </si>
  <si>
    <t>02981</t>
  </si>
  <si>
    <t>02980</t>
  </si>
  <si>
    <t>02947</t>
  </si>
  <si>
    <t>02922</t>
  </si>
  <si>
    <t>02921</t>
  </si>
  <si>
    <t>02920</t>
  </si>
  <si>
    <t>02896</t>
  </si>
  <si>
    <t>22295</t>
  </si>
  <si>
    <t>SHAWD068498</t>
  </si>
  <si>
    <t>E220781997180255</t>
  </si>
  <si>
    <t>NEW CAR MG RX8, MODEL YEAR 2022, LHD</t>
  </si>
  <si>
    <t>1.IAAU1763892-40HQ
2.IAAU1827370-40HQ
3.IAAU1870611-40HQ
4.IAAU1879856-40HQ
5.IAAU1901570-40HQ
6.IAAU1912804-40HQ
7.IAAU1930916-40HQ
8.SEGU6758770-40HQ</t>
  </si>
  <si>
    <t>22296</t>
  </si>
  <si>
    <t>SHAWD068512</t>
  </si>
  <si>
    <t>E220781997180254</t>
  </si>
  <si>
    <t>NEW CAR MG GT 1.5T DCT, MODEL YEAR 2022</t>
  </si>
  <si>
    <t xml:space="preserve">1.IAAU1871670-40HQ 
2.IAAU1886500-40HQ </t>
  </si>
  <si>
    <t>22297</t>
  </si>
  <si>
    <t>NSASHVG081369</t>
  </si>
  <si>
    <t>SITC INCHON V.2218S</t>
  </si>
  <si>
    <t>26.06.2022</t>
  </si>
  <si>
    <t>1.BEAU4338800/SITA079169</t>
  </si>
  <si>
    <t>222971</t>
  </si>
  <si>
    <t>NSASHVG081360</t>
  </si>
  <si>
    <t>2.TRHU8646547/SITA075587</t>
  </si>
  <si>
    <t>1320 PACKAGE(S)</t>
  </si>
  <si>
    <t>22298</t>
  </si>
  <si>
    <t>NSASHVG081324</t>
  </si>
  <si>
    <t>1.TRHU5413536/SITA073933</t>
  </si>
  <si>
    <t>222981</t>
  </si>
  <si>
    <t>SSNSHVG081699</t>
  </si>
  <si>
    <t>2.TEMU8153146/SITA081086</t>
  </si>
  <si>
    <t>22299</t>
  </si>
  <si>
    <t>SITSKSVG325854</t>
  </si>
  <si>
    <t>1.CAAU6316654/SITA193617</t>
  </si>
  <si>
    <t>670 CARTON(S)</t>
  </si>
  <si>
    <t>222991</t>
  </si>
  <si>
    <t>NSASHVG081662</t>
  </si>
  <si>
    <t>2.FFAU1316906/SITA075463</t>
  </si>
  <si>
    <t>22300</t>
  </si>
  <si>
    <t>27.06.2022</t>
  </si>
  <si>
    <t>1.MSKU1083643/ML-CN6580947</t>
  </si>
  <si>
    <t>218524233</t>
  </si>
  <si>
    <t>22301</t>
  </si>
  <si>
    <t>NSASHVG081438</t>
  </si>
  <si>
    <t>NEW HONGQI CAR CA7150HA6T H5, MODEL YEAR 2021, LHD</t>
  </si>
  <si>
    <t>ZG20220619F</t>
  </si>
  <si>
    <t>1.TCKU7166680-40HC
2.TCNU1961610-40HC
3.UETU5790640-40HC</t>
  </si>
  <si>
    <t>CHINA GOOD CAR INVESTMENT (CAMBODIA) CO.,LTD</t>
  </si>
  <si>
    <t>#ឃ្លាំងលេខ ៩-១០ ផ្លូវ ភូមិ ៧ សង្កាត់ ទឹកល្អក់ទី១ ខណ្ឌ ទួលគោក រាជធានីភ្នំពេញ
VAT : K005-901907714</t>
  </si>
  <si>
    <t>EE3035125</t>
  </si>
  <si>
    <t>K005-901907714</t>
  </si>
  <si>
    <t>092 778 859</t>
  </si>
  <si>
    <t>22302</t>
  </si>
  <si>
    <t>EGLV149204633842</t>
  </si>
  <si>
    <t>JKHM20220201-2</t>
  </si>
  <si>
    <t>NEW JETOUR BRAND CAR X70, MODEL YEAR 2022, LHD</t>
  </si>
  <si>
    <t>CHERY</t>
  </si>
  <si>
    <t>CGC</t>
  </si>
  <si>
    <t>22303</t>
  </si>
  <si>
    <t>COAU7238608730</t>
  </si>
  <si>
    <t>2022JL492</t>
  </si>
  <si>
    <t>NEW JMC BRAND CAR PICK UP VIGUS PRO, MODEL YEAR 2022, LHD</t>
  </si>
  <si>
    <t>1.CSNU7336450-40H
2.CSNU6962090-40H</t>
  </si>
  <si>
    <t>22304</t>
  </si>
  <si>
    <t>223041</t>
  </si>
  <si>
    <t>223042</t>
  </si>
  <si>
    <t>22305</t>
  </si>
  <si>
    <t>024C536537</t>
  </si>
  <si>
    <t>WAN HAI 177 V.S001</t>
  </si>
  <si>
    <t>01.07.2022</t>
  </si>
  <si>
    <t>1.WHSU6747854/WHLR171742</t>
  </si>
  <si>
    <t>1,941 PKGS</t>
  </si>
  <si>
    <t>COAU7238937910</t>
  </si>
  <si>
    <t>KUO LUNG V.189S</t>
  </si>
  <si>
    <t>30.06.2022</t>
  </si>
  <si>
    <t>2.CSNU7967918/SYA0606011</t>
  </si>
  <si>
    <t>2050 PACKAGES</t>
  </si>
  <si>
    <t>NSASHVG079252B</t>
  </si>
  <si>
    <t>SITC PY EONGTAEK V.2219S</t>
  </si>
  <si>
    <t>3.SITU9135241/SITA079016</t>
  </si>
  <si>
    <t>2490PACKAGE(S)</t>
  </si>
  <si>
    <t>SITSKSVG328664</t>
  </si>
  <si>
    <t>1.SITU9091919/SITA160055</t>
  </si>
  <si>
    <t>223051</t>
  </si>
  <si>
    <t>SITSKSVG328101</t>
  </si>
  <si>
    <t>2.SITU9115625/SITA193488</t>
  </si>
  <si>
    <t>223052</t>
  </si>
  <si>
    <t>NSASHVG082150</t>
  </si>
  <si>
    <t>3.TGBU6667850/SITA079578</t>
  </si>
  <si>
    <t>690PACKAGE(S)</t>
  </si>
  <si>
    <t>22306</t>
  </si>
  <si>
    <t>EGLV140201250027</t>
  </si>
  <si>
    <t>EVER CONCERT 0217 V.011S</t>
  </si>
  <si>
    <t>USED HORIZONTAL HYDRAULIC BALER MACHINE</t>
  </si>
  <si>
    <t>1.TLLU5792416/EMCLTT5131</t>
  </si>
  <si>
    <t>1 SET</t>
  </si>
  <si>
    <t>COAU7239529183</t>
  </si>
  <si>
    <t>2.TCNU6516957/SYA0606050</t>
  </si>
  <si>
    <t>KH INT'N</t>
  </si>
  <si>
    <t>223061</t>
  </si>
  <si>
    <t>https://goo.gl/maps/TAd2yAmn6EJfHT3z8</t>
  </si>
  <si>
    <t>22307</t>
  </si>
  <si>
    <t>223071</t>
  </si>
  <si>
    <t>22308</t>
  </si>
  <si>
    <t>223081</t>
  </si>
  <si>
    <t>SITINSV050664G</t>
  </si>
  <si>
    <t>SITC GUANGDONG V.2212S</t>
  </si>
  <si>
    <t>1.FCIU9283093/SITZ785000</t>
  </si>
  <si>
    <t>206 PACKAGE(S)</t>
  </si>
  <si>
    <t>SITINSV050793G</t>
  </si>
  <si>
    <t>1,400 PACKAGE(S)</t>
  </si>
  <si>
    <t>2.TRHU4066448/SITA350236</t>
  </si>
  <si>
    <t>NSASHVG081991</t>
  </si>
  <si>
    <t>1.CXDU2041144/SITA079052</t>
  </si>
  <si>
    <t>1816PACKAGE(S)</t>
  </si>
  <si>
    <t>NSASHVG081992</t>
  </si>
  <si>
    <t>2.RFCU5071018/SITA083236</t>
  </si>
  <si>
    <t>2170PACKAGE(S)</t>
  </si>
  <si>
    <t>22309</t>
  </si>
  <si>
    <t>22310</t>
  </si>
  <si>
    <t>SHAWD068556</t>
  </si>
  <si>
    <t xml:space="preserve">1.DRYU9988609/40'HQ
2.IAAU1769020/40'HQ	
3.IAAU1824046/40'HQ	
4.IAAU1871813/40'HQ	
5.SEGU6699569/40'HQ	
6.SEKU4107032/40'HQ	</t>
  </si>
  <si>
    <t>SHAWD068557</t>
  </si>
  <si>
    <t>20409956ETC</t>
  </si>
  <si>
    <t>NEW CAR MG 6, 2023
NEW CAR MG RX8, 2022</t>
  </si>
  <si>
    <t>1.FDCU0319868 / 40'HQ
2.IAAU1702979 / 40'HQ
3.IAAU1781221 / 40'HQ
4.SEKU4113858 / 40'HQ</t>
  </si>
  <si>
    <t>22311</t>
  </si>
  <si>
    <t>22312</t>
  </si>
  <si>
    <t>VLP/FE/22/06/B/0174</t>
  </si>
  <si>
    <t>MEKONG 6 V.124W</t>
  </si>
  <si>
    <t>04.07.2022</t>
  </si>
  <si>
    <t>1.TCLU7812880/IN0984766</t>
  </si>
  <si>
    <t>30 BOXES</t>
  </si>
  <si>
    <t>VLP/FE/22/06/B/0173</t>
  </si>
  <si>
    <t>22313</t>
  </si>
  <si>
    <t>025C658252</t>
  </si>
  <si>
    <t>WAN HAI 163 V.S396</t>
  </si>
  <si>
    <t>06.07.2022</t>
  </si>
  <si>
    <t>1.WHSU6255643/WHLJ630467</t>
  </si>
  <si>
    <t>223131</t>
  </si>
  <si>
    <t>025C659076</t>
  </si>
  <si>
    <t>2.WHLU5510420/WHLS811987</t>
  </si>
  <si>
    <t>E220781997180271</t>
  </si>
  <si>
    <t>E220781997180269</t>
  </si>
  <si>
    <t>EIC/2022/013/0416676A/00424695</t>
  </si>
  <si>
    <t>EIC/2022/013/0416787A/00424672</t>
  </si>
  <si>
    <t>22314</t>
  </si>
  <si>
    <t>223141</t>
  </si>
  <si>
    <t>025C658940</t>
  </si>
  <si>
    <t>1.WHSU5681454/WHLS794374</t>
  </si>
  <si>
    <t>1720 PKGS</t>
  </si>
  <si>
    <t>164C502958</t>
  </si>
  <si>
    <t>2.WHSU6185715/WHLS883137</t>
  </si>
  <si>
    <t>1288 PKGS</t>
  </si>
  <si>
    <t>22315</t>
  </si>
  <si>
    <t>22316</t>
  </si>
  <si>
    <t>22317</t>
  </si>
  <si>
    <t>22318</t>
  </si>
  <si>
    <t>22319</t>
  </si>
  <si>
    <t>3170SH019/20</t>
  </si>
  <si>
    <t>ST20222471</t>
  </si>
  <si>
    <t>NEW EXCAVATOR, ROAD ROLLER, MODEL YEAR 2022</t>
  </si>
  <si>
    <t>3170SH013</t>
  </si>
  <si>
    <t>CHOEM PICHIT IMPORT EXPORT CO.,LTD</t>
  </si>
  <si>
    <t>22SQZ0601064093C-1</t>
  </si>
  <si>
    <t>3170SH015</t>
  </si>
  <si>
    <t>DF22CV-124KH004-2</t>
  </si>
  <si>
    <t>China Dong Feng</t>
  </si>
  <si>
    <t>NEW DUMP TRUCK SX3255DR384, MODEL YEAR 2022</t>
  </si>
  <si>
    <t>SHAWD068562</t>
  </si>
  <si>
    <t>E220781997180301</t>
  </si>
  <si>
    <t>1.IAAU1719210-40HQ
2.IAAU1772929-40HQ
3.IAAU1776457-40HQ
4.IAAU1801550-40HQ
5.IAAU1802052-40HQ
6.IAAU1808750-40HQ
7.IAAU1823501-40HQ
8.IAAU1843920-40HQ
9.IAAU1894660-40HQ
10.TGHU6817314-40HQ</t>
  </si>
  <si>
    <t>CNMC10922114</t>
  </si>
  <si>
    <t>11.07.2022</t>
  </si>
  <si>
    <t>1. IMEU8821074/H/19.0713377</t>
  </si>
  <si>
    <t>592 P'KGS</t>
  </si>
  <si>
    <t>CHOEM PICHIT</t>
  </si>
  <si>
    <t>ភេទប្រុស មានអត្តសញ្ញាណប័ណ្ណសញ្ជាតិខ្មែរលេខៈ 100746252 ជាប្រធានក្រុមហ៊ុន CHOEM PICHIT IMPORT EXPORT CO.,LTD អត្តសញ្ញាណកម្មសារពើពន្ធ (VAT)លេខៈ L009-902202339</t>
  </si>
  <si>
    <t>#គ្មាន ផ្លូវ ឩកញ៉ាម៉ុងឫទ្ធី(១៩២៨) ភូមិ ច្រេស សង្កាត់ គោកឃ្លាង ខណ្ឌ សែនសុខ រាជធានីភ្នំពេញ
VAT : L009-902202339</t>
  </si>
  <si>
    <t>100746252</t>
  </si>
  <si>
    <t>L009-902202339</t>
  </si>
  <si>
    <t>093 453 081</t>
  </si>
  <si>
    <t>22320</t>
  </si>
  <si>
    <t>22321</t>
  </si>
  <si>
    <t>22322</t>
  </si>
  <si>
    <t>22323</t>
  </si>
  <si>
    <t>22324</t>
  </si>
  <si>
    <t>MOLU18003714080</t>
  </si>
  <si>
    <t>E220781997180258</t>
  </si>
  <si>
    <t>NEW CAR  MG HS, 2022</t>
  </si>
  <si>
    <t>MOLU18003679987</t>
  </si>
  <si>
    <t>E220781997180257</t>
  </si>
  <si>
    <t>MOLU18003714075</t>
  </si>
  <si>
    <t>20409342ETC</t>
  </si>
  <si>
    <t>E220781997180260</t>
  </si>
  <si>
    <t>NEW CAR MG RX8, 2022</t>
  </si>
  <si>
    <t>MOLU18003685444</t>
  </si>
  <si>
    <t>20409344ETC</t>
  </si>
  <si>
    <t>E220781997180259</t>
  </si>
  <si>
    <t>MOLU18003714100</t>
  </si>
  <si>
    <t>20409339ETC</t>
  </si>
  <si>
    <t>E220781997180261</t>
  </si>
  <si>
    <t>NEW CAR  MG HS, GT, RX5, 2022</t>
  </si>
  <si>
    <t>NEW CAR  MG HS, 2021</t>
  </si>
  <si>
    <t>22325</t>
  </si>
  <si>
    <t>NSASHVG082782</t>
  </si>
  <si>
    <t>REFLECTION V.2234S</t>
  </si>
  <si>
    <t>10.07.2022</t>
  </si>
  <si>
    <t>1.FFAU1160897/SITA080920</t>
  </si>
  <si>
    <t>2360 PACKAGE(S)</t>
  </si>
  <si>
    <t>223251</t>
  </si>
  <si>
    <t>NSASHVG082998</t>
  </si>
  <si>
    <t>2.SLSU8025393/SITA080847</t>
  </si>
  <si>
    <t>1302 PACKAGE(S)</t>
  </si>
  <si>
    <t>22326</t>
  </si>
  <si>
    <t>SITINSV050797G1</t>
  </si>
  <si>
    <t>SITC KAWASAKI V.2212S</t>
  </si>
  <si>
    <t>1.TEMU7425419/SITA350989</t>
  </si>
  <si>
    <t>1538 PACKAGE(S)</t>
  </si>
  <si>
    <t>BL INTERNATIONAL</t>
  </si>
  <si>
    <t>223261</t>
  </si>
  <si>
    <t>SITINSV050797G2</t>
  </si>
  <si>
    <t>2.TRHU4123907/SITA355299</t>
  </si>
  <si>
    <t>1,420 PACKAGE(S)</t>
  </si>
  <si>
    <t>223262</t>
  </si>
  <si>
    <t>SITINSV050727G</t>
  </si>
  <si>
    <t>3.BMOU6853168/SITA351088</t>
  </si>
  <si>
    <t>383 PACKAGE(S)</t>
  </si>
  <si>
    <t>22327</t>
  </si>
  <si>
    <t>EGLV149204526086</t>
  </si>
  <si>
    <t>1.TCNU2125044/EMCLWR1811</t>
  </si>
  <si>
    <t>NON FCL</t>
  </si>
  <si>
    <t>1.BEAU4626920/IN0984754</t>
  </si>
  <si>
    <t>22328</t>
  </si>
  <si>
    <t>3170SH033</t>
  </si>
  <si>
    <t>TS0226188</t>
  </si>
  <si>
    <t>NEW WHEEL EXCAVATOR, 2022</t>
  </si>
  <si>
    <t>Quanzhou</t>
  </si>
  <si>
    <t>22329</t>
  </si>
  <si>
    <t>22330</t>
  </si>
  <si>
    <t>LS226TJ025</t>
  </si>
  <si>
    <t>ZGYY-QY-HLH-20220422</t>
  </si>
  <si>
    <t>New Drill Rig D440A, 2022</t>
  </si>
  <si>
    <t>LS226TJ031/032</t>
  </si>
  <si>
    <t>ST20222185</t>
  </si>
  <si>
    <t>NEW EXCAVATOR BRAND:MATADOR, 2022</t>
  </si>
  <si>
    <t>22331</t>
  </si>
  <si>
    <t>025C671974</t>
  </si>
  <si>
    <t>PRIME V.S008</t>
  </si>
  <si>
    <t>14.07.2022</t>
  </si>
  <si>
    <t>1.BEAU5990407/WHLM189636</t>
  </si>
  <si>
    <t>223311</t>
  </si>
  <si>
    <t>024C538010</t>
  </si>
  <si>
    <t>2.WHSU5250930/WHLQ909997</t>
  </si>
  <si>
    <t>024C537119</t>
  </si>
  <si>
    <t>22332</t>
  </si>
  <si>
    <t>1.WHSU5890074/WHLR171732</t>
  </si>
  <si>
    <t>2,260 PKGS</t>
  </si>
  <si>
    <t>223321</t>
  </si>
  <si>
    <t>024C537121</t>
  </si>
  <si>
    <t>2.WHSU6633635/WHLR170891</t>
  </si>
  <si>
    <t>1,726 PKGS</t>
  </si>
  <si>
    <t>22333</t>
  </si>
  <si>
    <t>CNMC10922268</t>
  </si>
  <si>
    <t>16.07.2022</t>
  </si>
  <si>
    <t>1.INKU2623737/H/19.0713996</t>
  </si>
  <si>
    <t>590 P'KGS</t>
  </si>
  <si>
    <t>22334</t>
  </si>
  <si>
    <t>SHAWD068667</t>
  </si>
  <si>
    <t>NEW CAR MG HS 2022, MG ZS 2022</t>
  </si>
  <si>
    <t>22335</t>
  </si>
  <si>
    <t>LS226TJ024</t>
  </si>
  <si>
    <t>2022-LINYU-W002</t>
  </si>
  <si>
    <t>NEW FUEL TANK TRUCK 2022</t>
  </si>
  <si>
    <t>LUOYANG</t>
  </si>
  <si>
    <t>E220781997180300</t>
  </si>
  <si>
    <r>
      <rPr>
        <sz val="11"/>
        <color rgb="FFFF0000"/>
        <rFont val="Calibri"/>
        <family val="2"/>
        <scheme val="minor"/>
      </rPr>
      <t>1.EGHU8202952-40H</t>
    </r>
    <r>
      <rPr>
        <sz val="11"/>
        <color theme="1"/>
        <rFont val="Calibri"/>
        <family val="2"/>
        <scheme val="minor"/>
      </rPr>
      <t xml:space="preserve">
</t>
    </r>
    <r>
      <rPr>
        <sz val="11"/>
        <color rgb="FFFF0000"/>
        <rFont val="Calibri"/>
        <family val="2"/>
        <scheme val="minor"/>
      </rPr>
      <t>2.EGHU9613747-40H</t>
    </r>
    <r>
      <rPr>
        <sz val="11"/>
        <color theme="1"/>
        <rFont val="Calibri"/>
        <family val="2"/>
        <scheme val="minor"/>
      </rPr>
      <t xml:space="preserve">
</t>
    </r>
    <r>
      <rPr>
        <sz val="11"/>
        <color rgb="FFFF0000"/>
        <rFont val="Calibri"/>
        <family val="2"/>
        <scheme val="minor"/>
      </rPr>
      <t>3.EITU9348752-40H</t>
    </r>
    <r>
      <rPr>
        <sz val="11"/>
        <color theme="1"/>
        <rFont val="Calibri"/>
        <family val="2"/>
        <scheme val="minor"/>
      </rPr>
      <t xml:space="preserve">
</t>
    </r>
    <r>
      <rPr>
        <sz val="11"/>
        <color rgb="FFFF0000"/>
        <rFont val="Calibri"/>
        <family val="2"/>
        <scheme val="minor"/>
      </rPr>
      <t>4.EMCU8903242-40H</t>
    </r>
    <r>
      <rPr>
        <sz val="11"/>
        <color theme="1"/>
        <rFont val="Calibri"/>
        <family val="2"/>
        <scheme val="minor"/>
      </rPr>
      <t xml:space="preserve">
</t>
    </r>
    <r>
      <rPr>
        <sz val="11"/>
        <color rgb="FFFF0000"/>
        <rFont val="Calibri"/>
        <family val="2"/>
        <scheme val="minor"/>
      </rPr>
      <t>5.TXGU5550754-40H</t>
    </r>
    <r>
      <rPr>
        <sz val="11"/>
        <color theme="1"/>
        <rFont val="Calibri"/>
        <family val="2"/>
        <scheme val="minor"/>
      </rPr>
      <t xml:space="preserve">
</t>
    </r>
    <r>
      <rPr>
        <sz val="11"/>
        <color rgb="FFFF0000"/>
        <rFont val="Calibri"/>
        <family val="2"/>
        <scheme val="minor"/>
      </rPr>
      <t>6.TXGU5584688-40H</t>
    </r>
  </si>
  <si>
    <t>22336</t>
  </si>
  <si>
    <t>SHAWD068705</t>
  </si>
  <si>
    <t>NEW CAR MG GT 2022 (COM), NEW CAR MG GT 2022 (DEL)</t>
  </si>
  <si>
    <t>E220781997180303</t>
  </si>
  <si>
    <t>22337</t>
  </si>
  <si>
    <t>TCN7643001A</t>
  </si>
  <si>
    <t>20.07.2022</t>
  </si>
  <si>
    <t>USED YACHT, MODEL YEAR 2011, BRAND MERCURY USA, HIN# CN20172464382, COLOR BLUE/WHITE</t>
  </si>
  <si>
    <t>JIANGHUA</t>
  </si>
  <si>
    <t>22338</t>
  </si>
  <si>
    <t>NSASHVG083574</t>
  </si>
  <si>
    <t>RESURGENCE V.2234S</t>
  </si>
  <si>
    <t>17.07.2022</t>
  </si>
  <si>
    <t>1.SITU9083209/SITA075545</t>
  </si>
  <si>
    <t>223381</t>
  </si>
  <si>
    <t>NSASHVG083575</t>
  </si>
  <si>
    <t>2.TRLU7361358/SITZ623728</t>
  </si>
  <si>
    <t>223382</t>
  </si>
  <si>
    <t>SITSKSVG333236</t>
  </si>
  <si>
    <t>3.SITU9114064/SITA145732</t>
  </si>
  <si>
    <t>223383</t>
  </si>
  <si>
    <t>NSASHVG083571</t>
  </si>
  <si>
    <t>4.BEAU4346431/SITF754645</t>
  </si>
  <si>
    <t>2210 PACKAGE(S)</t>
  </si>
  <si>
    <t>22339</t>
  </si>
  <si>
    <t>COAU7239912211</t>
  </si>
  <si>
    <t>19.07.2022</t>
  </si>
  <si>
    <t>1.CSNU6966183/SYA0695127</t>
  </si>
  <si>
    <t>22340</t>
  </si>
  <si>
    <t>024C537101</t>
  </si>
  <si>
    <t>FENG NIAN 88 V.E959</t>
  </si>
  <si>
    <t>1.DFSU7748050/WHLR170826</t>
  </si>
  <si>
    <t>223401</t>
  </si>
  <si>
    <t>024C539377</t>
  </si>
  <si>
    <t>WAN HAI 163 V.S397</t>
  </si>
  <si>
    <t>2.WHSU5229830/WHLQ908695</t>
  </si>
  <si>
    <t>2,250 PKGS</t>
  </si>
  <si>
    <t>223402</t>
  </si>
  <si>
    <t>030C518572</t>
  </si>
  <si>
    <t>3.WHSU5167430/WHLS841542</t>
  </si>
  <si>
    <t>1,020 PACKAGE(S)</t>
  </si>
  <si>
    <t>22341</t>
  </si>
  <si>
    <t>164C503172</t>
  </si>
  <si>
    <t>1.BEAU4814471/WHLM189725</t>
  </si>
  <si>
    <t>223411</t>
  </si>
  <si>
    <t>025C673187</t>
  </si>
  <si>
    <t>2.WHSU5951159/WHLS790786</t>
  </si>
  <si>
    <t>223412</t>
  </si>
  <si>
    <t>025C672791</t>
  </si>
  <si>
    <t>3.WHLU5800964/WHLR063125</t>
  </si>
  <si>
    <t>1,310 PACKAGE(S)</t>
  </si>
  <si>
    <t>03202</t>
  </si>
  <si>
    <t>PHUOC LONG 6
V. 192W</t>
  </si>
  <si>
    <t>PHUOC LONG 10 V.174W</t>
  </si>
  <si>
    <t>22342</t>
  </si>
  <si>
    <t>GMD22HPHPNH0111</t>
  </si>
  <si>
    <t>20220708/VP-BJC-KH</t>
  </si>
  <si>
    <t>VN-KH 22/01/28886</t>
  </si>
  <si>
    <t>PHUOC LONG 6 V.192W</t>
  </si>
  <si>
    <t>18.07.2022</t>
  </si>
  <si>
    <t>1.GMDU8182096-40HC 2.GMDU8191122-40HC 3.GMDU8190337-40HC</t>
  </si>
  <si>
    <t>93 ROLLS</t>
  </si>
  <si>
    <t>22343</t>
  </si>
  <si>
    <t>JT2212SSGS624</t>
  </si>
  <si>
    <t>SITC GUANGXI V.2212S</t>
  </si>
  <si>
    <t>1.BEAU4338760/SITA652640</t>
  </si>
  <si>
    <t>22344</t>
  </si>
  <si>
    <t>CNMC10922315</t>
  </si>
  <si>
    <t>21.07.2022</t>
  </si>
  <si>
    <t>1. FXLU2021101/C/17.0115589</t>
  </si>
  <si>
    <t>596 P'KGS</t>
  </si>
  <si>
    <t>22345</t>
  </si>
  <si>
    <t>SITSKSVG336527</t>
  </si>
  <si>
    <t>SITC KA OHSIUNG V.2234S</t>
  </si>
  <si>
    <t>22.07.2022</t>
  </si>
  <si>
    <t>1.SEGU4269790/SITA154009</t>
  </si>
  <si>
    <t>675 PACKAGE(S)</t>
  </si>
  <si>
    <t>223451</t>
  </si>
  <si>
    <t>SITSKSVG338558</t>
  </si>
  <si>
    <t>KITCHENWARE AND PLASTICT PRODUCTS</t>
  </si>
  <si>
    <t>2.BMOU6479926/SITK820356</t>
  </si>
  <si>
    <t>223452</t>
  </si>
  <si>
    <t>NSASHVG084265</t>
  </si>
  <si>
    <t>3.TRHU6678524/SITA074329</t>
  </si>
  <si>
    <t>22346</t>
  </si>
  <si>
    <t>CNMC10922422</t>
  </si>
  <si>
    <t>24.07.2022</t>
  </si>
  <si>
    <t>PAPER CUP, JUTE SACKS, PLASTIC LUNCH BOX</t>
  </si>
  <si>
    <t>1. DHLU2021843/H/19.0713620</t>
  </si>
  <si>
    <t>755 P'KGS</t>
  </si>
  <si>
    <t>22347</t>
  </si>
  <si>
    <t>EGLV147200617927</t>
  </si>
  <si>
    <t>JKHM20220201C</t>
  </si>
  <si>
    <t>NEW JETOUR BRAND CAR X70 PLUS, 2022</t>
  </si>
  <si>
    <t>22348</t>
  </si>
  <si>
    <t>EGLV149205368132</t>
  </si>
  <si>
    <t>23.07.2022</t>
  </si>
  <si>
    <t>1.EMCU8883450/EMCMMP2632</t>
  </si>
  <si>
    <t>22349</t>
  </si>
  <si>
    <t>3247SH111</t>
  </si>
  <si>
    <t>DUMP TRUCK DONGFENG, 2022</t>
  </si>
  <si>
    <t>22350</t>
  </si>
  <si>
    <t>COAU7239842030</t>
  </si>
  <si>
    <t>2022JL495-1</t>
  </si>
  <si>
    <t>JMC TRUCK N720 JX1044TC2, 2022</t>
  </si>
  <si>
    <t>1.TCNU5289083-40HQ</t>
  </si>
  <si>
    <t>DF22CV-327KH002</t>
  </si>
  <si>
    <r>
      <rPr>
        <sz val="11"/>
        <color rgb="FFFF0000"/>
        <rFont val="Calibri"/>
        <family val="2"/>
        <scheme val="minor"/>
      </rPr>
      <t>1. IAAU1711250 / 40'HQ</t>
    </r>
    <r>
      <rPr>
        <sz val="11"/>
        <color theme="1"/>
        <rFont val="Calibri"/>
        <family val="2"/>
        <scheme val="minor"/>
      </rPr>
      <t xml:space="preserve">
</t>
    </r>
    <r>
      <rPr>
        <sz val="11"/>
        <color rgb="FFFF0000"/>
        <rFont val="Calibri"/>
        <family val="2"/>
        <scheme val="minor"/>
      </rPr>
      <t>2. IAAU1718384 / 40'HQ(NO OG)
3. IAAU1744193 / 40'HQ</t>
    </r>
    <r>
      <rPr>
        <sz val="11"/>
        <color theme="1"/>
        <rFont val="Calibri"/>
        <family val="2"/>
        <scheme val="minor"/>
      </rPr>
      <t xml:space="preserve">
</t>
    </r>
    <r>
      <rPr>
        <sz val="11"/>
        <color rgb="FFFF0000"/>
        <rFont val="Calibri"/>
        <family val="2"/>
        <scheme val="minor"/>
      </rPr>
      <t>4. IAAU1785274 / 40'HQ</t>
    </r>
    <r>
      <rPr>
        <sz val="11"/>
        <color theme="1"/>
        <rFont val="Calibri"/>
        <family val="2"/>
        <scheme val="minor"/>
      </rPr>
      <t xml:space="preserve">
</t>
    </r>
    <r>
      <rPr>
        <sz val="11"/>
        <color rgb="FFFF0000"/>
        <rFont val="Calibri"/>
        <family val="2"/>
        <scheme val="minor"/>
      </rPr>
      <t>5. IAAU1814460 / 40'HQ</t>
    </r>
    <r>
      <rPr>
        <sz val="11"/>
        <color theme="1"/>
        <rFont val="Calibri"/>
        <family val="2"/>
        <scheme val="minor"/>
      </rPr>
      <t xml:space="preserve">
</t>
    </r>
    <r>
      <rPr>
        <sz val="11"/>
        <color rgb="FFFF0000"/>
        <rFont val="Calibri"/>
        <family val="2"/>
        <scheme val="minor"/>
      </rPr>
      <t>6. IAAU1830748 / 40'HQ
7. IAAU1858658 / 40'HQ</t>
    </r>
    <r>
      <rPr>
        <sz val="11"/>
        <color theme="1"/>
        <rFont val="Calibri"/>
        <family val="2"/>
        <scheme val="minor"/>
      </rPr>
      <t xml:space="preserve">
</t>
    </r>
    <r>
      <rPr>
        <sz val="11"/>
        <color rgb="FFFF0000"/>
        <rFont val="Calibri"/>
        <family val="2"/>
        <scheme val="minor"/>
      </rPr>
      <t>8. IAAU1876965 / 40'HQ</t>
    </r>
    <r>
      <rPr>
        <sz val="11"/>
        <color theme="1"/>
        <rFont val="Calibri"/>
        <family val="2"/>
        <scheme val="minor"/>
      </rPr>
      <t xml:space="preserve">
</t>
    </r>
    <r>
      <rPr>
        <sz val="11"/>
        <color rgb="FFFF0000"/>
        <rFont val="Calibri"/>
        <family val="2"/>
        <scheme val="minor"/>
      </rPr>
      <t>9. SEKU4118166 / 40'HQ</t>
    </r>
    <r>
      <rPr>
        <sz val="11"/>
        <color theme="1"/>
        <rFont val="Calibri"/>
        <family val="2"/>
        <scheme val="minor"/>
      </rPr>
      <t xml:space="preserve">
</t>
    </r>
    <r>
      <rPr>
        <sz val="11"/>
        <color rgb="FFFF0000"/>
        <rFont val="Calibri"/>
        <family val="2"/>
        <scheme val="minor"/>
      </rPr>
      <t>10. TGBU7703952 / 40'HQ</t>
    </r>
  </si>
  <si>
    <t>22351</t>
  </si>
  <si>
    <t>NSASHVG084089</t>
  </si>
  <si>
    <t>SITC KAOHSIUNG V.2234S</t>
  </si>
  <si>
    <t>1.FFAU1102627/SITA080972</t>
  </si>
  <si>
    <t>223511</t>
  </si>
  <si>
    <t>NSASHVG084090</t>
  </si>
  <si>
    <t>2.UETU5758818/SITA075564</t>
  </si>
  <si>
    <t>22352</t>
  </si>
  <si>
    <t>SITINSV051708G</t>
  </si>
  <si>
    <t>SITC FUJIAN V.2212S</t>
  </si>
  <si>
    <t>25.07.2022</t>
  </si>
  <si>
    <t>418 PACKAGE(S)</t>
  </si>
  <si>
    <t>1.TRHU6357606/SITA344806</t>
  </si>
  <si>
    <t>02999</t>
  </si>
  <si>
    <t>03069</t>
  </si>
  <si>
    <t>03071</t>
  </si>
  <si>
    <t>03072</t>
  </si>
  <si>
    <t>03073</t>
  </si>
  <si>
    <t>03153</t>
  </si>
  <si>
    <t>03154</t>
  </si>
  <si>
    <t>03155</t>
  </si>
  <si>
    <t>03141</t>
  </si>
  <si>
    <t>03176</t>
  </si>
  <si>
    <t>03315</t>
  </si>
  <si>
    <t>03316</t>
  </si>
  <si>
    <t>03243</t>
  </si>
  <si>
    <t>03366</t>
  </si>
  <si>
    <t>03285</t>
  </si>
  <si>
    <t>03317</t>
  </si>
  <si>
    <t>03318</t>
  </si>
  <si>
    <t>03354</t>
  </si>
  <si>
    <t>03405</t>
  </si>
  <si>
    <t>03406</t>
  </si>
  <si>
    <t>03430</t>
  </si>
  <si>
    <t>03487</t>
  </si>
  <si>
    <t>03488</t>
  </si>
  <si>
    <t>03489</t>
  </si>
  <si>
    <t>03490</t>
  </si>
  <si>
    <t>03523</t>
  </si>
  <si>
    <t>03536</t>
  </si>
  <si>
    <t>03537</t>
  </si>
  <si>
    <t>03602</t>
  </si>
  <si>
    <t>03603</t>
  </si>
  <si>
    <t>03604</t>
  </si>
  <si>
    <t>03416</t>
  </si>
  <si>
    <t>03638</t>
  </si>
  <si>
    <t>03205</t>
  </si>
  <si>
    <t>03206</t>
  </si>
  <si>
    <t>03188</t>
  </si>
  <si>
    <t>03189</t>
  </si>
  <si>
    <t>03207</t>
  </si>
  <si>
    <t>03208</t>
  </si>
  <si>
    <t>03367</t>
  </si>
  <si>
    <t>03368</t>
  </si>
  <si>
    <t>03326</t>
  </si>
  <si>
    <t>03373</t>
  </si>
  <si>
    <t>03374</t>
  </si>
  <si>
    <t>03375</t>
  </si>
  <si>
    <t>03376</t>
  </si>
  <si>
    <t>03372</t>
  </si>
  <si>
    <t>03438</t>
  </si>
  <si>
    <t>03439</t>
  </si>
  <si>
    <t>03440</t>
  </si>
  <si>
    <t>03469</t>
  </si>
  <si>
    <t>03470</t>
  </si>
  <si>
    <t>03507</t>
  </si>
  <si>
    <t>03614</t>
  </si>
  <si>
    <t>03648</t>
  </si>
  <si>
    <t>03650</t>
  </si>
  <si>
    <t>https://goo.gl/maps/z8V4So5cupHNnQ9f7</t>
  </si>
  <si>
    <t>22353</t>
  </si>
  <si>
    <t>22354</t>
  </si>
  <si>
    <t>223541</t>
  </si>
  <si>
    <t>223542</t>
  </si>
  <si>
    <t>025C685390</t>
  </si>
  <si>
    <t>PRIME V.S009</t>
  </si>
  <si>
    <t>29.07.2022</t>
  </si>
  <si>
    <t>1.WHSU5330254/WHLS882910</t>
  </si>
  <si>
    <t>660 CARTONS</t>
  </si>
  <si>
    <t>024C542145</t>
  </si>
  <si>
    <t>1.WHSU5937757/WHLQ908710</t>
  </si>
  <si>
    <t>2,192 PKGS</t>
  </si>
  <si>
    <t>024C540303</t>
  </si>
  <si>
    <t>2.WHSU6645894/WHLR169994</t>
  </si>
  <si>
    <t>029C519463</t>
  </si>
  <si>
    <t>3.WHSU5726543/WHLQ876770</t>
  </si>
  <si>
    <t>2213 PKGS</t>
  </si>
  <si>
    <t>1,585 PKGS</t>
  </si>
  <si>
    <t>22355</t>
  </si>
  <si>
    <t>SHAWD068758</t>
  </si>
  <si>
    <t>E220781997180313</t>
  </si>
  <si>
    <t>NEW CAR MG GT, 2022</t>
  </si>
  <si>
    <t>22356</t>
  </si>
  <si>
    <t>SHAWD068796</t>
  </si>
  <si>
    <t>E220781997180325</t>
  </si>
  <si>
    <t>NEW CAR MG 6,2023 GT, 2022</t>
  </si>
  <si>
    <t>1.IAAU1839107-40HQ
2.IAAU1898100-40HQ
3.IAAU1908384-40HQ</t>
  </si>
  <si>
    <r>
      <rPr>
        <sz val="11"/>
        <color rgb="FFFF0000"/>
        <rFont val="Calibri"/>
        <family val="2"/>
        <scheme val="minor"/>
      </rPr>
      <t>1.FCIU8990609-40HQ</t>
    </r>
    <r>
      <rPr>
        <sz val="11"/>
        <color theme="1"/>
        <rFont val="Calibri"/>
        <family val="2"/>
        <scheme val="minor"/>
      </rPr>
      <t xml:space="preserve">
</t>
    </r>
    <r>
      <rPr>
        <sz val="11"/>
        <color rgb="FFFF0000"/>
        <rFont val="Calibri"/>
        <family val="2"/>
        <scheme val="minor"/>
      </rPr>
      <t>2.IAAU1739480-40HQ</t>
    </r>
    <r>
      <rPr>
        <sz val="11"/>
        <color theme="1"/>
        <rFont val="Calibri"/>
        <family val="2"/>
        <scheme val="minor"/>
      </rPr>
      <t xml:space="preserve">
</t>
    </r>
    <r>
      <rPr>
        <sz val="11"/>
        <color rgb="FFFF0000"/>
        <rFont val="Calibri"/>
        <family val="2"/>
        <scheme val="minor"/>
      </rPr>
      <t>3.IAAU1742204-40HQ</t>
    </r>
    <r>
      <rPr>
        <sz val="11"/>
        <color theme="1"/>
        <rFont val="Calibri"/>
        <family val="2"/>
        <scheme val="minor"/>
      </rPr>
      <t xml:space="preserve">
</t>
    </r>
    <r>
      <rPr>
        <sz val="11"/>
        <color rgb="FFFF0000"/>
        <rFont val="Calibri"/>
        <family val="2"/>
        <scheme val="minor"/>
      </rPr>
      <t>4.IAAU1927635-40HQ
5.IAAU1930201-40HQ</t>
    </r>
    <r>
      <rPr>
        <sz val="11"/>
        <color theme="1"/>
        <rFont val="Calibri"/>
        <family val="2"/>
        <scheme val="minor"/>
      </rPr>
      <t xml:space="preserve">
</t>
    </r>
    <r>
      <rPr>
        <sz val="11"/>
        <color rgb="FFFF0000"/>
        <rFont val="Calibri"/>
        <family val="2"/>
        <scheme val="minor"/>
      </rPr>
      <t>6.IAAU1941891-40HQ</t>
    </r>
    <r>
      <rPr>
        <sz val="11"/>
        <color theme="1"/>
        <rFont val="Calibri"/>
        <family val="2"/>
        <scheme val="minor"/>
      </rPr>
      <t xml:space="preserve">
</t>
    </r>
    <r>
      <rPr>
        <sz val="11"/>
        <color rgb="FFFF0000"/>
        <rFont val="Calibri"/>
        <family val="2"/>
        <scheme val="minor"/>
      </rPr>
      <t>7.IAAU1943750-40HQ</t>
    </r>
    <r>
      <rPr>
        <sz val="11"/>
        <color theme="1"/>
        <rFont val="Calibri"/>
        <family val="2"/>
        <scheme val="minor"/>
      </rPr>
      <t xml:space="preserve">
</t>
    </r>
    <r>
      <rPr>
        <sz val="11"/>
        <color rgb="FFFF0000"/>
        <rFont val="Calibri"/>
        <family val="2"/>
        <scheme val="minor"/>
      </rPr>
      <t>8.SEGU6682376-40HQ</t>
    </r>
    <r>
      <rPr>
        <sz val="11"/>
        <color theme="1"/>
        <rFont val="Calibri"/>
        <family val="2"/>
        <scheme val="minor"/>
      </rPr>
      <t xml:space="preserve">
</t>
    </r>
    <r>
      <rPr>
        <sz val="11"/>
        <color rgb="FFFF0000"/>
        <rFont val="Calibri"/>
        <family val="2"/>
        <scheme val="minor"/>
      </rPr>
      <t>9.SEKU4125170-40HQ</t>
    </r>
    <r>
      <rPr>
        <sz val="11"/>
        <color theme="1"/>
        <rFont val="Calibri"/>
        <family val="2"/>
        <scheme val="minor"/>
      </rPr>
      <t xml:space="preserve">
</t>
    </r>
    <r>
      <rPr>
        <sz val="11"/>
        <color rgb="FFFF0000"/>
        <rFont val="Calibri"/>
        <family val="2"/>
        <scheme val="minor"/>
      </rPr>
      <t>10.TCKU6573823-40HQ</t>
    </r>
  </si>
  <si>
    <t>22357</t>
  </si>
  <si>
    <t>ONEYSINC43459900</t>
  </si>
  <si>
    <t>BRIDGE V.0239N</t>
  </si>
  <si>
    <t>6930 BAGS</t>
  </si>
  <si>
    <t>40ST
40ST
40ST
40ST
40ST
40ST
40ST</t>
  </si>
  <si>
    <t>EXXONMOBILL</t>
  </si>
  <si>
    <t>JIANG ZHIPING</t>
  </si>
  <si>
    <t>N0.10G,ST230 PHUM4 SANGKAT BOE UNG SALANG KHAN TUOL KOUK - PHNOM PENH
VAT :K005-902101776</t>
  </si>
  <si>
    <t>E85954264</t>
  </si>
  <si>
    <t>K005-902101776</t>
  </si>
  <si>
    <t>071 792 7651</t>
  </si>
  <si>
    <t>ភេទប្រុស ដែលមានលិខិតឆ្លងដែនលេខៈ E85954264 ជាប្រធានក្រុមហ៊ុន EVERSAILING SUPPLY CHAIN (CAMBODIA) CO.,LTD អត្តសញ្ញាណកម្មសារពើពន្ធ (VAT)លេខៈ K005-902101776 ទូរសព្ទ័លេខៈ 071 792 7651</t>
  </si>
  <si>
    <t>1.IAAU1794804-40HQ 2.IAAU1841830-40HQ 3.IAAU1854267-40HQ 4.IAAU1875531-40HQ
5.IAAU1924657-40HQ
6.SEGU6698500-40HQ
7.SEKU4126290-40HQ</t>
  </si>
  <si>
    <r>
      <rPr>
        <sz val="11"/>
        <color rgb="FFFF0000"/>
        <rFont val="Calibri"/>
        <family val="2"/>
        <scheme val="minor"/>
      </rPr>
      <t>1.DFSU6639116-40H</t>
    </r>
    <r>
      <rPr>
        <sz val="11"/>
        <color theme="1"/>
        <rFont val="Calibri"/>
        <family val="2"/>
        <scheme val="minor"/>
      </rPr>
      <t xml:space="preserve">
</t>
    </r>
    <r>
      <rPr>
        <sz val="11"/>
        <color rgb="FFFF0000"/>
        <rFont val="Calibri"/>
        <family val="2"/>
        <scheme val="minor"/>
      </rPr>
      <t>2.CAAU5329702-40H</t>
    </r>
    <r>
      <rPr>
        <sz val="11"/>
        <color theme="1"/>
        <rFont val="Calibri"/>
        <family val="2"/>
        <scheme val="minor"/>
      </rPr>
      <t xml:space="preserve">
</t>
    </r>
    <r>
      <rPr>
        <sz val="11"/>
        <color rgb="FFFF0000"/>
        <rFont val="Calibri"/>
        <family val="2"/>
        <scheme val="minor"/>
      </rPr>
      <t>3.GAOU6294330-40H</t>
    </r>
    <r>
      <rPr>
        <sz val="11"/>
        <color theme="1"/>
        <rFont val="Calibri"/>
        <family val="2"/>
        <scheme val="minor"/>
      </rPr>
      <t xml:space="preserve">
</t>
    </r>
    <r>
      <rPr>
        <sz val="11"/>
        <color rgb="FFFF0000"/>
        <rFont val="Calibri"/>
        <family val="2"/>
        <scheme val="minor"/>
      </rPr>
      <t>4.EISU8224753-40H</t>
    </r>
    <r>
      <rPr>
        <sz val="11"/>
        <color theme="1"/>
        <rFont val="Calibri"/>
        <family val="2"/>
        <scheme val="minor"/>
      </rPr>
      <t xml:space="preserve">
</t>
    </r>
    <r>
      <rPr>
        <sz val="11"/>
        <color rgb="FFFF0000"/>
        <rFont val="Calibri"/>
        <family val="2"/>
        <scheme val="minor"/>
      </rPr>
      <t>5.BMOU4802290-40H</t>
    </r>
    <r>
      <rPr>
        <sz val="11"/>
        <color theme="1"/>
        <rFont val="Calibri"/>
        <family val="2"/>
        <scheme val="minor"/>
      </rPr>
      <t xml:space="preserve">
</t>
    </r>
    <r>
      <rPr>
        <sz val="11"/>
        <color rgb="FFFF0000"/>
        <rFont val="Calibri"/>
        <family val="2"/>
        <scheme val="minor"/>
      </rPr>
      <t>6.EGSU9165564-40H</t>
    </r>
    <r>
      <rPr>
        <sz val="11"/>
        <color theme="1"/>
        <rFont val="Calibri"/>
        <family val="2"/>
        <scheme val="minor"/>
      </rPr>
      <t xml:space="preserve">
</t>
    </r>
    <r>
      <rPr>
        <sz val="11"/>
        <color rgb="FFFF0000"/>
        <rFont val="Calibri"/>
        <family val="2"/>
        <scheme val="minor"/>
      </rPr>
      <t>7.EITU1919562-40H</t>
    </r>
  </si>
  <si>
    <t>22358</t>
  </si>
  <si>
    <t>COAU7240265560</t>
  </si>
  <si>
    <t>JMC BRAND CAR PICK UP YUHU 7, 2022</t>
  </si>
  <si>
    <t>1.TEMU7833302-40HQ</t>
  </si>
  <si>
    <t>22359</t>
  </si>
  <si>
    <t>COAU7240265190</t>
  </si>
  <si>
    <t>2022JL495-2B</t>
  </si>
  <si>
    <t>JMC BRAND CAR PICK UP VIGUS PRO, 2022</t>
  </si>
  <si>
    <t>1.TGBU8948543-40HQ</t>
  </si>
  <si>
    <t>22360</t>
  </si>
  <si>
    <t>OMPLCHS220180</t>
  </si>
  <si>
    <t>016/2022</t>
  </si>
  <si>
    <t>D2022-0203983</t>
  </si>
  <si>
    <t>PINNVAREE V.22052E</t>
  </si>
  <si>
    <t>26.07.2022</t>
  </si>
  <si>
    <t>1.OMPL9055698-40HC</t>
  </si>
  <si>
    <t>22361</t>
  </si>
  <si>
    <t>CNMC10922546</t>
  </si>
  <si>
    <t>01.08.2022</t>
  </si>
  <si>
    <t>PAPER CUP, CERAMIC PLATES, PLASTIC LUNCH BOX</t>
  </si>
  <si>
    <t>1.DHLU2021011/HQ/20.0416686</t>
  </si>
  <si>
    <t>223611</t>
  </si>
  <si>
    <t>CNMC10922538</t>
  </si>
  <si>
    <t>2.THKU1116666/HQ/20.0416983</t>
  </si>
  <si>
    <t>223612</t>
  </si>
  <si>
    <t>COAU7240087781</t>
  </si>
  <si>
    <t>3.OOLU8895872/SYA0677832</t>
  </si>
  <si>
    <t>22362</t>
  </si>
  <si>
    <t>SITINSV051812G</t>
  </si>
  <si>
    <t>SITC BANGKOK V.2212S</t>
  </si>
  <si>
    <t>1.WBPU7069908/SITA351515</t>
  </si>
  <si>
    <t>1,511 PACKAGE(S)</t>
  </si>
  <si>
    <t>223621</t>
  </si>
  <si>
    <t>SITINSV052134G</t>
  </si>
  <si>
    <t>FOOD STUFFS</t>
  </si>
  <si>
    <t>2.CAAU6312514/SITA347348</t>
  </si>
  <si>
    <t>1,670 PACKAGE(S)</t>
  </si>
  <si>
    <t>J-ONE TRADING</t>
  </si>
  <si>
    <t>22363</t>
  </si>
  <si>
    <t>LT232SH010/11</t>
  </si>
  <si>
    <t>ST20223125</t>
  </si>
  <si>
    <t>NEW BULLDOZER, ROAD ROLLER, WHEEL LOADER, 2022</t>
  </si>
  <si>
    <t>22364</t>
  </si>
  <si>
    <t>CNMC10922558</t>
  </si>
  <si>
    <t>04.08.2022</t>
  </si>
  <si>
    <t>PAPER CUP, CERAMIC PLATES, PLASTIC LUNCH BOX, PLASTIC BASIN</t>
  </si>
  <si>
    <t>1. QFQU9125912/HQ/20.0416615</t>
  </si>
  <si>
    <t>NEW DUMP TRUCK DFH3310A12, DFH3250A, 2022</t>
  </si>
  <si>
    <t>22365</t>
  </si>
  <si>
    <t>SITINSV052161G</t>
  </si>
  <si>
    <t>SITC JIADE V.2210S</t>
  </si>
  <si>
    <t>1.FFAU1122665/SITA352297</t>
  </si>
  <si>
    <t>423 PACKAGE(S)</t>
  </si>
  <si>
    <t>22366</t>
  </si>
  <si>
    <t>SHAWD068846</t>
  </si>
  <si>
    <t>E220781997180334</t>
  </si>
  <si>
    <t>22367</t>
  </si>
  <si>
    <t>SHAWD068847</t>
  </si>
  <si>
    <t>E220781997180336</t>
  </si>
  <si>
    <t>22368</t>
  </si>
  <si>
    <t>SHAWD068762</t>
  </si>
  <si>
    <t>E220781997180337</t>
  </si>
  <si>
    <t>NEW CAR  MG HS, ZS, 2022</t>
  </si>
  <si>
    <t>22369</t>
  </si>
  <si>
    <t>SHAWD068770</t>
  </si>
  <si>
    <t>E220781997180335</t>
  </si>
  <si>
    <t>22370</t>
  </si>
  <si>
    <t>CNMC10922612</t>
  </si>
  <si>
    <t>06.08.2022</t>
  </si>
  <si>
    <t>1.SAEU8755347/H/19.0714214</t>
  </si>
  <si>
    <t>662 P'KGS</t>
  </si>
  <si>
    <t>CNMC10922678</t>
  </si>
  <si>
    <t>22371</t>
  </si>
  <si>
    <t>08.08.2022</t>
  </si>
  <si>
    <t>1.HSDU2019011/HQ/19.0714493</t>
  </si>
  <si>
    <t>648 P'KGS</t>
  </si>
  <si>
    <t>22372</t>
  </si>
  <si>
    <t>NSASHVG085094</t>
  </si>
  <si>
    <t>RESURGENCE V.2236S</t>
  </si>
  <si>
    <t>1.TLLU4745220/SITA080982</t>
  </si>
  <si>
    <t>2299 PACKAGE(S)</t>
  </si>
  <si>
    <t>223721</t>
  </si>
  <si>
    <t>NSASHVG085789</t>
  </si>
  <si>
    <t>1050 PACKAGE(S)</t>
  </si>
  <si>
    <t>223722</t>
  </si>
  <si>
    <t>029C520510</t>
  </si>
  <si>
    <t>WAN HAI 163 V.S398</t>
  </si>
  <si>
    <t>2.TCKU7295326/SITF752467</t>
  </si>
  <si>
    <t>3.BEAU5921324/WHLQ912874</t>
  </si>
  <si>
    <t>2,170 PKGS</t>
  </si>
  <si>
    <t>22373</t>
  </si>
  <si>
    <t>NSASHVG084804</t>
  </si>
  <si>
    <t>1.TCNU7599719/SITA080942</t>
  </si>
  <si>
    <t>2165 PACKAGE(S)</t>
  </si>
  <si>
    <t>223731</t>
  </si>
  <si>
    <t>NSASHVG084791</t>
  </si>
  <si>
    <t>2.UETU5682158/SITA080792</t>
  </si>
  <si>
    <t>2280 PACKAGE(S)</t>
  </si>
  <si>
    <t>223732</t>
  </si>
  <si>
    <t>NSASHVG084874</t>
  </si>
  <si>
    <t>3.TCNU2336556/SITA070280</t>
  </si>
  <si>
    <t>2379 PACKAGE(S)</t>
  </si>
  <si>
    <t>2O22JL494B</t>
  </si>
  <si>
    <t>22374</t>
  </si>
  <si>
    <t>NSASHVG084812</t>
  </si>
  <si>
    <t>1.TRLU7155721/SITA075476</t>
  </si>
  <si>
    <t>223741</t>
  </si>
  <si>
    <t>NSASHVG085766</t>
  </si>
  <si>
    <t>2.UETU5766480/SITA074214</t>
  </si>
  <si>
    <t>223742</t>
  </si>
  <si>
    <t>SITSKSVG341788</t>
  </si>
  <si>
    <t>HOUSEHOLD ITEMS</t>
  </si>
  <si>
    <t>3.BMOU6859464/SITA164928</t>
  </si>
  <si>
    <t>720 PACKAGE(S)</t>
  </si>
  <si>
    <t>22375</t>
  </si>
  <si>
    <t>SITTAGSV106431</t>
  </si>
  <si>
    <t>LG20220856</t>
  </si>
  <si>
    <t>NEW WHEEL LOADER, MODEL YEAR 2022</t>
  </si>
  <si>
    <t>1.UETU5822352-40HC
2.TCNU5524496-40HC
3.TLLU4074292-40HC
4.BEAU6446091-40HC</t>
  </si>
  <si>
    <t>173.25 MT EXCEED1018MK</t>
  </si>
  <si>
    <t>1.FCLU9432437/EM06144H
2.TRLU8718650/EM06150H
3.TCLU4276968/EM06146H
4.NYKU8513225/EM06147H
5.TCLU4267117/EM06145H
6.KKFU1860411/EM06148H
7.TLLU6167970/EM06149H</t>
  </si>
  <si>
    <t>22376</t>
  </si>
  <si>
    <t>COAU7240375300</t>
  </si>
  <si>
    <t>2022JL493</t>
  </si>
  <si>
    <t>JMC CARGO LIGHT TRUCK, 2022</t>
  </si>
  <si>
    <t>1.CSNU7977177-40HQ
2.CBHU9028280-40HQ
3.FSCU8730200-40HQ
4.TCNU2189861-40HQ</t>
  </si>
  <si>
    <t>22377</t>
  </si>
  <si>
    <t>NSASHVG084999</t>
  </si>
  <si>
    <t>ZG20220801A</t>
  </si>
  <si>
    <t>HONGQI CA6472HA6T HS5, 2021</t>
  </si>
  <si>
    <t>1.SEGU5602118-40HC
2.TRHU5411195-40HC
3.UETU5305220-40HC</t>
  </si>
  <si>
    <t>CHINA</t>
  </si>
  <si>
    <t>22378</t>
  </si>
  <si>
    <t>CNMC10922655</t>
  </si>
  <si>
    <t>12.08.2022</t>
  </si>
  <si>
    <t>1.YFYU2022042/H/19.0714320</t>
  </si>
  <si>
    <t>22379</t>
  </si>
  <si>
    <t>SITINSV051814G</t>
  </si>
  <si>
    <t>SITC LIAONING V.2214S</t>
  </si>
  <si>
    <t>11.08.2022</t>
  </si>
  <si>
    <t>1.BEAU6422145/SITA348036</t>
  </si>
  <si>
    <t>1,891 PACKAGE(S)</t>
  </si>
  <si>
    <t>22380</t>
  </si>
  <si>
    <t>CNMC10922669</t>
  </si>
  <si>
    <t>14.08.2022</t>
  </si>
  <si>
    <t>1. KALU5021015/HQ/20.0714125</t>
  </si>
  <si>
    <t>685 P'KGS</t>
  </si>
  <si>
    <t>GMD22HPHPNH0138</t>
  </si>
  <si>
    <t>22381</t>
  </si>
  <si>
    <t>20220805/VP-BJC-KH</t>
  </si>
  <si>
    <t>VN-KH 22/01/32450</t>
  </si>
  <si>
    <t>1.GMDU8184118-40HC</t>
  </si>
  <si>
    <t>22382</t>
  </si>
  <si>
    <t>COAU7240467500</t>
  </si>
  <si>
    <t>2022JL495-3B</t>
  </si>
  <si>
    <t>1.SEGU6907301-40HQ</t>
  </si>
  <si>
    <t>22383</t>
  </si>
  <si>
    <t>COAU7240475980</t>
  </si>
  <si>
    <t>22-Y-EV67-003</t>
  </si>
  <si>
    <t>DONGFENG BRAND CAR FENGON GLORY 500, 2022</t>
  </si>
  <si>
    <t>22384</t>
  </si>
  <si>
    <t>223841</t>
  </si>
  <si>
    <t>223842</t>
  </si>
  <si>
    <t>NSASHVG086759</t>
  </si>
  <si>
    <t>1.UETU5286706/SITA083371</t>
  </si>
  <si>
    <t>1250PACKAGE(S)</t>
  </si>
  <si>
    <t>223843</t>
  </si>
  <si>
    <t>NSASHVG086325</t>
  </si>
  <si>
    <t>3830PACKAGE(S)</t>
  </si>
  <si>
    <t>2.TRHU5629274/SITA068224
3.SEGU4283799/SITA071498</t>
  </si>
  <si>
    <t>NSASHVG087220</t>
  </si>
  <si>
    <t>4.TGBU7824912/SITA068312</t>
  </si>
  <si>
    <t>2050PACKAGE(S)</t>
  </si>
  <si>
    <t>NSASHVG086350</t>
  </si>
  <si>
    <t>5.SITU9116072/SITA071269</t>
  </si>
  <si>
    <t>1844PACKAGE(S)</t>
  </si>
  <si>
    <t>22385</t>
  </si>
  <si>
    <t>LAX-CAM-D2202</t>
  </si>
  <si>
    <t>BRIDGE V.0243N</t>
  </si>
  <si>
    <t>1.TCLU8869241/UL-9228003
2.TEMU7606253/UL-9228031</t>
  </si>
  <si>
    <t>AUTOS ONLY</t>
  </si>
  <si>
    <t>SITC KAOHSIUNG V.2236S</t>
  </si>
  <si>
    <t>1 UNIT USED PICK UP TERRADYNE GURKHA, MODEL YEAR 2015, LHD
1 UNIT NEW PICK UP JEEP GLADIATOR SPORT, MODEL YEAR 2021, LHD</t>
  </si>
  <si>
    <t>22386</t>
  </si>
  <si>
    <t>MLT202207191</t>
  </si>
  <si>
    <t>16.08.2022</t>
  </si>
  <si>
    <t>1.TEMU0331811/YMAK240439</t>
  </si>
  <si>
    <t>20DC</t>
  </si>
  <si>
    <t>22387</t>
  </si>
  <si>
    <t>CNMC10922689</t>
  </si>
  <si>
    <t>18.08.2022</t>
  </si>
  <si>
    <t>1.PTHN2205221/ HQ/20.0417332</t>
  </si>
  <si>
    <t>223871</t>
  </si>
  <si>
    <t>CNMC10922692</t>
  </si>
  <si>
    <t>2.YMLU9509179/HQ/20.0417333</t>
  </si>
  <si>
    <t>620 P'KGS</t>
  </si>
  <si>
    <t>223872</t>
  </si>
  <si>
    <t>COAU7240435416</t>
  </si>
  <si>
    <t>3.TGBU9649383/SYA0673274</t>
  </si>
  <si>
    <t xml:space="preserve">40HQ </t>
  </si>
  <si>
    <t>22388</t>
  </si>
  <si>
    <t>COAU7240711020</t>
  </si>
  <si>
    <t>KUO LUNG V.191S</t>
  </si>
  <si>
    <t>1170 CARTONS</t>
  </si>
  <si>
    <t>1.CSNU7731856/19948782
2.CSNU6908227/20533423</t>
  </si>
  <si>
    <t>#255,ST.351,PHUM TA NGOV KROM,SANGKAT NIROTH, KHAN CHBAR AMPOV,PHNOM PENH, CAMBODIA VAT No : K007-901903553</t>
  </si>
  <si>
    <t>#23N, St.2007, SANGKAT KAKAB, KHAN PORSENCHEY, PHNOM PENH, CAMBODIA. VAT No : K010-901902352</t>
  </si>
  <si>
    <t>អាស័យដ្ឋាន#1FEo​ ផ្លូវ ៩៣ ភូមិ ផ្សារតូច សង្កាត់ ទួលសង្កែទី១ ខណ្ឌ ឫស្សីកែវ រាជធានីភ្នំពេញ VAT No : K008-902005660</t>
  </si>
  <si>
    <t>#B75, ST.B, PHUM KBAL DAMREY I, SANGKAT KAKAB I, KHAN PORSENCHEY, PHNOM PENH, CAMBODIA VAT : K010-901908667</t>
  </si>
  <si>
    <t xml:space="preserve">52 NATIONAL ROAD NO 6A RUSSEY KEO PHNOM PENH 
Contact Person: Marco Mok VAT: L001-901908165 ,Tel: +853 2882 2822 </t>
  </si>
  <si>
    <t>#C២៧ បុរីអាការសចរណ៍ ផ្លូវ ភូមិក្បាលដំរី១ សង្កាត់កាកាបទី១ ខណ្ឌពោធិ៍សែនជ័យ រាជធានីភ្នំពេញ ​Vat No : K010-902000030</t>
  </si>
  <si>
    <t>#N-៤០ ផ្លូវNewton Koh Pich, Mulberry Park ភូមិ ៤ សង្កាត់ ទន្លេបាសាក់ ខណ្ឌ ចំការមន រាជធានីភ្នំពេញ VAT No : K002-902101770</t>
  </si>
  <si>
    <t>174K STREET 105 SANGKAT TUAL SANGKAT KHAN RUSSET KEO PHOM PENH,THE KINGDOM OF CAMBODIA  TEL:+855 0189159555</t>
  </si>
  <si>
    <t>អាស័យដ្ឋាន:# ៤៥ ផ្លូវសហព័ន្ធរុស្ស៊ី សង្កាត់ថ្លា ខណ្ឌសែនសុខ រាជធានីភ្នំពេញ ទូរស័ព្ទលេខ : +855 098881618​ ។</t>
  </si>
  <si>
    <t>#បុរីពិភពថ្មីចំការដូង ផ្ទះលេខ 95A ផ្លូវ 19 ភូមិប្រការ សង្កាត់ព្រៃស ខណ្ឌដង្កោ រាជធានីភ្នំពេញ Vat No : K006-902005865</t>
  </si>
  <si>
    <t>#១០G ផ្លូវ ២៣០ ភូមិ ៨ សង្កាត់ បឹងសាឡាង ខណ្ឌ ទួលគោក រាជធានីភ្នំពេញ Vat No : K005-902101776</t>
  </si>
  <si>
    <t>ទីតាំងនៅផ្ទះ #C២៩ ផ្លូវ Maha-C ក្នុងបុរី មហាសែនសុខ ភូមិវិមានទ្រង់ សង្កាត់ក្រាំងធ្នង់ ខណ្ឌសែនសុខ រាជធានីភ្នំពេញ VAT: K009-901902489</t>
  </si>
  <si>
    <t>#២៣ ផ្លូវ២០ សង្កាត់ស្ទឹងមានជ័យទី៣ ខណ្ឌមានជ័យ រាជធានីភ្នំពេញ VAT: K007-9020022874</t>
  </si>
  <si>
    <t>ភូមិ ជើងឡង ឃុំ សួង ស្រុក សួង ខេត្ត ត្បូងឃ្មុំ VAT: B124-902102170</t>
  </si>
  <si>
    <t>#Q២១ ជាន់ទី៣ ផ្លូវ Q ភូមិ ១៤ សង្កាត់ ទន្លេបាសាក់ ខណ្ឌ ចំការមន រាជធានីភ្នំពេញ VAT: K002-902102193</t>
  </si>
  <si>
    <t>ភូមិ អង្គសុគន្ធា ឃុំ មហាឫស្សី ស្រុក គងពិសី ខេត្ត កំពង់ស្ពឺ VAT: B105-901704100</t>
  </si>
  <si>
    <t>166#,NATIONAL ROAD NO.6, GROUP 4, PHUM KEAN KLAING, SANGKAT CHROY CHONG VA, KHAN CHROY CHONG VA, PHNOM PENH, CAMBODIA VAT: L001-901804963</t>
  </si>
  <si>
    <t>#៩៨ ផ្លូវ ១១០ សង្កាត់ ទឹកល្អក់ទី ១ ខណ្ឌ ទួលគោក រាជធានីភ្នំពេញ TEL: K005-901906510</t>
  </si>
  <si>
    <t>#បុរីពិភពថ្មីចំការដូងផ្ទះលេខ ០៦ ផ្លូវ ០៥ ភូមិ ប្រការ សង្កាត់ ព្រៃស ខណ្ឌ ដង្កោ រាជធានីភ្នំពេញ VAT: K006-902102027</t>
  </si>
  <si>
    <t>#១៥H ផ្លូវបេតុង ភូមិទឹកថ្លា សង្កាត់ទឹកថ្លា ខណ្ឌសែនសុខ រាជធានីភ្នំពេញ VAT: K009-902005913</t>
  </si>
  <si>
    <t>អាស័យដ្ឋាន:# ១០៧៦ ផ្លូវម៉ៃដា(២០០៤) ភូមិ ទឹកថ្លា សង្កាត់ ទឹកថ្លា ខណ្ឌសែនសុខ រាជធានីភ្នំពេញ VAT:  L001-902104222</t>
  </si>
  <si>
    <t>អាសយដ្ឋាន#15Z ផ្លូវព្រះមុនីវង្ស កែងផ្លូវ 422 សង្កាត់ទន្លេបាសាក់ ខណ្ឌចំការមន រាជធានីភ្នំពេញ VAT: L001-107030985</t>
  </si>
  <si>
    <t>អាសយដ្ឋាន#1A ផ្លូវ56D9 ភូមិម័ល សង្កាត់ដង្កោ ខណ្ឌដង្កោ រាជធានីភ្នំពេញ VAT: K006-902106071</t>
  </si>
  <si>
    <t>ផ្លូវជាតិលេខ៥ ភូមិដួង សង្កាត់ព្រែកព្នៅ ខណ្ឌរាជធានី ភ្នំពេញ VAT : K009-901905395</t>
  </si>
  <si>
    <t>#C-09 និង C-10 ផ្លូវ លំ ភូមិ ដំណាក់ធំ សង្កាត់ ស្ទឹងមានជ័យទី២ ខណ្ឌ មានជ័យ រាជធានីភ្នំពេញ VAT : K007-902201280</t>
  </si>
  <si>
    <t>#ឃ្លាំងលេខ ៩-១០ ផ្លូវ ភូមិ ៧ សង្កាត់ ទឹកល្អក់ទី១ ខណ្ឌ ទួលគោក រាជធានីភ្នំពេញ VAT : K005-901907714</t>
  </si>
  <si>
    <t>#គ្មាន ផ្លូវ ឩកញ៉ាម៉ុងឫទ្ធី(១៩២៨) ភូមិ ច្រេស សង្កាត់ គោកឃ្លាង ខណ្ឌ សែនសុខ រាជធានីភ្នំពេញ VAT : L009-902202339</t>
  </si>
  <si>
    <t>N0.10G,ST230 PHUM4 SANGKAT BOE UNG SALANG KHAN TUOL KOUK - PHNOM PENH VAT :K005-902101776</t>
  </si>
  <si>
    <t>03688</t>
  </si>
  <si>
    <t>03689</t>
  </si>
  <si>
    <t>03750</t>
  </si>
  <si>
    <t>03751</t>
  </si>
  <si>
    <t>03791</t>
  </si>
  <si>
    <t>03780</t>
  </si>
  <si>
    <t>03781</t>
  </si>
  <si>
    <t>03759</t>
  </si>
  <si>
    <t>03760</t>
  </si>
  <si>
    <t>03782</t>
  </si>
  <si>
    <t>03792</t>
  </si>
  <si>
    <t>03806</t>
  </si>
  <si>
    <t>03872</t>
  </si>
  <si>
    <t>03873</t>
  </si>
  <si>
    <t>03874</t>
  </si>
  <si>
    <t>03829</t>
  </si>
  <si>
    <t>03863</t>
  </si>
  <si>
    <t>03864</t>
  </si>
  <si>
    <t>03865</t>
  </si>
  <si>
    <t>03908</t>
  </si>
  <si>
    <t>03910</t>
  </si>
  <si>
    <t>04030</t>
  </si>
  <si>
    <t>03944</t>
  </si>
  <si>
    <t>03945</t>
  </si>
  <si>
    <t>03965</t>
  </si>
  <si>
    <t>04031</t>
  </si>
  <si>
    <t>04032</t>
  </si>
  <si>
    <t>03992</t>
  </si>
  <si>
    <t>03994</t>
  </si>
  <si>
    <t>04019</t>
  </si>
  <si>
    <t>22389</t>
  </si>
  <si>
    <t>SHAWD068858</t>
  </si>
  <si>
    <t>E220781997180370</t>
  </si>
  <si>
    <t>21.08.2022</t>
  </si>
  <si>
    <t>NEW CAR MAXUS T90, 2022</t>
  </si>
  <si>
    <t>22390</t>
  </si>
  <si>
    <t>SHAWD068863</t>
  </si>
  <si>
    <t>E220781997180371</t>
  </si>
  <si>
    <t>22391</t>
  </si>
  <si>
    <t>SHAWD068987</t>
  </si>
  <si>
    <t>E220781997180372</t>
  </si>
  <si>
    <t>NEW CAR MG 6, 2023</t>
  </si>
  <si>
    <t>22392</t>
  </si>
  <si>
    <t>SHAWD069080</t>
  </si>
  <si>
    <t>E220781997180395</t>
  </si>
  <si>
    <t>22393</t>
  </si>
  <si>
    <t>SHAWD069046</t>
  </si>
  <si>
    <t>20419528ETC</t>
  </si>
  <si>
    <t>E220781997180373</t>
  </si>
  <si>
    <t>22394</t>
  </si>
  <si>
    <t>SHAWD069047</t>
  </si>
  <si>
    <t>20420204ETC</t>
  </si>
  <si>
    <t>E220781997180374</t>
  </si>
  <si>
    <t>NEW CAR MG GT , 2022
NEW CAR  MG HS, 2023</t>
  </si>
  <si>
    <t>IAAU1755475-40HQ(PART OF)</t>
  </si>
  <si>
    <t>IAAU1782070-40HQ(PART OF)</t>
  </si>
  <si>
    <r>
      <rPr>
        <sz val="11"/>
        <color rgb="FFFF0000"/>
        <rFont val="Calibri"/>
        <family val="2"/>
        <scheme val="minor"/>
      </rPr>
      <t>1.CAIU9710290-40HQ</t>
    </r>
    <r>
      <rPr>
        <sz val="11"/>
        <color theme="1"/>
        <rFont val="Calibri"/>
        <family val="2"/>
        <scheme val="minor"/>
      </rPr>
      <t xml:space="preserve">
</t>
    </r>
    <r>
      <rPr>
        <sz val="11"/>
        <color rgb="FFFF0000"/>
        <rFont val="Calibri"/>
        <family val="2"/>
        <scheme val="minor"/>
      </rPr>
      <t>2.FCIU9018968-40HQ</t>
    </r>
    <r>
      <rPr>
        <sz val="11"/>
        <color theme="1"/>
        <rFont val="Calibri"/>
        <family val="2"/>
        <scheme val="minor"/>
      </rPr>
      <t xml:space="preserve">
</t>
    </r>
    <r>
      <rPr>
        <sz val="11"/>
        <color rgb="FFFF0000"/>
        <rFont val="Calibri"/>
        <family val="2"/>
        <scheme val="minor"/>
      </rPr>
      <t>3.IAAU1704966-40HQ
4.IAAU1710280-40HQ</t>
    </r>
    <r>
      <rPr>
        <sz val="11"/>
        <color theme="1"/>
        <rFont val="Calibri"/>
        <family val="2"/>
        <scheme val="minor"/>
      </rPr>
      <t xml:space="preserve">
</t>
    </r>
    <r>
      <rPr>
        <sz val="11"/>
        <color rgb="FFFF0000"/>
        <rFont val="Calibri"/>
        <family val="2"/>
        <scheme val="minor"/>
      </rPr>
      <t>5.IAAU1764749-40HQ</t>
    </r>
    <r>
      <rPr>
        <sz val="11"/>
        <color theme="1"/>
        <rFont val="Calibri"/>
        <family val="2"/>
        <scheme val="minor"/>
      </rPr>
      <t xml:space="preserve">
</t>
    </r>
    <r>
      <rPr>
        <sz val="11"/>
        <color rgb="FFFF0000"/>
        <rFont val="Calibri"/>
        <family val="2"/>
        <scheme val="minor"/>
      </rPr>
      <t>6.IAAU1811028-40HQ</t>
    </r>
    <r>
      <rPr>
        <sz val="11"/>
        <color theme="1"/>
        <rFont val="Calibri"/>
        <family val="2"/>
        <scheme val="minor"/>
      </rPr>
      <t xml:space="preserve">
</t>
    </r>
    <r>
      <rPr>
        <sz val="11"/>
        <color rgb="FFFF0000"/>
        <rFont val="Calibri"/>
        <family val="2"/>
        <scheme val="minor"/>
      </rPr>
      <t>7.IAAU1837594-40HQ</t>
    </r>
    <r>
      <rPr>
        <sz val="11"/>
        <color theme="1"/>
        <rFont val="Calibri"/>
        <family val="2"/>
        <scheme val="minor"/>
      </rPr>
      <t xml:space="preserve">
</t>
    </r>
    <r>
      <rPr>
        <sz val="11"/>
        <color rgb="FFFF0000"/>
        <rFont val="Calibri"/>
        <family val="2"/>
        <scheme val="minor"/>
      </rPr>
      <t>8.IAAU1904706-40HQ</t>
    </r>
    <r>
      <rPr>
        <sz val="11"/>
        <color theme="1"/>
        <rFont val="Calibri"/>
        <family val="2"/>
        <scheme val="minor"/>
      </rPr>
      <t xml:space="preserve">
</t>
    </r>
    <r>
      <rPr>
        <sz val="11"/>
        <color rgb="FFFF0000"/>
        <rFont val="Calibri"/>
        <family val="2"/>
        <scheme val="minor"/>
      </rPr>
      <t>9.IAAU1914535-40HQ</t>
    </r>
    <r>
      <rPr>
        <sz val="11"/>
        <color theme="1"/>
        <rFont val="Calibri"/>
        <family val="2"/>
        <scheme val="minor"/>
      </rPr>
      <t xml:space="preserve">
</t>
    </r>
    <r>
      <rPr>
        <sz val="11"/>
        <color rgb="FFFF0000"/>
        <rFont val="Calibri"/>
        <family val="2"/>
        <scheme val="minor"/>
      </rPr>
      <t>10.IAAU1922103-40HQ</t>
    </r>
    <r>
      <rPr>
        <sz val="11"/>
        <color theme="1"/>
        <rFont val="Calibri"/>
        <family val="2"/>
        <scheme val="minor"/>
      </rPr>
      <t xml:space="preserve">
</t>
    </r>
    <r>
      <rPr>
        <sz val="11"/>
        <color rgb="FFFF0000"/>
        <rFont val="Calibri"/>
        <family val="2"/>
        <scheme val="minor"/>
      </rPr>
      <t>11.SEGU6688775-40HQ</t>
    </r>
    <r>
      <rPr>
        <sz val="11"/>
        <color theme="1"/>
        <rFont val="Calibri"/>
        <family val="2"/>
        <scheme val="minor"/>
      </rPr>
      <t xml:space="preserve">
</t>
    </r>
    <r>
      <rPr>
        <sz val="11"/>
        <color rgb="FFFF0000"/>
        <rFont val="Calibri"/>
        <family val="2"/>
        <scheme val="minor"/>
      </rPr>
      <t>12.SEGU6710903-40HQ</t>
    </r>
    <r>
      <rPr>
        <sz val="11"/>
        <color theme="1"/>
        <rFont val="Calibri"/>
        <family val="2"/>
        <scheme val="minor"/>
      </rPr>
      <t xml:space="preserve">
</t>
    </r>
    <r>
      <rPr>
        <sz val="11"/>
        <color rgb="FFFF0000"/>
        <rFont val="Calibri"/>
        <family val="2"/>
        <scheme val="minor"/>
      </rPr>
      <t>13.TCLU8770460-40HQ</t>
    </r>
    <r>
      <rPr>
        <sz val="11"/>
        <color theme="1"/>
        <rFont val="Calibri"/>
        <family val="2"/>
        <scheme val="minor"/>
      </rPr>
      <t xml:space="preserve">
</t>
    </r>
    <r>
      <rPr>
        <sz val="11"/>
        <color rgb="FFFF0000"/>
        <rFont val="Calibri"/>
        <family val="2"/>
        <scheme val="minor"/>
      </rPr>
      <t>14.TEMU8518603-40HQ</t>
    </r>
  </si>
  <si>
    <r>
      <rPr>
        <sz val="11"/>
        <color rgb="FFFF0000"/>
        <rFont val="Calibri"/>
        <family val="2"/>
        <scheme val="minor"/>
      </rPr>
      <t>1.IAAU1738694-40HQ</t>
    </r>
    <r>
      <rPr>
        <sz val="11"/>
        <color theme="1"/>
        <rFont val="Calibri"/>
        <family val="2"/>
        <scheme val="minor"/>
      </rPr>
      <t xml:space="preserve">
</t>
    </r>
    <r>
      <rPr>
        <sz val="11"/>
        <color rgb="FFFF0000"/>
        <rFont val="Calibri"/>
        <family val="2"/>
        <scheme val="minor"/>
      </rPr>
      <t>2.IAAU1768092-40HQ</t>
    </r>
    <r>
      <rPr>
        <sz val="11"/>
        <color theme="1"/>
        <rFont val="Calibri"/>
        <family val="2"/>
        <scheme val="minor"/>
      </rPr>
      <t xml:space="preserve">
</t>
    </r>
    <r>
      <rPr>
        <sz val="11"/>
        <color rgb="FFFF0000"/>
        <rFont val="Calibri"/>
        <family val="2"/>
        <scheme val="minor"/>
      </rPr>
      <t>3.IAAU1769118-40HQ</t>
    </r>
    <r>
      <rPr>
        <sz val="11"/>
        <color theme="1"/>
        <rFont val="Calibri"/>
        <family val="2"/>
        <scheme val="minor"/>
      </rPr>
      <t xml:space="preserve">
</t>
    </r>
    <r>
      <rPr>
        <sz val="11"/>
        <color rgb="FFFF0000"/>
        <rFont val="Calibri"/>
        <family val="2"/>
        <scheme val="minor"/>
      </rPr>
      <t>4.IAAU1776903-40HQ
5.IAAU1834445-40HQ</t>
    </r>
    <r>
      <rPr>
        <sz val="11"/>
        <color theme="1"/>
        <rFont val="Calibri"/>
        <family val="2"/>
        <scheme val="minor"/>
      </rPr>
      <t xml:space="preserve">
</t>
    </r>
    <r>
      <rPr>
        <sz val="11"/>
        <color rgb="FFFF0000"/>
        <rFont val="Calibri"/>
        <family val="2"/>
        <scheme val="minor"/>
      </rPr>
      <t>6.TGBU7709061-40HQ</t>
    </r>
  </si>
  <si>
    <r>
      <rPr>
        <sz val="11"/>
        <color rgb="FFFF0000"/>
        <rFont val="Calibri"/>
        <family val="2"/>
        <scheme val="minor"/>
      </rPr>
      <t xml:space="preserve">1.IAAU1741342-40HQ </t>
    </r>
    <r>
      <rPr>
        <sz val="11"/>
        <color theme="1"/>
        <rFont val="Calibri"/>
        <family val="2"/>
        <scheme val="minor"/>
      </rPr>
      <t xml:space="preserve">
</t>
    </r>
    <r>
      <rPr>
        <sz val="11"/>
        <color rgb="FFFF0000"/>
        <rFont val="Calibri"/>
        <family val="2"/>
        <scheme val="minor"/>
      </rPr>
      <t xml:space="preserve">2.PCIU8928201-40HQ </t>
    </r>
  </si>
  <si>
    <r>
      <rPr>
        <sz val="11"/>
        <color rgb="FFFF0000"/>
        <rFont val="Calibri"/>
        <family val="2"/>
        <scheme val="minor"/>
      </rPr>
      <t xml:space="preserve">1.IAAU1786943-40HQ </t>
    </r>
    <r>
      <rPr>
        <sz val="11"/>
        <color theme="1"/>
        <rFont val="Calibri"/>
        <family val="2"/>
        <scheme val="minor"/>
      </rPr>
      <t xml:space="preserve">
</t>
    </r>
    <r>
      <rPr>
        <sz val="11"/>
        <color rgb="FFFF0000"/>
        <rFont val="Calibri"/>
        <family val="2"/>
        <scheme val="minor"/>
      </rPr>
      <t xml:space="preserve">2.TLLU8225020-40HQ </t>
    </r>
  </si>
  <si>
    <t>22395</t>
  </si>
  <si>
    <t>CNMC10922714</t>
  </si>
  <si>
    <t>1.SEAU8655292/20.0417370</t>
  </si>
  <si>
    <t>22396</t>
  </si>
  <si>
    <t>223961</t>
  </si>
  <si>
    <t>223962</t>
  </si>
  <si>
    <t>223963</t>
  </si>
  <si>
    <t>NSASHVG086357</t>
  </si>
  <si>
    <t>19.08.2022</t>
  </si>
  <si>
    <t>1.SITU9059877/SITA074265</t>
  </si>
  <si>
    <t>610PACKAGE(S)</t>
  </si>
  <si>
    <t>SSNSHVG086560</t>
  </si>
  <si>
    <t>2.UETU5872374/SITA067359</t>
  </si>
  <si>
    <t>720PACKAGE(S)</t>
  </si>
  <si>
    <t>SITSKSVG344311</t>
  </si>
  <si>
    <t>3.TRHU8145139/SITA157968</t>
  </si>
  <si>
    <t>720CARTON(S)</t>
  </si>
  <si>
    <t>SITINSV052476G</t>
  </si>
  <si>
    <t>SITC GUANGXI 2214S</t>
  </si>
  <si>
    <t>4.UETU5870176/SITA350661</t>
  </si>
  <si>
    <t>338 PACKAGE(S)</t>
  </si>
  <si>
    <t>22397</t>
  </si>
  <si>
    <t>SITSKSVG344360</t>
  </si>
  <si>
    <t>1.SITU9032665/SITK220377</t>
  </si>
  <si>
    <t>1032 PACKAGE(S)</t>
  </si>
  <si>
    <t>22398</t>
  </si>
  <si>
    <t>CNMC10922726</t>
  </si>
  <si>
    <t>23.08.2022</t>
  </si>
  <si>
    <t>1.IMKU8821020/HQ/20.0417356</t>
  </si>
  <si>
    <r>
      <rPr>
        <sz val="11"/>
        <color rgb="FFFF0000"/>
        <rFont val="Calibri"/>
        <family val="2"/>
        <scheme val="minor"/>
      </rPr>
      <t>1.BSIU9527704-40HQ</t>
    </r>
    <r>
      <rPr>
        <sz val="11"/>
        <color theme="1"/>
        <rFont val="Calibri"/>
        <family val="2"/>
        <scheme val="minor"/>
      </rPr>
      <t xml:space="preserve">
</t>
    </r>
    <r>
      <rPr>
        <sz val="11"/>
        <color rgb="FFFF0000"/>
        <rFont val="Calibri"/>
        <family val="2"/>
        <scheme val="minor"/>
      </rPr>
      <t>2.CSLU6268251-40HQ</t>
    </r>
  </si>
  <si>
    <t>22399</t>
  </si>
  <si>
    <t>024C545844</t>
  </si>
  <si>
    <t>PRIME V.S011</t>
  </si>
  <si>
    <t>25.08.2022</t>
  </si>
  <si>
    <t>1.WHLU5677079/WHLQ910499</t>
  </si>
  <si>
    <t>560 PKGS</t>
  </si>
  <si>
    <t>223991</t>
  </si>
  <si>
    <t>030C522924</t>
  </si>
  <si>
    <t>2.WHLU5638909/WHLS865837</t>
  </si>
  <si>
    <t>680 PACKAGE(S)</t>
  </si>
  <si>
    <t>HONG KONG</t>
  </si>
  <si>
    <t>22400</t>
  </si>
  <si>
    <t>CNMC10922748</t>
  </si>
  <si>
    <t>26.08.2022</t>
  </si>
  <si>
    <t>1.YMMU4094387/HQ/20.0417793</t>
  </si>
  <si>
    <t>22401</t>
  </si>
  <si>
    <t>SITSKSVG347622</t>
  </si>
  <si>
    <t>PADIAN 4 V.2205S</t>
  </si>
  <si>
    <t>24.08.2022</t>
  </si>
  <si>
    <t>1.SITU9154220/SITA160826</t>
  </si>
  <si>
    <t>710 PACKAGE(S)</t>
  </si>
  <si>
    <t>224011</t>
  </si>
  <si>
    <t>NSASHVG087106</t>
  </si>
  <si>
    <t>2.FFAU1157419/SITA068374</t>
  </si>
  <si>
    <t>2160 PACKAGE(S)</t>
  </si>
  <si>
    <t>22402</t>
  </si>
  <si>
    <t>3284SH011</t>
  </si>
  <si>
    <t>22403</t>
  </si>
  <si>
    <t>CNMC10922756</t>
  </si>
  <si>
    <t>27.08.2022</t>
  </si>
  <si>
    <t>1.NWCU6692220/HQ/20.0417776</t>
  </si>
  <si>
    <t>22404</t>
  </si>
  <si>
    <t>SHAWD069094</t>
  </si>
  <si>
    <t>E220781997180396</t>
  </si>
  <si>
    <t>22405</t>
  </si>
  <si>
    <t>SHAWD069093</t>
  </si>
  <si>
    <t>E220781997180397</t>
  </si>
  <si>
    <t>1.IAAU1746370-40HQ</t>
  </si>
  <si>
    <t>22406</t>
  </si>
  <si>
    <t>OMPLCHS220206</t>
  </si>
  <si>
    <t>018/2022</t>
  </si>
  <si>
    <t>CARTON BOX, PLASTIC WRAPPER, KRAFT PAPER, PAPER CORE, STICKER</t>
  </si>
  <si>
    <t>1.TCKU9552470-40HC</t>
  </si>
  <si>
    <t>21 PALLETS</t>
  </si>
  <si>
    <t>22407</t>
  </si>
  <si>
    <t>NAHCB22003290</t>
  </si>
  <si>
    <t>CHANA BHUM V.831S</t>
  </si>
  <si>
    <t>1.SEGU6592713/CNCAN2211579</t>
  </si>
  <si>
    <t>17 PACKAGES(S)</t>
  </si>
  <si>
    <t>22408</t>
  </si>
  <si>
    <t>SITTAGSV112401</t>
  </si>
  <si>
    <t>LG20220964</t>
  </si>
  <si>
    <t>NEW WHEEL LOADER, 2022</t>
  </si>
  <si>
    <t>1.SEGU6688116-40HC
2.TCNU2337660-40HC
3.TGCU0094884-40HC
4.TRHU6693616-40HC</t>
  </si>
  <si>
    <t>22409</t>
  </si>
  <si>
    <t>3284SH008</t>
  </si>
  <si>
    <t>ZGYX-QY-HLH-2020712</t>
  </si>
  <si>
    <t>22410</t>
  </si>
  <si>
    <t>SITINSV052821G</t>
  </si>
  <si>
    <t>1.BEAU4346956/SITA354673</t>
  </si>
  <si>
    <t>1,510 PACKAGE(S)</t>
  </si>
  <si>
    <t>224101</t>
  </si>
  <si>
    <t>NSASHVG088303</t>
  </si>
  <si>
    <t>2.TCKU6483123/SITA075365</t>
  </si>
  <si>
    <t>1502 PACKAGE(S)</t>
  </si>
  <si>
    <t>SITC LIDE V.2218S</t>
  </si>
  <si>
    <t>22411</t>
  </si>
  <si>
    <t>CNMC10922789</t>
  </si>
  <si>
    <t>29.08.2022</t>
  </si>
  <si>
    <t>1.BRKU9051819/HQ/20.0417768</t>
  </si>
  <si>
    <r>
      <rPr>
        <sz val="11"/>
        <color rgb="FFFF0000"/>
        <rFont val="Calibri"/>
        <family val="2"/>
        <scheme val="minor"/>
      </rPr>
      <t>1.CAIU9709977-40HQ</t>
    </r>
    <r>
      <rPr>
        <sz val="11"/>
        <color theme="1"/>
        <rFont val="Calibri"/>
        <family val="2"/>
        <scheme val="minor"/>
      </rPr>
      <t xml:space="preserve">
</t>
    </r>
    <r>
      <rPr>
        <sz val="11"/>
        <color rgb="FFFF0000"/>
        <rFont val="Calibri"/>
        <family val="2"/>
        <scheme val="minor"/>
      </rPr>
      <t>2.IAAU1733157-40HQ</t>
    </r>
    <r>
      <rPr>
        <sz val="11"/>
        <color theme="1"/>
        <rFont val="Calibri"/>
        <family val="2"/>
        <scheme val="minor"/>
      </rPr>
      <t xml:space="preserve">
</t>
    </r>
    <r>
      <rPr>
        <sz val="11"/>
        <color rgb="FFFF0000"/>
        <rFont val="Calibri"/>
        <family val="2"/>
        <scheme val="minor"/>
      </rPr>
      <t>3.IAAU1753430-40HQ
4.IAAU1792817-40HQ</t>
    </r>
    <r>
      <rPr>
        <sz val="11"/>
        <color theme="1"/>
        <rFont val="Calibri"/>
        <family val="2"/>
        <scheme val="minor"/>
      </rPr>
      <t xml:space="preserve">
</t>
    </r>
    <r>
      <rPr>
        <sz val="11"/>
        <color rgb="FFFF0000"/>
        <rFont val="Calibri"/>
        <family val="2"/>
        <scheme val="minor"/>
      </rPr>
      <t>5.IAAU1829201-40HQ</t>
    </r>
    <r>
      <rPr>
        <sz val="11"/>
        <color theme="1"/>
        <rFont val="Calibri"/>
        <family val="2"/>
        <scheme val="minor"/>
      </rPr>
      <t xml:space="preserve">
</t>
    </r>
    <r>
      <rPr>
        <sz val="11"/>
        <color rgb="FFFF0000"/>
        <rFont val="Calibri"/>
        <family val="2"/>
        <scheme val="minor"/>
      </rPr>
      <t>6.IAAU1834698-40HQ</t>
    </r>
    <r>
      <rPr>
        <sz val="11"/>
        <color theme="1"/>
        <rFont val="Calibri"/>
        <family val="2"/>
        <scheme val="minor"/>
      </rPr>
      <t xml:space="preserve">
</t>
    </r>
    <r>
      <rPr>
        <sz val="11"/>
        <color rgb="FFFF0000"/>
        <rFont val="Calibri"/>
        <family val="2"/>
        <scheme val="minor"/>
      </rPr>
      <t>7.IAAU1869797-40HQ</t>
    </r>
    <r>
      <rPr>
        <sz val="11"/>
        <color theme="1"/>
        <rFont val="Calibri"/>
        <family val="2"/>
        <scheme val="minor"/>
      </rPr>
      <t xml:space="preserve">
</t>
    </r>
    <r>
      <rPr>
        <sz val="11"/>
        <color rgb="FFFF0000"/>
        <rFont val="Calibri"/>
        <family val="2"/>
        <scheme val="minor"/>
      </rPr>
      <t>8.IAAU1910720-40HQ</t>
    </r>
    <r>
      <rPr>
        <sz val="11"/>
        <color theme="1"/>
        <rFont val="Calibri"/>
        <family val="2"/>
        <scheme val="minor"/>
      </rPr>
      <t xml:space="preserve">
</t>
    </r>
    <r>
      <rPr>
        <sz val="11"/>
        <color rgb="FFFF0000"/>
        <rFont val="Calibri"/>
        <family val="2"/>
        <scheme val="minor"/>
      </rPr>
      <t>9.SEKU4118865-40HQ</t>
    </r>
  </si>
  <si>
    <r>
      <rPr>
        <sz val="11"/>
        <color rgb="FFFF0000"/>
        <rFont val="Calibri"/>
        <family val="2"/>
        <scheme val="minor"/>
      </rPr>
      <t>1.IAAU1696304-40HQ</t>
    </r>
    <r>
      <rPr>
        <sz val="11"/>
        <color theme="1"/>
        <rFont val="Calibri"/>
        <family val="2"/>
        <scheme val="minor"/>
      </rPr>
      <t xml:space="preserve">
</t>
    </r>
    <r>
      <rPr>
        <sz val="11"/>
        <color rgb="FFFF0000"/>
        <rFont val="Calibri"/>
        <family val="2"/>
        <scheme val="minor"/>
      </rPr>
      <t>2.IAAU1719502-40HQ</t>
    </r>
    <r>
      <rPr>
        <sz val="11"/>
        <color theme="1"/>
        <rFont val="Calibri"/>
        <family val="2"/>
        <scheme val="minor"/>
      </rPr>
      <t xml:space="preserve">
</t>
    </r>
    <r>
      <rPr>
        <sz val="11"/>
        <color rgb="FFFF0000"/>
        <rFont val="Calibri"/>
        <family val="2"/>
        <scheme val="minor"/>
      </rPr>
      <t>3.IAAU1822850-40HQ</t>
    </r>
    <r>
      <rPr>
        <sz val="11"/>
        <color theme="1"/>
        <rFont val="Calibri"/>
        <family val="2"/>
        <scheme val="minor"/>
      </rPr>
      <t xml:space="preserve">
</t>
    </r>
    <r>
      <rPr>
        <sz val="11"/>
        <color rgb="FFFF0000"/>
        <rFont val="Calibri"/>
        <family val="2"/>
        <scheme val="minor"/>
      </rPr>
      <t>4.IAAU1903320-40HQ</t>
    </r>
    <r>
      <rPr>
        <sz val="11"/>
        <color theme="1"/>
        <rFont val="Calibri"/>
        <family val="2"/>
        <scheme val="minor"/>
      </rPr>
      <t xml:space="preserve">
</t>
    </r>
    <r>
      <rPr>
        <sz val="11"/>
        <color rgb="FFFF0000"/>
        <rFont val="Calibri"/>
        <family val="2"/>
        <scheme val="minor"/>
      </rPr>
      <t>5.IAAU2739632-20GP</t>
    </r>
  </si>
  <si>
    <t>22412</t>
  </si>
  <si>
    <t>EGLV149206126841</t>
  </si>
  <si>
    <t>EVER CANDID V.0226-030S</t>
  </si>
  <si>
    <t>01.09.2022</t>
  </si>
  <si>
    <t>1.CAAU5054652/EMCMMW3142</t>
  </si>
  <si>
    <t>224121</t>
  </si>
  <si>
    <t>NORDTIGER V.234S</t>
  </si>
  <si>
    <t>2.CAIU4626988/ML-CN0691314</t>
  </si>
  <si>
    <t>HONG KONG XIANG</t>
  </si>
  <si>
    <r>
      <rPr>
        <sz val="11"/>
        <color rgb="FFFF0000"/>
        <rFont val="Calibri"/>
        <family val="2"/>
        <scheme val="minor"/>
      </rPr>
      <t xml:space="preserve">1.IAAU1707311-40HQ </t>
    </r>
    <r>
      <rPr>
        <sz val="11"/>
        <color theme="1"/>
        <rFont val="Calibri"/>
        <family val="2"/>
        <scheme val="minor"/>
      </rPr>
      <t xml:space="preserve">
</t>
    </r>
    <r>
      <rPr>
        <sz val="11"/>
        <color rgb="FFFF0000"/>
        <rFont val="Calibri"/>
        <family val="2"/>
        <scheme val="minor"/>
      </rPr>
      <t xml:space="preserve">2.IAAU1755475-40HQ </t>
    </r>
  </si>
  <si>
    <r>
      <rPr>
        <sz val="11"/>
        <color rgb="FFFF0000"/>
        <rFont val="Calibri"/>
        <family val="2"/>
        <scheme val="minor"/>
      </rPr>
      <t xml:space="preserve">1.IAAU1774958-40HQ </t>
    </r>
    <r>
      <rPr>
        <sz val="11"/>
        <color theme="1"/>
        <rFont val="Calibri"/>
        <family val="2"/>
        <scheme val="minor"/>
      </rPr>
      <t xml:space="preserve">
</t>
    </r>
    <r>
      <rPr>
        <sz val="11"/>
        <color rgb="FFFF0000"/>
        <rFont val="Calibri"/>
        <family val="2"/>
        <scheme val="minor"/>
      </rPr>
      <t xml:space="preserve">2.IAAU1782070-40HQ </t>
    </r>
    <r>
      <rPr>
        <sz val="11"/>
        <color theme="1"/>
        <rFont val="Calibri"/>
        <family val="2"/>
        <scheme val="minor"/>
      </rPr>
      <t xml:space="preserve">
</t>
    </r>
    <r>
      <rPr>
        <sz val="11"/>
        <color rgb="FFFF0000"/>
        <rFont val="Calibri"/>
        <family val="2"/>
        <scheme val="minor"/>
      </rPr>
      <t xml:space="preserve">3.IAAU1837845-40HQ </t>
    </r>
    <r>
      <rPr>
        <sz val="11"/>
        <color theme="1"/>
        <rFont val="Calibri"/>
        <family val="2"/>
        <scheme val="minor"/>
      </rPr>
      <t xml:space="preserve">
</t>
    </r>
    <r>
      <rPr>
        <sz val="11"/>
        <color rgb="FFFF0000"/>
        <rFont val="Calibri"/>
        <family val="2"/>
        <scheme val="minor"/>
      </rPr>
      <t xml:space="preserve">4.IAAU1861986-40HQ </t>
    </r>
    <r>
      <rPr>
        <sz val="11"/>
        <color theme="1"/>
        <rFont val="Calibri"/>
        <family val="2"/>
        <scheme val="minor"/>
      </rPr>
      <t xml:space="preserve">
</t>
    </r>
    <r>
      <rPr>
        <sz val="11"/>
        <color rgb="FFFF0000"/>
        <rFont val="Calibri"/>
        <family val="2"/>
        <scheme val="minor"/>
      </rPr>
      <t xml:space="preserve">5.IAAU1866838-40HQ </t>
    </r>
    <r>
      <rPr>
        <sz val="11"/>
        <color theme="1"/>
        <rFont val="Calibri"/>
        <family val="2"/>
        <scheme val="minor"/>
      </rPr>
      <t xml:space="preserve">
</t>
    </r>
    <r>
      <rPr>
        <sz val="11"/>
        <color rgb="FFFF0000"/>
        <rFont val="Calibri"/>
        <family val="2"/>
        <scheme val="minor"/>
      </rPr>
      <t xml:space="preserve">6.TCLU8657068-40HQ 
7.TEMU6684668-40HQ </t>
    </r>
    <r>
      <rPr>
        <sz val="11"/>
        <color theme="1"/>
        <rFont val="Calibri"/>
        <family val="2"/>
        <scheme val="minor"/>
      </rPr>
      <t xml:space="preserve">
</t>
    </r>
    <r>
      <rPr>
        <sz val="11"/>
        <color rgb="FFFF0000"/>
        <rFont val="Calibri"/>
        <family val="2"/>
        <scheme val="minor"/>
      </rPr>
      <t xml:space="preserve">8.TGHU6418124-40HQ </t>
    </r>
  </si>
  <si>
    <t>22413</t>
  </si>
  <si>
    <t>SITTAGSV117575</t>
  </si>
  <si>
    <t>LG20221019</t>
  </si>
  <si>
    <t>1.SEGU6710462-40HC
2.TCKU7166015-40HC
3.TCKU7234022-40HC
4.TCKU7240318-40HC</t>
  </si>
  <si>
    <t>22414</t>
  </si>
  <si>
    <t>SITINSV052954G</t>
  </si>
  <si>
    <t>SITC BANGKOK V.2214S</t>
  </si>
  <si>
    <t>31.08.2022</t>
  </si>
  <si>
    <t>1.TCKU7295347/SITA354698</t>
  </si>
  <si>
    <t>252 PACKAGE(S)</t>
  </si>
  <si>
    <t>22415</t>
  </si>
  <si>
    <t>CNMC10922824</t>
  </si>
  <si>
    <t>02.09.2022</t>
  </si>
  <si>
    <t>1.JWTU9933007/HQ/20.0193728</t>
  </si>
  <si>
    <t>705 P'KGS</t>
  </si>
  <si>
    <t>224151</t>
  </si>
  <si>
    <t>CNMC10922833</t>
  </si>
  <si>
    <t>2.DBYU8818019/HQ/20.0417922</t>
  </si>
  <si>
    <t>632 P'KGS</t>
  </si>
  <si>
    <t>224152</t>
  </si>
  <si>
    <t>CNMC10922802</t>
  </si>
  <si>
    <t>3.HDMU6367818/HQ/20.0417854</t>
  </si>
  <si>
    <t>672 P'KGS</t>
  </si>
  <si>
    <r>
      <rPr>
        <sz val="11"/>
        <color rgb="FFFF0000"/>
        <rFont val="Calibri"/>
        <family val="2"/>
        <scheme val="minor"/>
      </rPr>
      <t>1.IAAU1814243-40HQ</t>
    </r>
    <r>
      <rPr>
        <sz val="11"/>
        <color theme="1"/>
        <rFont val="Calibri"/>
        <family val="2"/>
        <scheme val="minor"/>
      </rPr>
      <t xml:space="preserve">
</t>
    </r>
    <r>
      <rPr>
        <sz val="11"/>
        <color rgb="FFFF0000"/>
        <rFont val="Calibri"/>
        <family val="2"/>
        <scheme val="minor"/>
      </rPr>
      <t>2.IAAU1820605-40HQ</t>
    </r>
    <r>
      <rPr>
        <sz val="11"/>
        <color theme="1"/>
        <rFont val="Calibri"/>
        <family val="2"/>
        <scheme val="minor"/>
      </rPr>
      <t xml:space="preserve">
</t>
    </r>
    <r>
      <rPr>
        <sz val="11"/>
        <color rgb="FFFF0000"/>
        <rFont val="Calibri"/>
        <family val="2"/>
        <scheme val="minor"/>
      </rPr>
      <t>3.IAAU1825926-40HQ</t>
    </r>
    <r>
      <rPr>
        <sz val="11"/>
        <color theme="1"/>
        <rFont val="Calibri"/>
        <family val="2"/>
        <scheme val="minor"/>
      </rPr>
      <t xml:space="preserve">
</t>
    </r>
    <r>
      <rPr>
        <sz val="11"/>
        <color rgb="FFFF0000"/>
        <rFont val="Calibri"/>
        <family val="2"/>
        <scheme val="minor"/>
      </rPr>
      <t>4.IAAU1840160-40HQ</t>
    </r>
  </si>
  <si>
    <t>22416</t>
  </si>
  <si>
    <t>SHAWD069146</t>
  </si>
  <si>
    <t>20422664ETC</t>
  </si>
  <si>
    <t>E220781997180416</t>
  </si>
  <si>
    <t>04.09.2022</t>
  </si>
  <si>
    <t>22417</t>
  </si>
  <si>
    <t>SHAWD069145</t>
  </si>
  <si>
    <t>E220781997180415</t>
  </si>
  <si>
    <t>22418</t>
  </si>
  <si>
    <t>SHAWD069143</t>
  </si>
  <si>
    <t>E220781997180417</t>
  </si>
  <si>
    <t>1.TCKU6573320-40HQ</t>
  </si>
  <si>
    <t>22419</t>
  </si>
  <si>
    <t>SHAWD069144</t>
  </si>
  <si>
    <t>E220781997180418</t>
  </si>
  <si>
    <t>NEW CAR  MG HS, 2023</t>
  </si>
  <si>
    <t>1.IAAU1928360-40HQ (PART OF)</t>
  </si>
  <si>
    <t>22420</t>
  </si>
  <si>
    <t>CNMC10922855</t>
  </si>
  <si>
    <t>06.09.2022</t>
  </si>
  <si>
    <t>1.YMLU8134735/HQ/20.0417808</t>
  </si>
  <si>
    <t>624 P'KGS</t>
  </si>
  <si>
    <t>22421</t>
  </si>
  <si>
    <t>024C547754</t>
  </si>
  <si>
    <t>PRIME V.S012</t>
  </si>
  <si>
    <t>09.09.2022</t>
  </si>
  <si>
    <t>08.09.2022</t>
  </si>
  <si>
    <t>1.WHSU5898590/WHLQ910704</t>
  </si>
  <si>
    <t>685 PKGS</t>
  </si>
  <si>
    <t>224211</t>
  </si>
  <si>
    <t>SITINSV052822G</t>
  </si>
  <si>
    <t>SITC LIAONING V.2216S</t>
  </si>
  <si>
    <t>07.09.2022</t>
  </si>
  <si>
    <t>2.TGBU7034456/SITA348483</t>
  </si>
  <si>
    <t>1,468 PACKAGE(S)</t>
  </si>
  <si>
    <t>22422</t>
  </si>
  <si>
    <t>CNMC10922916</t>
  </si>
  <si>
    <t>1.XNKU2251007/HQ/20.0417587</t>
  </si>
  <si>
    <t>22423</t>
  </si>
  <si>
    <t>COAU7240849270</t>
  </si>
  <si>
    <t>2022JL496-1</t>
  </si>
  <si>
    <t>JMC TRUCK N720, 2022</t>
  </si>
  <si>
    <t>1.MAGU5603932-40HQ</t>
  </si>
  <si>
    <t>22424</t>
  </si>
  <si>
    <t>COAU7240955600</t>
  </si>
  <si>
    <t>2022JL496-2B</t>
  </si>
  <si>
    <t>10.09.2022</t>
  </si>
  <si>
    <t>1.GESU6911312-40HQ</t>
  </si>
  <si>
    <t>22425</t>
  </si>
  <si>
    <t>CNMC10922924</t>
  </si>
  <si>
    <t>1.XNKU8818073/LSO 071</t>
  </si>
  <si>
    <t>22426</t>
  </si>
  <si>
    <t>029C523339</t>
  </si>
  <si>
    <t>1.BEAU4808925/WHLQ898663</t>
  </si>
  <si>
    <t>2,040 PKGS</t>
  </si>
  <si>
    <t>CNMC10922938</t>
  </si>
  <si>
    <t>22427</t>
  </si>
  <si>
    <t>CERAMIC DISHES, CERAMIC SPOON, CERAMIC BOWL</t>
  </si>
  <si>
    <t>1.HSDU2019011/HQ/20.0417220</t>
  </si>
  <si>
    <t>22428</t>
  </si>
  <si>
    <t>MOLU18003928837</t>
  </si>
  <si>
    <t>ZG202208230</t>
  </si>
  <si>
    <t>HONGQI CAR CA6520H0EVXN E-HS9 FLAGSHIP, 2021</t>
  </si>
  <si>
    <t>22429</t>
  </si>
  <si>
    <t>MOLU18003928821</t>
  </si>
  <si>
    <t>ZG20220822A</t>
  </si>
  <si>
    <t>HONGQI CAR CA7000H0EVD EQM5, 2022</t>
  </si>
  <si>
    <t>13.09.2022</t>
  </si>
  <si>
    <t>22430</t>
  </si>
  <si>
    <t>22431</t>
  </si>
  <si>
    <t>22432</t>
  </si>
  <si>
    <t>22433</t>
  </si>
  <si>
    <t>22434</t>
  </si>
  <si>
    <t>SHAWD069202</t>
  </si>
  <si>
    <t>20424899ETC</t>
  </si>
  <si>
    <t>E220781997180429</t>
  </si>
  <si>
    <t>NEW CAR MG GT,2022
NEW CAR  MG HS, 2023</t>
  </si>
  <si>
    <t>SHAWD069116</t>
  </si>
  <si>
    <t>20424895ETC</t>
  </si>
  <si>
    <t>E220781997180428</t>
  </si>
  <si>
    <t>NEW CAR MG GT, 2023</t>
  </si>
  <si>
    <t>SHAWD069200</t>
  </si>
  <si>
    <t>20424915ETC</t>
  </si>
  <si>
    <t>E220781997180427</t>
  </si>
  <si>
    <t>SHAWD069201</t>
  </si>
  <si>
    <t>20424893ETC</t>
  </si>
  <si>
    <t>E220781997180426</t>
  </si>
  <si>
    <t>NEW CAR  MG HS, 2022
NEW CAR MG RX5, 2022
NEW CAR MG ZS, 2022</t>
  </si>
  <si>
    <t>SHAWD069198</t>
  </si>
  <si>
    <t>20424904ETC</t>
  </si>
  <si>
    <t>E220781997180431</t>
  </si>
  <si>
    <t>NEW CAR MG GT, 2023
NEW CAR MG GT, 2022
NEW CAR MG 6, 2023
NEW CAR MG RX5, 2022
NEW CAR MG RX8, 2022</t>
  </si>
  <si>
    <r>
      <rPr>
        <sz val="11"/>
        <color rgb="FF002060"/>
        <rFont val="Calibri"/>
        <family val="2"/>
        <scheme val="minor"/>
      </rPr>
      <t xml:space="preserve">IAAU1753852-40HQ </t>
    </r>
    <r>
      <rPr>
        <sz val="11"/>
        <color theme="1"/>
        <rFont val="Calibri"/>
        <family val="2"/>
        <scheme val="minor"/>
      </rPr>
      <t xml:space="preserve">(PART OF)
</t>
    </r>
    <r>
      <rPr>
        <sz val="11"/>
        <color theme="5" tint="-0.499984740745262"/>
        <rFont val="Calibri"/>
        <family val="2"/>
        <scheme val="minor"/>
      </rPr>
      <t xml:space="preserve">IAAU1856085-40HQ </t>
    </r>
    <r>
      <rPr>
        <sz val="11"/>
        <color theme="1"/>
        <rFont val="Calibri"/>
        <family val="2"/>
        <scheme val="minor"/>
      </rPr>
      <t xml:space="preserve">(PART OF)
</t>
    </r>
    <r>
      <rPr>
        <sz val="11"/>
        <color rgb="FF7030A0"/>
        <rFont val="Calibri"/>
        <family val="2"/>
        <scheme val="minor"/>
      </rPr>
      <t xml:space="preserve">SEKU4124467-40HQ </t>
    </r>
    <r>
      <rPr>
        <sz val="11"/>
        <color theme="1"/>
        <rFont val="Calibri"/>
        <family val="2"/>
        <scheme val="minor"/>
      </rPr>
      <t>(PART OF)</t>
    </r>
  </si>
  <si>
    <r>
      <rPr>
        <sz val="11"/>
        <color theme="8"/>
        <rFont val="Calibri"/>
        <family val="2"/>
        <scheme val="minor"/>
      </rPr>
      <t xml:space="preserve">IAAU1749596-40HQ </t>
    </r>
    <r>
      <rPr>
        <sz val="11"/>
        <color theme="1"/>
        <rFont val="Calibri"/>
        <family val="2"/>
        <scheme val="minor"/>
      </rPr>
      <t xml:space="preserve">(PART OF)
</t>
    </r>
    <r>
      <rPr>
        <sz val="11"/>
        <color theme="7"/>
        <rFont val="Calibri"/>
        <family val="2"/>
        <scheme val="minor"/>
      </rPr>
      <t xml:space="preserve">IAAU1767861-40HQ </t>
    </r>
    <r>
      <rPr>
        <sz val="11"/>
        <color theme="1"/>
        <rFont val="Calibri"/>
        <family val="2"/>
        <scheme val="minor"/>
      </rPr>
      <t>(PART OF)</t>
    </r>
  </si>
  <si>
    <t>22435</t>
  </si>
  <si>
    <t>GMD22HPHPNH0163</t>
  </si>
  <si>
    <t>20220902/VP-BJC-KH</t>
  </si>
  <si>
    <t>VN-KH22/01/36719</t>
  </si>
  <si>
    <t>1.GMDU8185963-40HC, 2.GMDU8188807-40HC</t>
  </si>
  <si>
    <r>
      <rPr>
        <sz val="11"/>
        <color rgb="FFFF0000"/>
        <rFont val="Calibri"/>
        <family val="2"/>
        <scheme val="minor"/>
      </rPr>
      <t>1.IAAU1718403-40HQ</t>
    </r>
    <r>
      <rPr>
        <sz val="11"/>
        <color theme="1"/>
        <rFont val="Calibri"/>
        <family val="2"/>
        <scheme val="minor"/>
      </rPr>
      <t xml:space="preserve">
</t>
    </r>
    <r>
      <rPr>
        <sz val="11"/>
        <color rgb="FFFF0000"/>
        <rFont val="Calibri"/>
        <family val="2"/>
        <scheme val="minor"/>
      </rPr>
      <t>2.IAAU1739330-40HQ</t>
    </r>
    <r>
      <rPr>
        <sz val="11"/>
        <color theme="1"/>
        <rFont val="Calibri"/>
        <family val="2"/>
        <scheme val="minor"/>
      </rPr>
      <t xml:space="preserve">
</t>
    </r>
    <r>
      <rPr>
        <sz val="11"/>
        <color rgb="FFFF0000"/>
        <rFont val="Calibri"/>
        <family val="2"/>
        <scheme val="minor"/>
      </rPr>
      <t>3.IAAU1740270-40HQ</t>
    </r>
    <r>
      <rPr>
        <sz val="11"/>
        <color theme="1"/>
        <rFont val="Calibri"/>
        <family val="2"/>
        <scheme val="minor"/>
      </rPr>
      <t xml:space="preserve">
</t>
    </r>
    <r>
      <rPr>
        <sz val="11"/>
        <color rgb="FFFF0000"/>
        <rFont val="Calibri"/>
        <family val="2"/>
        <scheme val="minor"/>
      </rPr>
      <t>4.IAAU1857733-40HQ
5.IAAU1932061-40HQ</t>
    </r>
    <r>
      <rPr>
        <sz val="11"/>
        <color theme="1"/>
        <rFont val="Calibri"/>
        <family val="2"/>
        <scheme val="minor"/>
      </rPr>
      <t xml:space="preserve">
</t>
    </r>
    <r>
      <rPr>
        <sz val="11"/>
        <color rgb="FFFF0000"/>
        <rFont val="Calibri"/>
        <family val="2"/>
        <scheme val="minor"/>
      </rPr>
      <t>6.SEGU6702657-40HQ</t>
    </r>
    <r>
      <rPr>
        <sz val="11"/>
        <color theme="1"/>
        <rFont val="Calibri"/>
        <family val="2"/>
        <scheme val="minor"/>
      </rPr>
      <t xml:space="preserve">
</t>
    </r>
    <r>
      <rPr>
        <sz val="11"/>
        <color rgb="FFFF0000"/>
        <rFont val="Calibri"/>
        <family val="2"/>
        <scheme val="minor"/>
      </rPr>
      <t>7.TCLU8594870-40HQ</t>
    </r>
  </si>
  <si>
    <r>
      <rPr>
        <sz val="11"/>
        <color rgb="FFFF0000"/>
        <rFont val="Calibri"/>
        <family val="2"/>
        <scheme val="minor"/>
      </rPr>
      <t>1.IAAU1771645-40HQ</t>
    </r>
    <r>
      <rPr>
        <sz val="11"/>
        <color theme="1"/>
        <rFont val="Calibri"/>
        <family val="2"/>
        <scheme val="minor"/>
      </rPr>
      <t xml:space="preserve">
</t>
    </r>
    <r>
      <rPr>
        <sz val="11"/>
        <color rgb="FFFF0000"/>
        <rFont val="Calibri"/>
        <family val="2"/>
        <scheme val="minor"/>
      </rPr>
      <t>2.IAAU1928360-40HQ</t>
    </r>
  </si>
  <si>
    <t>22436</t>
  </si>
  <si>
    <t>CNMC10922945</t>
  </si>
  <si>
    <t>14.09.2022</t>
  </si>
  <si>
    <t>1.JWTU9933067/HQ/20.0194723</t>
  </si>
  <si>
    <t>718 P'KGS</t>
  </si>
  <si>
    <t>224361</t>
  </si>
  <si>
    <t>CNMC10922952</t>
  </si>
  <si>
    <t>CERAMIC PLATES, CERAMIC SPOON, CERAMIC BOWL</t>
  </si>
  <si>
    <t>2.BATU9189857/HQ/20.0417531</t>
  </si>
  <si>
    <t>22437</t>
  </si>
  <si>
    <t>CNMC10922966</t>
  </si>
  <si>
    <t>16.09.2022</t>
  </si>
  <si>
    <t>1.NYKU6117863/HQ/20 0194878</t>
  </si>
  <si>
    <t>676 P'KGS</t>
  </si>
  <si>
    <t>22438</t>
  </si>
  <si>
    <t>024C550324</t>
  </si>
  <si>
    <t>WAN HAI 163 V.S400</t>
  </si>
  <si>
    <t>15.09.2022</t>
  </si>
  <si>
    <t>1.WHSU5097878/WHLQ925510
2.WHSU6158319/WHLQ925501</t>
  </si>
  <si>
    <t>2,422 CTNS)</t>
  </si>
  <si>
    <t>22439</t>
  </si>
  <si>
    <t>CNMC10922978</t>
  </si>
  <si>
    <t>18.09.2022</t>
  </si>
  <si>
    <t>1.KKFU9092466/HQ/20.0417420</t>
  </si>
  <si>
    <t>768 P'KGS</t>
  </si>
  <si>
    <t>22440</t>
  </si>
  <si>
    <t>SITSKSVG358050</t>
  </si>
  <si>
    <t>ZG20220914</t>
  </si>
  <si>
    <t>HONGQI CAR CA6472HA6T HS5, 2021</t>
  </si>
  <si>
    <t>1.UETU5710239-40HC
2.BMOU6489673-40HC
3.DFSU7709985-40HC
4.TCNU5524623-40HC</t>
  </si>
  <si>
    <t>22441</t>
  </si>
  <si>
    <t>024C552576</t>
  </si>
  <si>
    <t>PRIME V.S013</t>
  </si>
  <si>
    <t>22.09.2022</t>
  </si>
  <si>
    <t>1.WHSU5044060/WHLQ916485</t>
  </si>
  <si>
    <t>2,128 PKGS</t>
  </si>
  <si>
    <t>224411</t>
  </si>
  <si>
    <t>024C551076</t>
  </si>
  <si>
    <t>2.WHSU5410621/WHLQ926409</t>
  </si>
  <si>
    <t>1,879 PKGS</t>
  </si>
  <si>
    <t>224412</t>
  </si>
  <si>
    <t>024C551604</t>
  </si>
  <si>
    <t>3.WHSU6162772/WHLP214718</t>
  </si>
  <si>
    <t>555 PKGS</t>
  </si>
  <si>
    <r>
      <rPr>
        <sz val="11"/>
        <color rgb="FFFF0000"/>
        <rFont val="Calibri"/>
        <family val="2"/>
        <scheme val="minor"/>
      </rPr>
      <t>1.IAAU1715873-40HQ</t>
    </r>
    <r>
      <rPr>
        <sz val="11"/>
        <color theme="1"/>
        <rFont val="Calibri"/>
        <family val="2"/>
        <scheme val="minor"/>
      </rPr>
      <t xml:space="preserve">
</t>
    </r>
    <r>
      <rPr>
        <sz val="11"/>
        <color rgb="FFFF0000"/>
        <rFont val="Calibri"/>
        <family val="2"/>
        <scheme val="minor"/>
      </rPr>
      <t>2.IAAU1749596-40HQ</t>
    </r>
    <r>
      <rPr>
        <sz val="11"/>
        <color theme="1"/>
        <rFont val="Calibri"/>
        <family val="2"/>
        <scheme val="minor"/>
      </rPr>
      <t xml:space="preserve">
</t>
    </r>
    <r>
      <rPr>
        <sz val="11"/>
        <color rgb="FFFF0000"/>
        <rFont val="Calibri"/>
        <family val="2"/>
        <scheme val="minor"/>
      </rPr>
      <t>3.IAAU1753831-40HQ</t>
    </r>
    <r>
      <rPr>
        <sz val="11"/>
        <color theme="1"/>
        <rFont val="Calibri"/>
        <family val="2"/>
        <scheme val="minor"/>
      </rPr>
      <t xml:space="preserve">
</t>
    </r>
    <r>
      <rPr>
        <sz val="11"/>
        <color rgb="FFFF0000"/>
        <rFont val="Calibri"/>
        <family val="2"/>
        <scheme val="minor"/>
      </rPr>
      <t>4.IAAU1767861-40HQ</t>
    </r>
    <r>
      <rPr>
        <sz val="11"/>
        <color theme="1"/>
        <rFont val="Calibri"/>
        <family val="2"/>
        <scheme val="minor"/>
      </rPr>
      <t xml:space="preserve">
</t>
    </r>
    <r>
      <rPr>
        <sz val="11"/>
        <color rgb="FFFF0000"/>
        <rFont val="Calibri"/>
        <family val="2"/>
        <scheme val="minor"/>
      </rPr>
      <t>5.IAAU1856085-40HQ</t>
    </r>
    <r>
      <rPr>
        <sz val="11"/>
        <color theme="1"/>
        <rFont val="Calibri"/>
        <family val="2"/>
        <scheme val="minor"/>
      </rPr>
      <t xml:space="preserve">
</t>
    </r>
    <r>
      <rPr>
        <sz val="11"/>
        <color rgb="FFFF0000"/>
        <rFont val="Calibri"/>
        <family val="2"/>
        <scheme val="minor"/>
      </rPr>
      <t>6.IAAU1856927-40HQ</t>
    </r>
    <r>
      <rPr>
        <sz val="11"/>
        <color theme="1"/>
        <rFont val="Calibri"/>
        <family val="2"/>
        <scheme val="minor"/>
      </rPr>
      <t xml:space="preserve">
</t>
    </r>
    <r>
      <rPr>
        <sz val="11"/>
        <color rgb="FFFF0000"/>
        <rFont val="Calibri"/>
        <family val="2"/>
        <scheme val="minor"/>
      </rPr>
      <t>7.IAAU1948772-40HQ</t>
    </r>
    <r>
      <rPr>
        <sz val="11"/>
        <color theme="1"/>
        <rFont val="Calibri"/>
        <family val="2"/>
        <scheme val="minor"/>
      </rPr>
      <t xml:space="preserve">
</t>
    </r>
    <r>
      <rPr>
        <sz val="11"/>
        <color rgb="FFFF0000"/>
        <rFont val="Calibri"/>
        <family val="2"/>
        <scheme val="minor"/>
      </rPr>
      <t>8.SEKU4124467-40HQ</t>
    </r>
  </si>
  <si>
    <r>
      <rPr>
        <sz val="11"/>
        <color rgb="FFFF0000"/>
        <rFont val="Calibri"/>
        <family val="2"/>
        <scheme val="minor"/>
      </rPr>
      <t xml:space="preserve">IAAU1856927-40HQ </t>
    </r>
    <r>
      <rPr>
        <sz val="11"/>
        <color theme="1"/>
        <rFont val="Calibri"/>
        <family val="2"/>
        <scheme val="minor"/>
      </rPr>
      <t xml:space="preserve">(PART OF)
</t>
    </r>
    <r>
      <rPr>
        <sz val="11"/>
        <color rgb="FFFF0000"/>
        <rFont val="Calibri"/>
        <family val="2"/>
        <scheme val="minor"/>
      </rPr>
      <t>1.IAAU1919060-40HQ</t>
    </r>
  </si>
  <si>
    <r>
      <rPr>
        <sz val="11"/>
        <color theme="9"/>
        <rFont val="Calibri"/>
        <family val="2"/>
        <scheme val="minor"/>
      </rPr>
      <t xml:space="preserve">IAAU1715873-40HQ </t>
    </r>
    <r>
      <rPr>
        <sz val="11"/>
        <color theme="1"/>
        <rFont val="Calibri"/>
        <family val="2"/>
        <scheme val="minor"/>
      </rPr>
      <t xml:space="preserve">(PART OF)
</t>
    </r>
    <r>
      <rPr>
        <sz val="11"/>
        <color rgb="FFFF0000"/>
        <rFont val="Calibri"/>
        <family val="2"/>
        <scheme val="minor"/>
      </rPr>
      <t>1.IAAU1753852-40HQ</t>
    </r>
  </si>
  <si>
    <t>22442</t>
  </si>
  <si>
    <t>CNMC10922982</t>
  </si>
  <si>
    <t>CERAMIC VASE, CERAMIC TEA SET, CERAMIC SPOON, CERAMIC BOWL</t>
  </si>
  <si>
    <t>1.BTDU5002015/HQ/20.0418143</t>
  </si>
  <si>
    <t>960 P'KGS</t>
  </si>
  <si>
    <t>22443</t>
  </si>
  <si>
    <t>SHAWD069271</t>
  </si>
  <si>
    <t>E220781997180442</t>
  </si>
  <si>
    <t>22444</t>
  </si>
  <si>
    <t>NSASHVG091232</t>
  </si>
  <si>
    <t>RESURGENCE V.2240S</t>
  </si>
  <si>
    <t>1.SEGU5434565/SITA071619</t>
  </si>
  <si>
    <t>1694 PACKAGE(S)</t>
  </si>
  <si>
    <t>22445</t>
  </si>
  <si>
    <t>CNMC10922996</t>
  </si>
  <si>
    <t xml:space="preserve">CERAMIC VASE, CERAMIC TEA SET, CERAMIC SPOON, CERAMIC BOWL </t>
  </si>
  <si>
    <t>1.MOEU0323468/HQ/20.0418253</t>
  </si>
  <si>
    <t>948 P'KGS</t>
  </si>
  <si>
    <t>22446</t>
  </si>
  <si>
    <t>VLP/FE/22/08/B/0285</t>
  </si>
  <si>
    <t>EIC/2022/013/0659617A/00621741</t>
  </si>
  <si>
    <t>1.NYKU4789658/IN0988506</t>
  </si>
  <si>
    <t>22447</t>
  </si>
  <si>
    <t>22448</t>
  </si>
  <si>
    <t>22449</t>
  </si>
  <si>
    <t>SHAWD069321</t>
  </si>
  <si>
    <t>1.CAIU8607121-40HQ</t>
  </si>
  <si>
    <t>SHAWD069319</t>
  </si>
  <si>
    <t>20428720ETC</t>
  </si>
  <si>
    <t>NEW CAR MG RX5, 2022
NEW CAR MG GT , 1.5T DCT DEL, 2022
NEW CAR MG GT , 1.5T DCT DEL, 2023</t>
  </si>
  <si>
    <t>SHAWD069320</t>
  </si>
  <si>
    <t>NEW CAR MG GT, 1.5T DCT DEL, 2022</t>
  </si>
  <si>
    <t>22450</t>
  </si>
  <si>
    <t>CNMC10923002</t>
  </si>
  <si>
    <t>27.09.2022</t>
  </si>
  <si>
    <t>1.XLXU9000078/HQ/20.0195495</t>
  </si>
  <si>
    <t>224501</t>
  </si>
  <si>
    <t>CNMC10923000</t>
  </si>
  <si>
    <t>2.JYLU2022050/09116DPT</t>
  </si>
  <si>
    <t>936 P'KGS</t>
  </si>
  <si>
    <t>224502</t>
  </si>
  <si>
    <t>CNMC10923011</t>
  </si>
  <si>
    <t>3.HSDU2019114/HQ/20.0195513</t>
  </si>
  <si>
    <t>22451</t>
  </si>
  <si>
    <t>029C523340</t>
  </si>
  <si>
    <t>WAN HAI 163 V.S402</t>
  </si>
  <si>
    <t>1.WHLU5496147/WHLQ920833</t>
  </si>
  <si>
    <t>29.09.2022</t>
  </si>
  <si>
    <t>224511</t>
  </si>
  <si>
    <t>024C552794</t>
  </si>
  <si>
    <t>2.WHSU5102249/WHLQ919477</t>
  </si>
  <si>
    <t>E220781997180452</t>
  </si>
  <si>
    <t>E220781997180453</t>
  </si>
  <si>
    <t>E220781997180454</t>
  </si>
  <si>
    <t>22452</t>
  </si>
  <si>
    <t>CNMC10923024</t>
  </si>
  <si>
    <t>30.09.2022</t>
  </si>
  <si>
    <t>1.JYLU2021035/HQ/20.0418501</t>
  </si>
  <si>
    <t>224521</t>
  </si>
  <si>
    <t>CNMC10923033</t>
  </si>
  <si>
    <t>2.SENU5004780/HQ/20.0418388</t>
  </si>
  <si>
    <t>22453</t>
  </si>
  <si>
    <t>OMPLCHS220263</t>
  </si>
  <si>
    <t>019/2022</t>
  </si>
  <si>
    <t>D2022-0263793</t>
  </si>
  <si>
    <t>PINNCHAREON 2 V. 22002E</t>
  </si>
  <si>
    <t>1.OMPL9573568-40HC</t>
  </si>
  <si>
    <t>E22MA2J0B2T8Q442</t>
  </si>
  <si>
    <t>E22MA2J0B2T8Q439</t>
  </si>
  <si>
    <t>E22MA2J0B2T8Q443</t>
  </si>
  <si>
    <t>NEWPORT CYPRESS 68 V.241W</t>
  </si>
  <si>
    <t>25.09.2022</t>
  </si>
  <si>
    <t>22454</t>
  </si>
  <si>
    <t>CNMC10923046</t>
  </si>
  <si>
    <t>01.10.2022</t>
  </si>
  <si>
    <t>1.XNKU8818024/BV20225030</t>
  </si>
  <si>
    <t>224541</t>
  </si>
  <si>
    <t>CNMC10923054</t>
  </si>
  <si>
    <t>2.TTNU9981750/H/19.0714812</t>
  </si>
  <si>
    <t>22455</t>
  </si>
  <si>
    <t>COAU7241449180</t>
  </si>
  <si>
    <t>KUO LUNG V.193S</t>
  </si>
  <si>
    <t>PLASTIC MACHINE EQUIPMENT, PE PIPE, WOVEN BAG</t>
  </si>
  <si>
    <t>1.CSNU6574876/23361566</t>
  </si>
  <si>
    <t>WENZHOU</t>
  </si>
  <si>
    <t>224551</t>
  </si>
  <si>
    <t>NSASHVG091983</t>
  </si>
  <si>
    <t>SITC KAOHSIUNG V.2240S</t>
  </si>
  <si>
    <t>2.TCNU3576870/SITA069541</t>
  </si>
  <si>
    <t>1175 PACKAGE(S)</t>
  </si>
  <si>
    <t>22456</t>
  </si>
  <si>
    <t>EGLV147200782448</t>
  </si>
  <si>
    <t>NEW JETOUR BRAND CAR X70 PLUS, 2023
NEW JETOUR BRAND CAR X95, 2022</t>
  </si>
  <si>
    <r>
      <rPr>
        <sz val="11"/>
        <color rgb="FFFF0000"/>
        <rFont val="Calibri"/>
        <family val="2"/>
        <scheme val="minor"/>
      </rPr>
      <t>1.BHCU5007552-40HQ</t>
    </r>
    <r>
      <rPr>
        <sz val="11"/>
        <color theme="1"/>
        <rFont val="Calibri"/>
        <family val="2"/>
        <scheme val="minor"/>
      </rPr>
      <t xml:space="preserve">
</t>
    </r>
    <r>
      <rPr>
        <sz val="11"/>
        <color rgb="FFFF0000"/>
        <rFont val="Calibri"/>
        <family val="2"/>
        <scheme val="minor"/>
      </rPr>
      <t>2.CAIU9653749-40HQ</t>
    </r>
    <r>
      <rPr>
        <sz val="11"/>
        <color theme="1"/>
        <rFont val="Calibri"/>
        <family val="2"/>
        <scheme val="minor"/>
      </rPr>
      <t xml:space="preserve">
</t>
    </r>
    <r>
      <rPr>
        <sz val="11"/>
        <color rgb="FFFF0000"/>
        <rFont val="Calibri"/>
        <family val="2"/>
        <scheme val="minor"/>
      </rPr>
      <t>3.IAAU1740860-40HQ</t>
    </r>
    <r>
      <rPr>
        <sz val="11"/>
        <color theme="1"/>
        <rFont val="Calibri"/>
        <family val="2"/>
        <scheme val="minor"/>
      </rPr>
      <t xml:space="preserve">
</t>
    </r>
    <r>
      <rPr>
        <sz val="11"/>
        <color rgb="FFFF0000"/>
        <rFont val="Calibri"/>
        <family val="2"/>
        <scheme val="minor"/>
      </rPr>
      <t>4.IAAU1744300-40HQ(COPY)</t>
    </r>
    <r>
      <rPr>
        <sz val="11"/>
        <color theme="1"/>
        <rFont val="Calibri"/>
        <family val="2"/>
        <scheme val="minor"/>
      </rPr>
      <t xml:space="preserve">
</t>
    </r>
    <r>
      <rPr>
        <sz val="11"/>
        <color rgb="FFFF0000"/>
        <rFont val="Calibri"/>
        <family val="2"/>
        <scheme val="minor"/>
      </rPr>
      <t>5.IAAU1770269-40HQ</t>
    </r>
    <r>
      <rPr>
        <sz val="11"/>
        <color theme="1"/>
        <rFont val="Calibri"/>
        <family val="2"/>
        <scheme val="minor"/>
      </rPr>
      <t xml:space="preserve">
</t>
    </r>
    <r>
      <rPr>
        <sz val="11"/>
        <color rgb="FFFF0000"/>
        <rFont val="Calibri"/>
        <family val="2"/>
        <scheme val="minor"/>
      </rPr>
      <t>6.IAAU1875737-40HQ</t>
    </r>
    <r>
      <rPr>
        <sz val="11"/>
        <color theme="1"/>
        <rFont val="Calibri"/>
        <family val="2"/>
        <scheme val="minor"/>
      </rPr>
      <t xml:space="preserve">
</t>
    </r>
    <r>
      <rPr>
        <sz val="11"/>
        <color rgb="FFFF0000"/>
        <rFont val="Calibri"/>
        <family val="2"/>
        <scheme val="minor"/>
      </rPr>
      <t>7.IAAU1901836-40HQ</t>
    </r>
    <r>
      <rPr>
        <sz val="11"/>
        <color theme="1"/>
        <rFont val="Calibri"/>
        <family val="2"/>
        <scheme val="minor"/>
      </rPr>
      <t xml:space="preserve">
</t>
    </r>
    <r>
      <rPr>
        <sz val="11"/>
        <color rgb="FFFF0000"/>
        <rFont val="Calibri"/>
        <family val="2"/>
        <scheme val="minor"/>
      </rPr>
      <t>8.SEGU6708320-40HQ</t>
    </r>
    <r>
      <rPr>
        <sz val="11"/>
        <color theme="1"/>
        <rFont val="Calibri"/>
        <family val="2"/>
        <scheme val="minor"/>
      </rPr>
      <t xml:space="preserve">
</t>
    </r>
    <r>
      <rPr>
        <sz val="11"/>
        <color rgb="FFFF0000"/>
        <rFont val="Calibri"/>
        <family val="2"/>
        <scheme val="minor"/>
      </rPr>
      <t>9.SEKU4107639-40HQ</t>
    </r>
    <r>
      <rPr>
        <sz val="11"/>
        <color theme="1"/>
        <rFont val="Calibri"/>
        <family val="2"/>
        <scheme val="minor"/>
      </rPr>
      <t xml:space="preserve">
</t>
    </r>
    <r>
      <rPr>
        <sz val="11"/>
        <color rgb="FFFF0000"/>
        <rFont val="Calibri"/>
        <family val="2"/>
        <scheme val="minor"/>
      </rPr>
      <t>10.TCKU6573422-40HQ</t>
    </r>
  </si>
  <si>
    <t>22457</t>
  </si>
  <si>
    <t>CNMC10923060</t>
  </si>
  <si>
    <t>1.IMKU8821020/HQ/20.0195988</t>
  </si>
  <si>
    <t>956 P'KGS</t>
  </si>
  <si>
    <t>05.10.2022</t>
  </si>
  <si>
    <t>22458</t>
  </si>
  <si>
    <t>04053</t>
  </si>
  <si>
    <t>04054</t>
  </si>
  <si>
    <t>04096</t>
  </si>
  <si>
    <t>04097</t>
  </si>
  <si>
    <t>04098</t>
  </si>
  <si>
    <t>04099</t>
  </si>
  <si>
    <t>04091</t>
  </si>
  <si>
    <t>04118</t>
  </si>
  <si>
    <t>04145</t>
  </si>
  <si>
    <t>04129</t>
  </si>
  <si>
    <t>04163</t>
  </si>
  <si>
    <t>04164</t>
  </si>
  <si>
    <t>04162</t>
  </si>
  <si>
    <t>04191</t>
  </si>
  <si>
    <t>04182</t>
  </si>
  <si>
    <t>04261</t>
  </si>
  <si>
    <t>04231</t>
  </si>
  <si>
    <t>04206</t>
  </si>
  <si>
    <t>04232</t>
  </si>
  <si>
    <t>04233</t>
  </si>
  <si>
    <t>04251</t>
  </si>
  <si>
    <t>04252</t>
  </si>
  <si>
    <t>04294</t>
  </si>
  <si>
    <t>04322</t>
  </si>
  <si>
    <t>04316</t>
  </si>
  <si>
    <t>04317</t>
  </si>
  <si>
    <t>04358</t>
  </si>
  <si>
    <t>04359</t>
  </si>
  <si>
    <t>04360</t>
  </si>
  <si>
    <t>04379</t>
  </si>
  <si>
    <t>04405</t>
  </si>
  <si>
    <t>04406</t>
  </si>
  <si>
    <t>04419</t>
  </si>
  <si>
    <t>04420</t>
  </si>
  <si>
    <t>04436</t>
  </si>
  <si>
    <t>04437</t>
  </si>
  <si>
    <t>04456</t>
  </si>
  <si>
    <t>04525</t>
  </si>
  <si>
    <t>04540</t>
  </si>
  <si>
    <t>04556</t>
  </si>
  <si>
    <t>04584</t>
  </si>
  <si>
    <t>04585</t>
  </si>
  <si>
    <t>04645</t>
  </si>
  <si>
    <t>04673</t>
  </si>
  <si>
    <t>04697</t>
  </si>
  <si>
    <t>04698</t>
  </si>
  <si>
    <t>04717</t>
  </si>
  <si>
    <t>04748</t>
  </si>
  <si>
    <t>04749</t>
  </si>
  <si>
    <t>04784</t>
  </si>
  <si>
    <t>04823</t>
  </si>
  <si>
    <t>04819</t>
  </si>
  <si>
    <t>04820</t>
  </si>
  <si>
    <t>04821</t>
  </si>
  <si>
    <t>04840</t>
  </si>
  <si>
    <t>04841</t>
  </si>
  <si>
    <t>04874</t>
  </si>
  <si>
    <t>04870</t>
  </si>
  <si>
    <t>GMD22HPHPNH0182</t>
  </si>
  <si>
    <t>20220923/VP-BJC-KH</t>
  </si>
  <si>
    <t>VN-KH 22/01/39853</t>
  </si>
  <si>
    <t>PHUOC LONG 10 V.185W</t>
  </si>
  <si>
    <t>1.GMDU8181422-40HC, 2.GMDU8186933-40HC</t>
  </si>
  <si>
    <t>22459</t>
  </si>
  <si>
    <t>3370SH010</t>
  </si>
  <si>
    <t>ST20223997</t>
  </si>
  <si>
    <t>NEW BULLDOZER DH08-B3 XL, 2022
NEW BULLDOZER DH17C2, 2022
NEW EXCAVATOR ME315, 2022
NEW EXCAVATOR ME375LC, 2022</t>
  </si>
  <si>
    <t>22460</t>
  </si>
  <si>
    <t>024C555000</t>
  </si>
  <si>
    <t>PRIME V.S014</t>
  </si>
  <si>
    <t>07.10.2022</t>
  </si>
  <si>
    <t>1.WHSU6759480/WHLQ928139</t>
  </si>
  <si>
    <t>224601</t>
  </si>
  <si>
    <t>024C554672</t>
  </si>
  <si>
    <t>2.WHSU6813004/WHLQ919075</t>
  </si>
  <si>
    <t>2,226 PKGS</t>
  </si>
  <si>
    <t>224602</t>
  </si>
  <si>
    <t>029C524653</t>
  </si>
  <si>
    <t>3.WHLU5613808/WHLQ926579</t>
  </si>
  <si>
    <t>2,232 PKGS</t>
  </si>
  <si>
    <t>224603</t>
  </si>
  <si>
    <t>024C554669</t>
  </si>
  <si>
    <t>4.WHSU6395959/WHLQ919025</t>
  </si>
  <si>
    <t>2,200 PKGS</t>
  </si>
  <si>
    <t>224604</t>
  </si>
  <si>
    <t>024C554668</t>
  </si>
  <si>
    <t>5.TCKU7532860/WHLQ921333</t>
  </si>
  <si>
    <t>22461</t>
  </si>
  <si>
    <t>NSASHVG093123</t>
  </si>
  <si>
    <t>PADIAN 4 V.2229S</t>
  </si>
  <si>
    <t>06.10.2022</t>
  </si>
  <si>
    <t>1.BEAU6420918/SITA073404</t>
  </si>
  <si>
    <t>1483 PACKAGE(S)</t>
  </si>
  <si>
    <t>224611</t>
  </si>
  <si>
    <t>NSASHVG093042</t>
  </si>
  <si>
    <t>2.SITU9045127/SITB073319</t>
  </si>
  <si>
    <t>2105 PACKAGE(S)</t>
  </si>
  <si>
    <t>224612</t>
  </si>
  <si>
    <t>NSASHVG092526</t>
  </si>
  <si>
    <t>3.TCKU6642884/SITB078487</t>
  </si>
  <si>
    <t>2050 PACKAGE(S)</t>
  </si>
  <si>
    <t>224613</t>
  </si>
  <si>
    <t>NSASHVG093044</t>
  </si>
  <si>
    <t>4.TCKU7112723/SITB078377</t>
  </si>
  <si>
    <t>22462</t>
  </si>
  <si>
    <t>22463</t>
  </si>
  <si>
    <t>22464</t>
  </si>
  <si>
    <t>22465</t>
  </si>
  <si>
    <t>22466</t>
  </si>
  <si>
    <t>22467</t>
  </si>
  <si>
    <t>HANSA LANKA V.240N</t>
  </si>
  <si>
    <t>1.TCLU6013092</t>
  </si>
  <si>
    <t>40 FLAT 8'6</t>
  </si>
  <si>
    <t>TMH TRADING</t>
  </si>
  <si>
    <t>USED TRUCK MERCEDES-BENZ ZETROS, MODEL YEAR 2021, LHD</t>
  </si>
  <si>
    <t>SHAWD069354</t>
  </si>
  <si>
    <t>1.IAAU1847864-40HQ</t>
  </si>
  <si>
    <t>FCL</t>
  </si>
  <si>
    <t>SHAWD069355</t>
  </si>
  <si>
    <t>1.SEKU4123136-40HQ</t>
  </si>
  <si>
    <t>SHAWD069312</t>
  </si>
  <si>
    <t>SHAWD069353</t>
  </si>
  <si>
    <t>1.IAAU1690630-40HQ
2.IAAU1748727-40HQ
3.TGBU7710904-40HQ</t>
  </si>
  <si>
    <t>SHAWD069362</t>
  </si>
  <si>
    <t>1.IAAU1774449-40HQ
2.IAAU1783076-40HQ
3.TCNU4046941-40HQ</t>
  </si>
  <si>
    <t>E220781997180495</t>
  </si>
  <si>
    <t>E220781997180494</t>
  </si>
  <si>
    <t>E220781997180496</t>
  </si>
  <si>
    <t>E220781997180498</t>
  </si>
  <si>
    <t>E220781997180497</t>
  </si>
  <si>
    <r>
      <rPr>
        <sz val="11"/>
        <color rgb="FFFF0000"/>
        <rFont val="Calibri"/>
        <family val="2"/>
        <scheme val="minor"/>
      </rPr>
      <t>1.EITU1400690-40H</t>
    </r>
    <r>
      <rPr>
        <sz val="11"/>
        <color theme="1"/>
        <rFont val="Calibri"/>
        <family val="2"/>
        <scheme val="minor"/>
      </rPr>
      <t xml:space="preserve">
</t>
    </r>
    <r>
      <rPr>
        <sz val="11"/>
        <color rgb="FFFF0000"/>
        <rFont val="Calibri"/>
        <family val="2"/>
        <scheme val="minor"/>
      </rPr>
      <t>2.TGBU7268325-40H</t>
    </r>
    <r>
      <rPr>
        <sz val="11"/>
        <color theme="1"/>
        <rFont val="Calibri"/>
        <family val="2"/>
        <scheme val="minor"/>
      </rPr>
      <t xml:space="preserve">
</t>
    </r>
    <r>
      <rPr>
        <sz val="11"/>
        <color rgb="FFFF0000"/>
        <rFont val="Calibri"/>
        <family val="2"/>
        <scheme val="minor"/>
      </rPr>
      <t>3.TLLU4140476-40H</t>
    </r>
    <r>
      <rPr>
        <sz val="11"/>
        <color theme="1"/>
        <rFont val="Calibri"/>
        <family val="2"/>
        <scheme val="minor"/>
      </rPr>
      <t xml:space="preserve">
</t>
    </r>
    <r>
      <rPr>
        <sz val="11"/>
        <color rgb="FFFF0000"/>
        <rFont val="Calibri"/>
        <family val="2"/>
        <scheme val="minor"/>
      </rPr>
      <t>4.EISU9160123-40H</t>
    </r>
    <r>
      <rPr>
        <sz val="11"/>
        <color theme="1"/>
        <rFont val="Calibri"/>
        <family val="2"/>
        <scheme val="minor"/>
      </rPr>
      <t xml:space="preserve">
</t>
    </r>
    <r>
      <rPr>
        <sz val="11"/>
        <color rgb="FFFF0000"/>
        <rFont val="Calibri"/>
        <family val="2"/>
        <scheme val="minor"/>
      </rPr>
      <t>5.HMCU9100470-40H</t>
    </r>
    <r>
      <rPr>
        <sz val="11"/>
        <color theme="1"/>
        <rFont val="Calibri"/>
        <family val="2"/>
        <scheme val="minor"/>
      </rPr>
      <t xml:space="preserve">
</t>
    </r>
    <r>
      <rPr>
        <sz val="11"/>
        <color rgb="FFFF0000"/>
        <rFont val="Calibri"/>
        <family val="2"/>
        <scheme val="minor"/>
      </rPr>
      <t>6.EMCU8281935-40H</t>
    </r>
    <r>
      <rPr>
        <sz val="11"/>
        <color theme="1"/>
        <rFont val="Calibri"/>
        <family val="2"/>
        <scheme val="minor"/>
      </rPr>
      <t xml:space="preserve">
</t>
    </r>
    <r>
      <rPr>
        <sz val="11"/>
        <color rgb="FFFF0000"/>
        <rFont val="Calibri"/>
        <family val="2"/>
        <scheme val="minor"/>
      </rPr>
      <t>7.TGBU8030970-40H</t>
    </r>
  </si>
  <si>
    <r>
      <rPr>
        <sz val="11"/>
        <color rgb="FFFF0000"/>
        <rFont val="Calibri"/>
        <family val="2"/>
        <scheme val="minor"/>
      </rPr>
      <t>1.IAAU1738858-40HQ</t>
    </r>
    <r>
      <rPr>
        <sz val="11"/>
        <color theme="1"/>
        <rFont val="Calibri"/>
        <family val="2"/>
        <scheme val="minor"/>
      </rPr>
      <t xml:space="preserve">
</t>
    </r>
    <r>
      <rPr>
        <sz val="11"/>
        <color rgb="FFFF0000"/>
        <rFont val="Calibri"/>
        <family val="2"/>
        <scheme val="minor"/>
      </rPr>
      <t>2.IAAU1914601-40HQ</t>
    </r>
    <r>
      <rPr>
        <sz val="11"/>
        <color theme="1"/>
        <rFont val="Calibri"/>
        <family val="2"/>
        <scheme val="minor"/>
      </rPr>
      <t xml:space="preserve">
</t>
    </r>
    <r>
      <rPr>
        <sz val="11"/>
        <color rgb="FFFF0000"/>
        <rFont val="Calibri"/>
        <family val="2"/>
        <scheme val="minor"/>
      </rPr>
      <t>3.IAAU1938861-40HQ</t>
    </r>
  </si>
  <si>
    <r>
      <rPr>
        <sz val="11"/>
        <color rgb="FFFF0000"/>
        <rFont val="Calibri"/>
        <family val="2"/>
        <scheme val="minor"/>
      </rPr>
      <t>1.IAAU1832801-40HQ</t>
    </r>
    <r>
      <rPr>
        <sz val="11"/>
        <color theme="1"/>
        <rFont val="Calibri"/>
        <family val="2"/>
        <scheme val="minor"/>
      </rPr>
      <t xml:space="preserve">
</t>
    </r>
    <r>
      <rPr>
        <sz val="11"/>
        <color rgb="FFFF0000"/>
        <rFont val="Calibri"/>
        <family val="2"/>
        <scheme val="minor"/>
      </rPr>
      <t>2.IAAU1855896-40HQ</t>
    </r>
    <r>
      <rPr>
        <sz val="11"/>
        <color theme="1"/>
        <rFont val="Calibri"/>
        <family val="2"/>
        <scheme val="minor"/>
      </rPr>
      <t xml:space="preserve">
</t>
    </r>
    <r>
      <rPr>
        <sz val="11"/>
        <color rgb="FFFF0000"/>
        <rFont val="Calibri"/>
        <family val="2"/>
        <scheme val="minor"/>
      </rPr>
      <t>3.IAAU1885756-40HQ</t>
    </r>
    <r>
      <rPr>
        <sz val="11"/>
        <color theme="1"/>
        <rFont val="Calibri"/>
        <family val="2"/>
        <scheme val="minor"/>
      </rPr>
      <t xml:space="preserve">
</t>
    </r>
    <r>
      <rPr>
        <sz val="11"/>
        <color rgb="FFFF0000"/>
        <rFont val="Calibri"/>
        <family val="2"/>
        <scheme val="minor"/>
      </rPr>
      <t>4.IAAU1943744-40HQ</t>
    </r>
    <r>
      <rPr>
        <sz val="11"/>
        <color theme="1"/>
        <rFont val="Calibri"/>
        <family val="2"/>
        <scheme val="minor"/>
      </rPr>
      <t xml:space="preserve">
</t>
    </r>
    <r>
      <rPr>
        <sz val="11"/>
        <color rgb="FFFF0000"/>
        <rFont val="Calibri"/>
        <family val="2"/>
        <scheme val="minor"/>
      </rPr>
      <t>5.SEKU4123732-40HQ</t>
    </r>
    <r>
      <rPr>
        <sz val="11"/>
        <color theme="1"/>
        <rFont val="Calibri"/>
        <family val="2"/>
        <scheme val="minor"/>
      </rPr>
      <t xml:space="preserve">
</t>
    </r>
    <r>
      <rPr>
        <sz val="11"/>
        <color rgb="FFFF0000"/>
        <rFont val="Calibri"/>
        <family val="2"/>
        <scheme val="minor"/>
      </rPr>
      <t>6.TLLU5934505-40HQ</t>
    </r>
  </si>
  <si>
    <t>22468</t>
  </si>
  <si>
    <t>CNMC10923072</t>
  </si>
  <si>
    <t>10.10.2022</t>
  </si>
  <si>
    <t>1.FWTL8100168/HQ/20.0418560</t>
  </si>
  <si>
    <t>715 P'KGS</t>
  </si>
  <si>
    <t>224681</t>
  </si>
  <si>
    <t>CNMC10923068</t>
  </si>
  <si>
    <t>2.XNKU8818067/HQ/20.0196089</t>
  </si>
  <si>
    <t>970 P'KGS</t>
  </si>
  <si>
    <t>22469</t>
  </si>
  <si>
    <t>CNMC10923088</t>
  </si>
  <si>
    <t>11.10.2022</t>
  </si>
  <si>
    <t>1.MSKU4532060/H/19.0714992</t>
  </si>
  <si>
    <t>965 P'KGS</t>
  </si>
  <si>
    <t>22470</t>
  </si>
  <si>
    <t>CNMC10923096</t>
  </si>
  <si>
    <t>13.10.2022</t>
  </si>
  <si>
    <t>1.XNKU2251004/HQ/20.0196339</t>
  </si>
  <si>
    <t>760 P'KGS</t>
  </si>
  <si>
    <t>22471</t>
  </si>
  <si>
    <t>22472</t>
  </si>
  <si>
    <t>22473</t>
  </si>
  <si>
    <t>22474</t>
  </si>
  <si>
    <t>SHAWD069323</t>
  </si>
  <si>
    <t>20430611ETC</t>
  </si>
  <si>
    <t>E220781997180499</t>
  </si>
  <si>
    <t>1.TEMU6349206-40HQ</t>
  </si>
  <si>
    <t>SHAWD069369</t>
  </si>
  <si>
    <t>20431265ETC</t>
  </si>
  <si>
    <t>E220781997180500</t>
  </si>
  <si>
    <t>NEW CAR MG 6, 2023
NEW CAR MG GT, 1.5T DCT DEL, 2022</t>
  </si>
  <si>
    <t>SHAWD069367</t>
  </si>
  <si>
    <t>20430620ETC</t>
  </si>
  <si>
    <t>E220781997180501</t>
  </si>
  <si>
    <t>NEW CAR MG GT, 1.5T DCT DEL, 2022
NEW CAR MG GT, 1.5T DCT DEL, 2023</t>
  </si>
  <si>
    <t>SHAWD069370</t>
  </si>
  <si>
    <t>20431266ETC</t>
  </si>
  <si>
    <t>E220781997180502</t>
  </si>
  <si>
    <t>22475</t>
  </si>
  <si>
    <t>22476</t>
  </si>
  <si>
    <t>SHAWD069340</t>
  </si>
  <si>
    <t>20432915ETC</t>
  </si>
  <si>
    <t>NEW CAR MG GT, 1.5T DCT DEL, 2022
NEW CAR MG GT, 1.5T DCT DEL, 2023
NEW CAR  MG HS, 2023</t>
  </si>
  <si>
    <t>1.IAAU1754015-40HQ
2.IAAU1805370-40HQ
3.IAAU1956905-40HQ</t>
  </si>
  <si>
    <t>SHAWD069417</t>
  </si>
  <si>
    <t>NEW CAR  MG HS, 2022
NEW CAR  MG HS, 2023</t>
  </si>
  <si>
    <t>1.IAAU1698626-40HQ
2.IAAU1738170-40HQ
3.IAAU1765241-40HQ
4.IAAU1811917-40HQ
5.IAAU1838184-40HQ
6.IAAU1908168-40HQ
7.IAAU1925062-40HQ</t>
  </si>
  <si>
    <t>22477</t>
  </si>
  <si>
    <t>E220781997180528</t>
  </si>
  <si>
    <t>E220781997180529</t>
  </si>
  <si>
    <t>OMPLCHS220264</t>
  </si>
  <si>
    <t>020/2022</t>
  </si>
  <si>
    <t>CARTON BOX, PLASTIC WRAPPER., Paper Core, Spare Part</t>
  </si>
  <si>
    <t>1.OMPL9516803-40HC</t>
  </si>
  <si>
    <t>20 PALLETS</t>
  </si>
  <si>
    <t>22478</t>
  </si>
  <si>
    <t>CNMC10923112</t>
  </si>
  <si>
    <t>1.XNKU8818061/HQ/20.0196393</t>
  </si>
  <si>
    <t>962 P'KGS</t>
  </si>
  <si>
    <t>14.10.2022</t>
  </si>
  <si>
    <t>22479</t>
  </si>
  <si>
    <t>CNMC10923124</t>
  </si>
  <si>
    <t>15.10.2022</t>
  </si>
  <si>
    <t>1.XNKU8818053/HQ/20.0196413</t>
  </si>
  <si>
    <t>848 P'KGS</t>
  </si>
  <si>
    <t>224791</t>
  </si>
  <si>
    <t>CNMC10923138</t>
  </si>
  <si>
    <t>2.JYLU2021043/HQ/20.0418710</t>
  </si>
  <si>
    <t>992 P'KGS</t>
  </si>
  <si>
    <t>PHUOC LONG 6 V.204W</t>
  </si>
  <si>
    <t>17.10.2022</t>
  </si>
  <si>
    <t>NEWPORT CYPRESS 99 138W</t>
  </si>
  <si>
    <r>
      <rPr>
        <sz val="11"/>
        <color rgb="FFFF0000"/>
        <rFont val="Calibri"/>
        <family val="2"/>
        <scheme val="minor"/>
      </rPr>
      <t>1.IAAU1924446-40HQ</t>
    </r>
    <r>
      <rPr>
        <sz val="11"/>
        <color theme="1"/>
        <rFont val="Calibri"/>
        <family val="2"/>
        <scheme val="minor"/>
      </rPr>
      <t xml:space="preserve">
</t>
    </r>
    <r>
      <rPr>
        <sz val="11"/>
        <color rgb="FFFF0000"/>
        <rFont val="Calibri"/>
        <family val="2"/>
        <scheme val="minor"/>
      </rPr>
      <t>2.TCNU7497131-40HQ</t>
    </r>
  </si>
  <si>
    <t>22480</t>
  </si>
  <si>
    <t>CNMC10923140</t>
  </si>
  <si>
    <t>1.KKLU9000463/H/19.0714926</t>
  </si>
  <si>
    <t>800 P'KGS</t>
  </si>
  <si>
    <t>224801</t>
  </si>
  <si>
    <t>CNMC10923145</t>
  </si>
  <si>
    <t>2.AMCU6144238/HQ/20.0418633</t>
  </si>
  <si>
    <t>224802</t>
  </si>
  <si>
    <t>CNMC10923142</t>
  </si>
  <si>
    <t>3.JYLU2021031/HQ/20.0196624</t>
  </si>
  <si>
    <t>224803</t>
  </si>
  <si>
    <t>CNMC10923236</t>
  </si>
  <si>
    <t>4.JYLU2021029/HQ/20.0196685</t>
  </si>
  <si>
    <t>944 P'KGS</t>
  </si>
  <si>
    <t>22481</t>
  </si>
  <si>
    <t>ASIATIC SUN V.241S</t>
  </si>
  <si>
    <t>18.10.2022</t>
  </si>
  <si>
    <t>1.MRSU6337839/ML-JP3709789</t>
  </si>
  <si>
    <t>696 PACKAGE</t>
  </si>
  <si>
    <t>40 DRY</t>
  </si>
  <si>
    <t>CONCIERGE CO.,LTD</t>
  </si>
  <si>
    <t>22482</t>
  </si>
  <si>
    <t>GMD22HPHPNH0187</t>
  </si>
  <si>
    <t>20221007/VP-BJC-KH</t>
  </si>
  <si>
    <t>VN-KH 22/01/41858</t>
  </si>
  <si>
    <t>1.GMDU8182706-40HC, 2.GMDU8181206-40HC</t>
  </si>
  <si>
    <t>22483</t>
  </si>
  <si>
    <t>TKS20221169A</t>
  </si>
  <si>
    <t>21.10.2022</t>
  </si>
  <si>
    <t>CERAMIC BOWL, CERAMIC TEA SET, CERAMIC SPOON, CERAMIC VASE</t>
  </si>
  <si>
    <t>1.KLNU2000128/HQ/20.0419242</t>
  </si>
  <si>
    <t>934 P'KGS</t>
  </si>
  <si>
    <t>PHUOC LONG 12 V.094W</t>
  </si>
  <si>
    <t>22484</t>
  </si>
  <si>
    <t>NSASHVG093468</t>
  </si>
  <si>
    <t>RESURGENCE V.2244S</t>
  </si>
  <si>
    <t>20.10.2022</t>
  </si>
  <si>
    <t>1.TEMU7905613/SITA073353
2.UETU5777926/SITA073250</t>
  </si>
  <si>
    <t>3967 PACKAGE(S)</t>
  </si>
  <si>
    <t>22485</t>
  </si>
  <si>
    <t>TKS20221172B</t>
  </si>
  <si>
    <t>1.XNKU8820025/HQ/20.0419342</t>
  </si>
  <si>
    <t>946 P'KGS</t>
  </si>
  <si>
    <t>22486</t>
  </si>
  <si>
    <t>CNMC10923158</t>
  </si>
  <si>
    <t>22.10.2022</t>
  </si>
  <si>
    <t>1.DBYU8818010/HQ/20 0196835</t>
  </si>
  <si>
    <t>794 P'KGS</t>
  </si>
  <si>
    <t>22487</t>
  </si>
  <si>
    <t>SHAWD069401</t>
  </si>
  <si>
    <t>E220781997180509</t>
  </si>
  <si>
    <t>NEW CAR MG ZS, 2023</t>
  </si>
  <si>
    <t>1.IAAU1725151-40HQ
2.IAAU1735062-40HQ
3.IAAU1737717-40HQ
4.IAAU1739134-40HQ
5.IAAU1866252-40HQ
6.IAAU1896956-40HQ
7.IAAU1913734-40HQ
8.IAAU1923270-40HQ
9.TCNU6938700-40HQ
10.TGHU6456253-40HQ</t>
  </si>
  <si>
    <t>22488</t>
  </si>
  <si>
    <t>GMD22HPHPNH0194</t>
  </si>
  <si>
    <t>20221013/VP-BJC-KH</t>
  </si>
  <si>
    <t>VN-KH 22/01/43121</t>
  </si>
  <si>
    <t>1.GMDU8181660-40HC</t>
  </si>
  <si>
    <t>22489</t>
  </si>
  <si>
    <t>CNMC10923266</t>
  </si>
  <si>
    <t>23.10.2022</t>
  </si>
  <si>
    <t>1.HACU9670271/HQ/20 0196914</t>
  </si>
  <si>
    <t>796 P'KGS</t>
  </si>
  <si>
    <t>22490</t>
  </si>
  <si>
    <t>024C556753</t>
  </si>
  <si>
    <t>PRIME V.S015</t>
  </si>
  <si>
    <t>24.10.2022</t>
  </si>
  <si>
    <t>1.WHSU5370220/WHLQ924908</t>
  </si>
  <si>
    <t>224901</t>
  </si>
  <si>
    <t>024C557276</t>
  </si>
  <si>
    <t>2.WHSU6873338/WHLQ928930</t>
  </si>
  <si>
    <t>2,097 PKGS</t>
  </si>
  <si>
    <t>224902</t>
  </si>
  <si>
    <t>024C557977</t>
  </si>
  <si>
    <t>3.WHSU6482919/WHLQ927747</t>
  </si>
  <si>
    <t>1,060 PKGS</t>
  </si>
  <si>
    <t>CGC-2022001</t>
  </si>
  <si>
    <r>
      <rPr>
        <sz val="11"/>
        <color rgb="FFFF0000"/>
        <rFont val="Calibri"/>
        <family val="2"/>
        <scheme val="minor"/>
      </rPr>
      <t>1.BMOU4501492-40HQ</t>
    </r>
    <r>
      <rPr>
        <sz val="11"/>
        <color theme="1"/>
        <rFont val="Calibri"/>
        <family val="2"/>
        <scheme val="minor"/>
      </rPr>
      <t xml:space="preserve">
</t>
    </r>
    <r>
      <rPr>
        <sz val="11"/>
        <color theme="9"/>
        <rFont val="Calibri"/>
        <family val="2"/>
        <scheme val="minor"/>
      </rPr>
      <t>2.DFSU6496798-40HQ</t>
    </r>
    <r>
      <rPr>
        <sz val="11"/>
        <color theme="1"/>
        <rFont val="Calibri"/>
        <family val="2"/>
        <scheme val="minor"/>
      </rPr>
      <t xml:space="preserve">
</t>
    </r>
    <r>
      <rPr>
        <sz val="11"/>
        <color rgb="FFFF0000"/>
        <rFont val="Calibri"/>
        <family val="2"/>
        <scheme val="minor"/>
      </rPr>
      <t xml:space="preserve">3.TCNU5550387-40HQ
</t>
    </r>
    <r>
      <rPr>
        <sz val="11"/>
        <color theme="7"/>
        <rFont val="Calibri"/>
        <family val="2"/>
        <scheme val="minor"/>
      </rPr>
      <t>4.TCNU8977916-40HQ</t>
    </r>
  </si>
  <si>
    <r>
      <rPr>
        <sz val="11"/>
        <color rgb="FFFF0000"/>
        <rFont val="Calibri"/>
        <family val="2"/>
        <scheme val="minor"/>
      </rPr>
      <t>1.TCNU7520000-40HQ</t>
    </r>
    <r>
      <rPr>
        <sz val="11"/>
        <color theme="1"/>
        <rFont val="Calibri"/>
        <family val="2"/>
        <scheme val="minor"/>
      </rPr>
      <t xml:space="preserve">
</t>
    </r>
    <r>
      <rPr>
        <sz val="11"/>
        <color rgb="FFFF0000"/>
        <rFont val="Calibri"/>
        <family val="2"/>
        <scheme val="minor"/>
      </rPr>
      <t>2.ZCSU6781596-40HQ</t>
    </r>
    <r>
      <rPr>
        <sz val="11"/>
        <color theme="1"/>
        <rFont val="Calibri"/>
        <family val="2"/>
        <scheme val="minor"/>
      </rPr>
      <t xml:space="preserve">
</t>
    </r>
    <r>
      <rPr>
        <sz val="11"/>
        <color rgb="FFFF0000"/>
        <rFont val="Calibri"/>
        <family val="2"/>
        <scheme val="minor"/>
      </rPr>
      <t>3.ZCSU7341863-40HQ</t>
    </r>
  </si>
  <si>
    <r>
      <rPr>
        <sz val="11"/>
        <color rgb="FFFF0000"/>
        <rFont val="Calibri"/>
        <family val="2"/>
        <scheme val="minor"/>
      </rPr>
      <t>1.DFSU6496798-40HQ</t>
    </r>
    <r>
      <rPr>
        <sz val="11"/>
        <color theme="1"/>
        <rFont val="Calibri"/>
        <family val="2"/>
        <scheme val="minor"/>
      </rPr>
      <t xml:space="preserve">
</t>
    </r>
    <r>
      <rPr>
        <sz val="11"/>
        <color rgb="FFFF0000"/>
        <rFont val="Calibri"/>
        <family val="2"/>
        <scheme val="minor"/>
      </rPr>
      <t>2.TCNU8977916-40HQ</t>
    </r>
    <r>
      <rPr>
        <sz val="11"/>
        <color theme="1"/>
        <rFont val="Calibri"/>
        <family val="2"/>
        <scheme val="minor"/>
      </rPr>
      <t xml:space="preserve">
</t>
    </r>
    <r>
      <rPr>
        <sz val="11"/>
        <color rgb="FFFF0000"/>
        <rFont val="Calibri"/>
        <family val="2"/>
        <scheme val="minor"/>
      </rPr>
      <t>3.ZCSU7325332-40HQ</t>
    </r>
    <r>
      <rPr>
        <sz val="11"/>
        <color theme="1"/>
        <rFont val="Calibri"/>
        <family val="2"/>
        <scheme val="minor"/>
      </rPr>
      <t xml:space="preserve">
</t>
    </r>
    <r>
      <rPr>
        <sz val="11"/>
        <color rgb="FFFF0000"/>
        <rFont val="Calibri"/>
        <family val="2"/>
        <scheme val="minor"/>
      </rPr>
      <t>4.ZCSU7742444-40HQ</t>
    </r>
  </si>
  <si>
    <t>22491</t>
  </si>
  <si>
    <t>22492</t>
  </si>
  <si>
    <t>TKS20221186C</t>
  </si>
  <si>
    <t>25.10.2022</t>
  </si>
  <si>
    <t xml:space="preserve">PLASTIC LUNCH BOX, CERAMIC DISHES, PLASTIC BASIN, PAPER CUP  </t>
  </si>
  <si>
    <t>1.BVDY2021150/HQ/20.0197141</t>
  </si>
  <si>
    <t>505 P'KGS</t>
  </si>
  <si>
    <t>SHAWD069447</t>
  </si>
  <si>
    <t>E220781997180525</t>
  </si>
  <si>
    <t>NEW CAR MG GT, 1.5T DCT DEL, 2022
NEW CAR MG GT, 1.5T DCT DEL,​ 2023
NEW CAR MG 6, 2023</t>
  </si>
  <si>
    <t>22493</t>
  </si>
  <si>
    <t>TKS20221198D</t>
  </si>
  <si>
    <t>28.10.2022</t>
  </si>
  <si>
    <t>COTTON BLANKET, WOMEN'S SLIPPER, JUTE SACK, NEW WOMEN'S SWEATER, PAPER CUP</t>
  </si>
  <si>
    <t>1.HDMU6938688/HQ/20.0197212</t>
  </si>
  <si>
    <t>22494</t>
  </si>
  <si>
    <t>103405SH011</t>
  </si>
  <si>
    <t>ST20224368</t>
  </si>
  <si>
    <t>NEW BULLDOZER DH17-C3 LGP, 2022
NEW EXCAVATOR ME550LC MAX, 2022</t>
  </si>
  <si>
    <t> MEKONG 6 V.140W</t>
  </si>
  <si>
    <t>09.10.2022</t>
  </si>
  <si>
    <t>27.10.2022</t>
  </si>
  <si>
    <t>22495</t>
  </si>
  <si>
    <t>22496</t>
  </si>
  <si>
    <t>22497</t>
  </si>
  <si>
    <t>SHAWD069449</t>
  </si>
  <si>
    <t>SHAWD069398</t>
  </si>
  <si>
    <t>NEW CAR MG GT, 2022
NEW CAR MG GT, 2023</t>
  </si>
  <si>
    <t>SHAWD069566</t>
  </si>
  <si>
    <t>20434124A</t>
  </si>
  <si>
    <t>22498</t>
  </si>
  <si>
    <t>OMPLCHS220329</t>
  </si>
  <si>
    <t>021/2022</t>
  </si>
  <si>
    <t>D2022-0293937</t>
  </si>
  <si>
    <t>PINNCHAREON 2 V.220006E</t>
  </si>
  <si>
    <t>1.TTNU9660301-40HC</t>
  </si>
  <si>
    <t>22499</t>
  </si>
  <si>
    <t>024C558782</t>
  </si>
  <si>
    <t>WAN HAI 163 V.S404</t>
  </si>
  <si>
    <t>1.GCXU5362509/WHLQ927548
2.WHSU6261836/WHLQ924974</t>
  </si>
  <si>
    <t>1,118 PKGS</t>
  </si>
  <si>
    <t>224991</t>
  </si>
  <si>
    <t>024C558785</t>
  </si>
  <si>
    <t>535 PKGS</t>
  </si>
  <si>
    <t>3.WHSU5469260/WHLP214719</t>
  </si>
  <si>
    <t>22500</t>
  </si>
  <si>
    <t>TKS20221202E</t>
  </si>
  <si>
    <t xml:space="preserve">COTTON BLANKET, LED LIGHT, JUTE SACK, NEW WOMEN'S SWEATER, PAPER CUP </t>
  </si>
  <si>
    <t>1.CTHP5000003/09111DPT</t>
  </si>
  <si>
    <t>225001</t>
  </si>
  <si>
    <t>TKS20221216F</t>
  </si>
  <si>
    <t xml:space="preserve">KITCHEN SINKS, LED LIGHT, JUTE SACK, NEW WOMEN'S SWEATER, PAPER CUP </t>
  </si>
  <si>
    <t>2.JWTU9933066/HQ/20 0197399</t>
  </si>
  <si>
    <t>225002</t>
  </si>
  <si>
    <t>TKS20221228G</t>
  </si>
  <si>
    <t xml:space="preserve">KITCHEN SINKS, H STEEL, PLYWOOD (MDF), CERAMIC TILE, FABRIC SOFA (OFFICE), PAPER CUP </t>
  </si>
  <si>
    <t>3.LEOU0001003/HQ/20 0197587</t>
  </si>
  <si>
    <t>31.10.2022</t>
  </si>
  <si>
    <t>NEWPORT CYPRESS 89 V.
080W</t>
  </si>
  <si>
    <t>11-1</t>
  </si>
  <si>
    <t>22501</t>
  </si>
  <si>
    <t>024C556960</t>
  </si>
  <si>
    <t>1.WHSU5139090/WHLQ928844</t>
  </si>
  <si>
    <t>1,080 PKGS</t>
  </si>
  <si>
    <t>225011</t>
  </si>
  <si>
    <t>024C560062</t>
  </si>
  <si>
    <t>2.WHLU5752399/WHLQ925505</t>
  </si>
  <si>
    <t>1,087 CTNS</t>
  </si>
  <si>
    <t>225012</t>
  </si>
  <si>
    <t>024C558124</t>
  </si>
  <si>
    <t>3.WHSU6116057/WHLQ921332</t>
  </si>
  <si>
    <t>2,018 PKGS</t>
  </si>
  <si>
    <t>225013</t>
  </si>
  <si>
    <t>029C529051</t>
  </si>
  <si>
    <t>4.WHSU6572566/WHLQ919424</t>
  </si>
  <si>
    <t>2,290 PKGS</t>
  </si>
  <si>
    <t>22502</t>
  </si>
  <si>
    <t>225021</t>
  </si>
  <si>
    <t>05.11.2022</t>
  </si>
  <si>
    <t>22503</t>
  </si>
  <si>
    <t>225031</t>
  </si>
  <si>
    <t>JKC0117698</t>
  </si>
  <si>
    <t>266 PACKAGES (S)</t>
  </si>
  <si>
    <t>ASIAN BRIDGE</t>
  </si>
  <si>
    <t>EGLV 235201623397</t>
  </si>
  <si>
    <t>EVER CORE 0235 V.049S</t>
  </si>
  <si>
    <t>TOWEL AND MATTRESS COVER</t>
  </si>
  <si>
    <t>2.EGHU9795282/EMCLKV5952</t>
  </si>
  <si>
    <t>366 PKGS</t>
  </si>
  <si>
    <t>VAN HAI</t>
  </si>
  <si>
    <t>BRIDGE V.0254N</t>
  </si>
  <si>
    <t>30.10.2022</t>
  </si>
  <si>
    <t>22504</t>
  </si>
  <si>
    <t>TKS20221255K</t>
  </si>
  <si>
    <t>1.LEOU2020001/HQ/20 0419145</t>
  </si>
  <si>
    <t>776 P'KGS</t>
  </si>
  <si>
    <t>1.GESU6908411/C5049277</t>
  </si>
  <si>
    <t xml:space="preserve">LED LIGHTS, GLASS GLUE, CHILDREN'S SHOES, WALLPAPER, PAPER BAG, CARDBOARD BOX </t>
  </si>
  <si>
    <t>TKS20221234H</t>
  </si>
  <si>
    <t>KITCHEN SINKS, PADLOCKS, GLASS GLUE, WOMEN'S SLIPPER, WOMEN'S SWEATER, WOMEN'S TROUSERS, JUTE SACK</t>
  </si>
  <si>
    <t>1.DHLU2021815/HQ/20.0197678</t>
  </si>
  <si>
    <t>471 P'KGS</t>
  </si>
  <si>
    <t>TKS20221246J</t>
  </si>
  <si>
    <t xml:space="preserve">LED LIGHTS, PADLOCKS, GLASS GLUE, STEEL CHAIR, WOMEN'S SWEATER, WOMEN'S DRESS, PAPER CUP	</t>
  </si>
  <si>
    <t>2.DHLU2021822/HQ/20 0197730</t>
  </si>
  <si>
    <t>22505</t>
  </si>
  <si>
    <t>ML-HS20221005</t>
  </si>
  <si>
    <t>07.11.2022</t>
  </si>
  <si>
    <t xml:space="preserve">SOLAR PANELS </t>
  </si>
  <si>
    <t>1.OOLU8882258/SYA1096134</t>
  </si>
  <si>
    <t>225051</t>
  </si>
  <si>
    <t>ML-HS20221104</t>
  </si>
  <si>
    <t>LED LIGHT</t>
  </si>
  <si>
    <t>2.TGBU6965393/EMCMVN8182</t>
  </si>
  <si>
    <t xml:space="preserve">40HC </t>
  </si>
  <si>
    <t>420 CTNS</t>
  </si>
  <si>
    <t>E220781997180526</t>
  </si>
  <si>
    <t>E220781997180527</t>
  </si>
  <si>
    <t>E220781997180585</t>
  </si>
  <si>
    <r>
      <rPr>
        <sz val="11"/>
        <color rgb="FFFF0000"/>
        <rFont val="Calibri"/>
        <family val="2"/>
        <scheme val="minor"/>
      </rPr>
      <t>1.CAIU8864602-40HQ</t>
    </r>
    <r>
      <rPr>
        <sz val="11"/>
        <color theme="1"/>
        <rFont val="Calibri"/>
        <family val="2"/>
        <scheme val="minor"/>
      </rPr>
      <t xml:space="preserve">
</t>
    </r>
    <r>
      <rPr>
        <sz val="11"/>
        <color rgb="FFFF0000"/>
        <rFont val="Calibri"/>
        <family val="2"/>
        <scheme val="minor"/>
      </rPr>
      <t>2.CAIU9232101-40HQ</t>
    </r>
    <r>
      <rPr>
        <sz val="11"/>
        <color theme="1"/>
        <rFont val="Calibri"/>
        <family val="2"/>
        <scheme val="minor"/>
      </rPr>
      <t xml:space="preserve">
</t>
    </r>
    <r>
      <rPr>
        <sz val="11"/>
        <color rgb="FFFF0000"/>
        <rFont val="Calibri"/>
        <family val="2"/>
        <scheme val="minor"/>
      </rPr>
      <t>3.CAIU9709128-40HQ</t>
    </r>
    <r>
      <rPr>
        <sz val="11"/>
        <color theme="1"/>
        <rFont val="Calibri"/>
        <family val="2"/>
        <scheme val="minor"/>
      </rPr>
      <t xml:space="preserve">
</t>
    </r>
    <r>
      <rPr>
        <sz val="11"/>
        <color rgb="FFFF0000"/>
        <rFont val="Calibri"/>
        <family val="2"/>
        <scheme val="minor"/>
      </rPr>
      <t>4.IAAU1775023-40HQ</t>
    </r>
    <r>
      <rPr>
        <sz val="11"/>
        <color theme="1"/>
        <rFont val="Calibri"/>
        <family val="2"/>
        <scheme val="minor"/>
      </rPr>
      <t xml:space="preserve">
</t>
    </r>
    <r>
      <rPr>
        <sz val="11"/>
        <color rgb="FFFF0000"/>
        <rFont val="Calibri"/>
        <family val="2"/>
        <scheme val="minor"/>
      </rPr>
      <t>5.IAAU1779775-40HQ
6.IAAU1783040-40HQ
7.IAAU1783604-40HQ</t>
    </r>
    <r>
      <rPr>
        <sz val="11"/>
        <color theme="1"/>
        <rFont val="Calibri"/>
        <family val="2"/>
        <scheme val="minor"/>
      </rPr>
      <t xml:space="preserve">
</t>
    </r>
    <r>
      <rPr>
        <sz val="11"/>
        <color rgb="FFFF0000"/>
        <rFont val="Calibri"/>
        <family val="2"/>
        <scheme val="minor"/>
      </rPr>
      <t>8.SEGU6721913-40HQ</t>
    </r>
    <r>
      <rPr>
        <sz val="11"/>
        <color theme="1"/>
        <rFont val="Calibri"/>
        <family val="2"/>
        <scheme val="minor"/>
      </rPr>
      <t xml:space="preserve">
</t>
    </r>
    <r>
      <rPr>
        <sz val="11"/>
        <color rgb="FFFF0000"/>
        <rFont val="Calibri"/>
        <family val="2"/>
        <scheme val="minor"/>
      </rPr>
      <t>9.TCLU8716427-40HQ</t>
    </r>
    <r>
      <rPr>
        <sz val="11"/>
        <color theme="1"/>
        <rFont val="Calibri"/>
        <family val="2"/>
        <scheme val="minor"/>
      </rPr>
      <t xml:space="preserve">
</t>
    </r>
    <r>
      <rPr>
        <sz val="11"/>
        <color rgb="FFFF0000"/>
        <rFont val="Calibri"/>
        <family val="2"/>
        <scheme val="minor"/>
      </rPr>
      <t>10.TEMU7340287-40HQ</t>
    </r>
  </si>
  <si>
    <t>22506</t>
  </si>
  <si>
    <t>024C560331</t>
  </si>
  <si>
    <t>PRIME V.S016</t>
  </si>
  <si>
    <t>08.11.2022</t>
  </si>
  <si>
    <t>HOUSEHOLD ITEMS, PAPER BAG, LAMP</t>
  </si>
  <si>
    <t>1.WHSU5645924/WHLQ916700</t>
  </si>
  <si>
    <t>585 PKGS</t>
  </si>
  <si>
    <t>225061</t>
  </si>
  <si>
    <t>024C560332</t>
  </si>
  <si>
    <t>BUILDING MATERIALS, LAMP</t>
  </si>
  <si>
    <t>225062</t>
  </si>
  <si>
    <t>22507</t>
  </si>
  <si>
    <t>TKS20221269L</t>
  </si>
  <si>
    <t>10.11.2022</t>
  </si>
  <si>
    <t>LED LIGHTS, PADLOCKS, COTTON BLANKET, WOVEN FABRIC, WOMEN'S DRESS, PAPER CUP</t>
  </si>
  <si>
    <t>1.BISU6820658/HQ/20.0197980</t>
  </si>
  <si>
    <t>225071</t>
  </si>
  <si>
    <t>TKS20221272M</t>
  </si>
  <si>
    <t>2.PPGU9990024/09112ĐPT</t>
  </si>
  <si>
    <t>480 P'KGS</t>
  </si>
  <si>
    <t>1.CAXU8111051-40HQ
2.IAAU1701139-40HQ
3.IAAU1714970-40HQ
4.IAAU1741743-40HQ
5.IAAU1751607-40HQ
6.IAAU1754421-40HQ
7.IAAU1817643-40HQ
8.IAAU1909565-40HQ
9.IAAU1921093-40HQ
10.SEGU6680558-40HQ</t>
  </si>
  <si>
    <t>CAXU8111051-40HQ (PART OF)</t>
  </si>
  <si>
    <t>025C792304</t>
  </si>
  <si>
    <t>HOUSEHOLD ITEMS, BACKPACK AND JUTE SACK</t>
  </si>
  <si>
    <t>3.WHSU6219076/WHLQ926469</t>
  </si>
  <si>
    <t>2.WHSU5631155/WHLP363817</t>
  </si>
  <si>
    <t>22508</t>
  </si>
  <si>
    <t>NSASHVG095550</t>
  </si>
  <si>
    <t>1.FCIU7608034/SITA073298</t>
  </si>
  <si>
    <t>2098 PACKAGE(S)</t>
  </si>
  <si>
    <t>22509</t>
  </si>
  <si>
    <t>TKS20221286N</t>
  </si>
  <si>
    <t>13.11.2022</t>
  </si>
  <si>
    <t>KITCHEN SINKS, PADLOCKS, STRETCH FILM, WOVEN FABRIC, CHILDREN'S SHOES, PAPER BAG</t>
  </si>
  <si>
    <t>1.JYLU2021033/HQ/20.0198247</t>
  </si>
  <si>
    <t>488 P'KGS</t>
  </si>
  <si>
    <t>22510</t>
  </si>
  <si>
    <t>024C562471</t>
  </si>
  <si>
    <t>WAN HAI 163 V.S405</t>
  </si>
  <si>
    <t>SUITCASE, PAPER BAG, JUTE SACK, FOODSTUFF AND SEASONING</t>
  </si>
  <si>
    <t>1.BEAU4799166/WHLS716796</t>
  </si>
  <si>
    <t>22511</t>
  </si>
  <si>
    <t>024C560374</t>
  </si>
  <si>
    <t>1.WHSU5124232/WHLQ926760</t>
  </si>
  <si>
    <t>1,065 CTNS</t>
  </si>
  <si>
    <t>22512</t>
  </si>
  <si>
    <t>TKS20221292P</t>
  </si>
  <si>
    <t>15.11.2022</t>
  </si>
  <si>
    <t>KITCHEN SINKS, RANGE HOOD, GAS STOVES, WOVEN FABRIC, M.D.F BOARD, PADLOCKS, PAPER BAG</t>
  </si>
  <si>
    <t>1.MOEU0107696/HQ/20.0198388</t>
  </si>
  <si>
    <t>654 P'KGS</t>
  </si>
  <si>
    <t>DFSK</t>
  </si>
  <si>
    <t>22513</t>
  </si>
  <si>
    <t>COAU7242024620</t>
  </si>
  <si>
    <t>2022JL495-5B</t>
  </si>
  <si>
    <t>1.TRHU5740924-40HQ</t>
  </si>
  <si>
    <t>https://goo.gl/maps/xW9ZSXgkPh82TjKdA</t>
  </si>
  <si>
    <t>22514</t>
  </si>
  <si>
    <t>GMD22HPHPNH0212</t>
  </si>
  <si>
    <t>20221103/VP-BJC-KH</t>
  </si>
  <si>
    <t>14.11.2022</t>
  </si>
  <si>
    <t>VN-KH 22/01/46279</t>
  </si>
  <si>
    <t>22515</t>
  </si>
  <si>
    <t>SITSKSVG375053</t>
  </si>
  <si>
    <t>ZG22021108</t>
  </si>
  <si>
    <t>NEW HONGQI CAR CA6472HA6T HS5, 2021
NEW HONGQI CAR CA6472HA6T HS5, 2022</t>
  </si>
  <si>
    <t>1.TCNU3744974-40HC
2.SITU9086614-40HC
3.SEGU6846340-40HC
4.BMOU6490099-40HC
5.SITU9035670-40HC</t>
  </si>
  <si>
    <t>22516</t>
  </si>
  <si>
    <t>ML-HS202211555</t>
  </si>
  <si>
    <t>16.11.2022</t>
  </si>
  <si>
    <t xml:space="preserve">MEGAPHONE, LED LIGHTS, JUTE SACK </t>
  </si>
  <si>
    <t>1.MRKU5733555/ML-CN1317389</t>
  </si>
  <si>
    <t xml:space="preserve">825 P'KGS </t>
  </si>
  <si>
    <t>225161</t>
  </si>
  <si>
    <t>ML-HS202211785</t>
  </si>
  <si>
    <t xml:space="preserve">ELECTRIC FAN, LED LIGHTS, PAPER CUP </t>
  </si>
  <si>
    <t>2.MRKU3727785/ML-CN1281284</t>
  </si>
  <si>
    <t>575 CTNS</t>
  </si>
  <si>
    <t>1.GMDU8189188-40HC, 2.GMDU8184798-40HC, 3.GMDU8187945-40HC</t>
  </si>
  <si>
    <t>22517</t>
  </si>
  <si>
    <t>SHAWD069397</t>
  </si>
  <si>
    <t>1.IAAU1697888-40HQ
2.IAAU1759547-40HQ
3.IAAU1766227-40HQ
4.IAAU1806818-40HQ
5.IAAU1851041-40HQ
6.IAAU1880780-40HQ
7.IAAU1924831-40HQ
8.IAAU1935219-40HQ
9.TCKU6098657-40HQ
10.TCLU8634503-40HQ</t>
  </si>
  <si>
    <t>22518</t>
  </si>
  <si>
    <t>SHAWD069630</t>
  </si>
  <si>
    <t>20436752ETC</t>
  </si>
  <si>
    <t>NEW CAR MG ZS, 2022
NEW CAR MG ZS, 2023</t>
  </si>
  <si>
    <t>1.IAAU1698631-40HQ
2.IAAU1721963-40HQ
3.IAAU1731452-40HQ
4.IAAU1812390-40HQ
5.IAAU1821601-40HQ
6.IAAU1824046-40HQ
7.IAAU1838543-40HQ
8.IAAU1841845-40HQ
9.IAAU1849790-40HQ
10.IAAU1862426-40HQ
11.IAAU1897696-40HQ
12.IAAU1912342-40HQ
13.IAAU1931933-40HQ
14.SEGU6752107-40HQ
15.SEKU4123434-40HQ</t>
  </si>
  <si>
    <r>
      <rPr>
        <sz val="11"/>
        <color rgb="FFFF0000"/>
        <rFont val="Calibri"/>
        <family val="2"/>
        <scheme val="minor"/>
      </rPr>
      <t>1.BHCU5009154-40HQ</t>
    </r>
    <r>
      <rPr>
        <sz val="11"/>
        <color theme="1"/>
        <rFont val="Calibri"/>
        <family val="2"/>
        <scheme val="minor"/>
      </rPr>
      <t xml:space="preserve">
</t>
    </r>
    <r>
      <rPr>
        <sz val="11"/>
        <color rgb="FFFF0000"/>
        <rFont val="Calibri"/>
        <family val="2"/>
        <scheme val="minor"/>
      </rPr>
      <t>2.CAIU9709540-40HQ
3.IAAU1687724-40HQ</t>
    </r>
    <r>
      <rPr>
        <sz val="11"/>
        <color theme="1"/>
        <rFont val="Calibri"/>
        <family val="2"/>
        <scheme val="minor"/>
      </rPr>
      <t xml:space="preserve">
</t>
    </r>
    <r>
      <rPr>
        <sz val="11"/>
        <color rgb="FFFF0000"/>
        <rFont val="Calibri"/>
        <family val="2"/>
        <scheme val="minor"/>
      </rPr>
      <t>4.IAAU1694913-40HQ</t>
    </r>
    <r>
      <rPr>
        <sz val="11"/>
        <color theme="1"/>
        <rFont val="Calibri"/>
        <family val="2"/>
        <scheme val="minor"/>
      </rPr>
      <t xml:space="preserve">
</t>
    </r>
    <r>
      <rPr>
        <sz val="11"/>
        <color rgb="FFFF0000"/>
        <rFont val="Calibri"/>
        <family val="2"/>
        <scheme val="minor"/>
      </rPr>
      <t>5.IAAU1695545-40HQ
6.IAAU1724751-40HQ</t>
    </r>
    <r>
      <rPr>
        <sz val="11"/>
        <color theme="1"/>
        <rFont val="Calibri"/>
        <family val="2"/>
        <scheme val="minor"/>
      </rPr>
      <t xml:space="preserve">
</t>
    </r>
    <r>
      <rPr>
        <sz val="11"/>
        <color rgb="FFFF0000"/>
        <rFont val="Calibri"/>
        <family val="2"/>
        <scheme val="minor"/>
      </rPr>
      <t>7.IAAU1728612-40HQ
8.IAAU1756960-40HQ
9.IAAU1767558-40HQ</t>
    </r>
    <r>
      <rPr>
        <sz val="11"/>
        <color theme="1"/>
        <rFont val="Calibri"/>
        <family val="2"/>
        <scheme val="minor"/>
      </rPr>
      <t xml:space="preserve">
</t>
    </r>
    <r>
      <rPr>
        <sz val="11"/>
        <color rgb="FFFF0000"/>
        <rFont val="Calibri"/>
        <family val="2"/>
        <scheme val="minor"/>
      </rPr>
      <t>10.IAAU1775091-40HQ</t>
    </r>
    <r>
      <rPr>
        <sz val="11"/>
        <color theme="1"/>
        <rFont val="Calibri"/>
        <family val="2"/>
        <scheme val="minor"/>
      </rPr>
      <t xml:space="preserve">
</t>
    </r>
    <r>
      <rPr>
        <sz val="11"/>
        <color rgb="FFFF0000"/>
        <rFont val="Calibri"/>
        <family val="2"/>
        <scheme val="minor"/>
      </rPr>
      <t>11.IAAU1896637-40HQ
12.IAAU1899277-40HQ
13.IAAU1928483-40HQ</t>
    </r>
    <r>
      <rPr>
        <sz val="11"/>
        <color theme="1"/>
        <rFont val="Calibri"/>
        <family val="2"/>
        <scheme val="minor"/>
      </rPr>
      <t xml:space="preserve">
</t>
    </r>
    <r>
      <rPr>
        <sz val="11"/>
        <color rgb="FFFF0000"/>
        <rFont val="Calibri"/>
        <family val="2"/>
        <scheme val="minor"/>
      </rPr>
      <t>14.IAAU1947858-40HQ</t>
    </r>
    <r>
      <rPr>
        <sz val="11"/>
        <color theme="1"/>
        <rFont val="Calibri"/>
        <family val="2"/>
        <scheme val="minor"/>
      </rPr>
      <t xml:space="preserve">
</t>
    </r>
    <r>
      <rPr>
        <sz val="11"/>
        <color rgb="FFFF0000"/>
        <rFont val="Calibri"/>
        <family val="2"/>
        <scheme val="minor"/>
      </rPr>
      <t>15.TEMU7315828-40HQ</t>
    </r>
  </si>
  <si>
    <t>PHUOC LONG 8 V.129W</t>
  </si>
  <si>
    <t>NEWPORT CYPRESS 89 V.
082W</t>
  </si>
  <si>
    <t>15-11-2022</t>
  </si>
  <si>
    <t>14-11-2022</t>
  </si>
  <si>
    <t>22519</t>
  </si>
  <si>
    <t>SHL488126601</t>
  </si>
  <si>
    <t>18-11-2022</t>
  </si>
  <si>
    <t>REFRIGERATOR, WOVEN FABRIC, MATTRESS, COTTON BLANKET, WALLPAPER, PAPER BAG</t>
  </si>
  <si>
    <t>1.XNKU8820096/HQ/20.0198570</t>
  </si>
  <si>
    <t>586 P'KGS</t>
  </si>
  <si>
    <t>22520</t>
  </si>
  <si>
    <t>NSASHVG097791</t>
  </si>
  <si>
    <t>SITC TOKYO V.2260S</t>
  </si>
  <si>
    <t>20-11-2022</t>
  </si>
  <si>
    <t>1.TRHU5284085/SITA073178</t>
  </si>
  <si>
    <t>1151 PACKAGE(S)</t>
  </si>
  <si>
    <t>22521</t>
  </si>
  <si>
    <t>YMLUI236282554</t>
  </si>
  <si>
    <t>CI221107001</t>
  </si>
  <si>
    <t>New Dongfeng Chassis Truck E200, 2023
New Dongfeng Chassis Truck E250, 2023
New Dongfeng Chassis Truck C350, 2023
New Dongfeng Chassis Truck C500, 2023
New Dongfeng Cargo Truck W100, 2023</t>
  </si>
  <si>
    <t>22522</t>
  </si>
  <si>
    <t>SHL488126624</t>
  </si>
  <si>
    <t>23-11-2022</t>
  </si>
  <si>
    <t>LED LIGHT, STEEL PIPE, WOVEN FABRIC, MATTRESS, STRETCH FILM, WALLPAPER, NEW PLASTIC TOYS</t>
  </si>
  <si>
    <t>1.LEOU8753731/HQ/20.0198951</t>
  </si>
  <si>
    <t>416 P'KGS</t>
  </si>
  <si>
    <t>1.TLLU4943354-40HQ
2.SEGU4066936-40HQ
3.YMLU8640380-40HQ
4.YMLU6190093-40HQ
5.YMLU8729100-40HQ</t>
  </si>
  <si>
    <t>E220781997180530</t>
  </si>
  <si>
    <t>E220781997180636</t>
  </si>
  <si>
    <t>22523</t>
  </si>
  <si>
    <t>103441SH008</t>
  </si>
  <si>
    <t>22524</t>
  </si>
  <si>
    <t>EGLV 146201331956</t>
  </si>
  <si>
    <t>25-11-2022</t>
  </si>
  <si>
    <t>EVER CORE 0238-050S</t>
  </si>
  <si>
    <t>1.EGHU9817118/EMCMTZ9142
2.EGHU9170232/EMCHYQ1641
3.TLLU7875504/EMCMTZ9052</t>
  </si>
  <si>
    <t>453 CARTONS</t>
  </si>
  <si>
    <t>DF22CV-327KH004</t>
  </si>
  <si>
    <t>NEW DONGFENG MIXER TRUCK DFL5250GJBA, 2023
NEW DONGFENG CARGO TRUCK DFL1080B2, 2023
NEW DONGFENG CARGO CHASSIS DFL1080B2, 2023
NEW DONGFENG WATER TRUCK DFL1140B2, 2023
NEW DONGFENG WATER TRUCK DFL1250A8, 2023
NEW DONGFENG DUMP TRUCK DFL3120B, 2023</t>
  </si>
  <si>
    <t>22525</t>
  </si>
  <si>
    <t>024C564624</t>
  </si>
  <si>
    <t>WAN HAI 163 V.S406</t>
  </si>
  <si>
    <t>LED LIGHT AND BUILDING MATERIALS</t>
  </si>
  <si>
    <t>1.WHSU5204786/WHLP213888</t>
  </si>
  <si>
    <t>225251</t>
  </si>
  <si>
    <t>024C566466</t>
  </si>
  <si>
    <t>TOOTHBRUSH, FOODSTUFF AND SEASONING</t>
  </si>
  <si>
    <t>2.WHLU5655742/WHLS716772</t>
  </si>
  <si>
    <t>225252</t>
  </si>
  <si>
    <t>024C566512</t>
  </si>
  <si>
    <t>3.WHSU5257127/WHLS713304</t>
  </si>
  <si>
    <t>22526</t>
  </si>
  <si>
    <t>SHL488126638</t>
  </si>
  <si>
    <t xml:space="preserve">PLASTIC DUSTBIN, STEEL PIPE, CERAMIC TILE, STEEL SHELF, TRASPARENT TAPE, WALLPAPER, GLASS GLUE	</t>
  </si>
  <si>
    <t>1. XNKU8818045/HQ/20.0199111</t>
  </si>
  <si>
    <t>2021JL222-1</t>
  </si>
  <si>
    <t>22527</t>
  </si>
  <si>
    <t>SITSKSVG377134</t>
  </si>
  <si>
    <t>SITC KAOHSIUNG V.2246S</t>
  </si>
  <si>
    <t>28-11-2022</t>
  </si>
  <si>
    <t>FILTER BAG, ROTOR CRUSHER AND BUILDING MATERIALS</t>
  </si>
  <si>
    <t>1.TCKU7113062/SITA143765</t>
  </si>
  <si>
    <t>400 PACKAGE(S)</t>
  </si>
  <si>
    <t>225271</t>
  </si>
  <si>
    <t>SITSKSVG377133</t>
  </si>
  <si>
    <t>STRETCH FILM, PLASTIC TOYS AND BUILDING MATERIALS</t>
  </si>
  <si>
    <t>2.BMOU6480779/SITA191542</t>
  </si>
  <si>
    <t>225272</t>
  </si>
  <si>
    <t>SITSKSVG377132</t>
  </si>
  <si>
    <t>WOVEN FABRIC, GOODS SHELF AND BUILDING MATERIALS</t>
  </si>
  <si>
    <t>3.TCNU4312759/SITA191326</t>
  </si>
  <si>
    <t>22528</t>
  </si>
  <si>
    <t>SHL488126702</t>
  </si>
  <si>
    <t>30-11-2022</t>
  </si>
  <si>
    <t>COFFEE TABLE (PLYWOOD), STEEL PIPE, WOODEN FLOOR TILE, STEEL PLATE, LED LIGHT, COTTON BLANKET, COTTON TOWEL</t>
  </si>
  <si>
    <t>1.CLHU8111825/HQ/20.0199455</t>
  </si>
  <si>
    <t>410 P'KGS</t>
  </si>
  <si>
    <t>22529</t>
  </si>
  <si>
    <t>SHAWD069665</t>
  </si>
  <si>
    <t>E220781997180637</t>
  </si>
  <si>
    <t>IAAU1852578-40HQ( PART OF)</t>
  </si>
  <si>
    <t>22530</t>
  </si>
  <si>
    <t>SHAWD069677</t>
  </si>
  <si>
    <t>20413419ETC</t>
  </si>
  <si>
    <t>E220781997180638</t>
  </si>
  <si>
    <t>NEW CAR MG GT, 2022
NEW CAR MG HS, 2023
NEW CAR MG ZS, 2023</t>
  </si>
  <si>
    <t>22531</t>
  </si>
  <si>
    <t>SHAWD069704</t>
  </si>
  <si>
    <t>20443027ETC</t>
  </si>
  <si>
    <t>E220781997180661</t>
  </si>
  <si>
    <t>NEW CAR  MG HS, 2022
NEW CAR MG RX5, 2023
NEW CAR MG RX5, 2022</t>
  </si>
  <si>
    <t>22532</t>
  </si>
  <si>
    <t>SHL488126726</t>
  </si>
  <si>
    <t>OFFICE DESK, STEEL PIPE, PVC U PIPE FITTINGS, STEEL PLATE, STRETCH FILM, WALLPAPER, GLASS GLUE</t>
  </si>
  <si>
    <t>1.XNKU8818006/HQ/20.0199591</t>
  </si>
  <si>
    <t>02-12-2022</t>
  </si>
  <si>
    <t>22533</t>
  </si>
  <si>
    <t>ML-HS202211417</t>
  </si>
  <si>
    <t xml:space="preserve">SPEAKER, LED LIGHTS, JUTE SACK </t>
  </si>
  <si>
    <t>1.OOLU8789417/SYA1096174</t>
  </si>
  <si>
    <t>225331</t>
  </si>
  <si>
    <t>ML-HS2022117896</t>
  </si>
  <si>
    <t xml:space="preserve">LED LIGHT </t>
  </si>
  <si>
    <t>2.TCNU6502790/EMCMVX1982</t>
  </si>
  <si>
    <t>419 CTNS</t>
  </si>
  <si>
    <t>225332</t>
  </si>
  <si>
    <t>ML-HS2022117977</t>
  </si>
  <si>
    <t>3.BEAU4567535/EMCMVX1992</t>
  </si>
  <si>
    <t>22534</t>
  </si>
  <si>
    <t>COAU7241632200</t>
  </si>
  <si>
    <t>2022JL495-4B</t>
  </si>
  <si>
    <t>JMC BRAND CAR PICK UP VIGUS PRO, 2022
JMC BRAND CAR PICK UP YUHU7, 2022</t>
  </si>
  <si>
    <t>22535</t>
  </si>
  <si>
    <t>YMLUI241092834</t>
  </si>
  <si>
    <t>SU8910785Q-22</t>
  </si>
  <si>
    <t>NEW JAC CARGO LIGHT TRUCK HFC1042L3K, 2023</t>
  </si>
  <si>
    <t>22536</t>
  </si>
  <si>
    <t>OMPLCHS220373</t>
  </si>
  <si>
    <t>024/2022</t>
  </si>
  <si>
    <t>29-11-2022</t>
  </si>
  <si>
    <t>PINNCHAREON 2 V. 22010E</t>
  </si>
  <si>
    <t>CARTON BOX, PLASTIC WRAPPER, PAPER CORE, SPARE PART</t>
  </si>
  <si>
    <t>1.OMPL9918195-40HC</t>
  </si>
  <si>
    <t>1.CAIU7674491-40HQ
2.SEGU4536480-40HQ
3.TGBU6785323-40HQ
4.YMLU8838544-40HQ</t>
  </si>
  <si>
    <t>22537</t>
  </si>
  <si>
    <t>024C566533</t>
  </si>
  <si>
    <t>WAN HAI 165 V.S413</t>
  </si>
  <si>
    <t>04-12-2022</t>
  </si>
  <si>
    <t>HOUSEHOLD ITEMS, FOODSTUFF AND SEASONING</t>
  </si>
  <si>
    <t>1.WHSU5381729/WHLQ922189</t>
  </si>
  <si>
    <t>22538</t>
  </si>
  <si>
    <t>SHL488126739</t>
  </si>
  <si>
    <t>05-12-2022</t>
  </si>
  <si>
    <t>STRETCH FILM, PADLOCKS, CERAMIC TILE, PAPER CUP, DOUBLE SIDED TAPE, COTTON TOWEL, PLASTIC LUNCH BOX</t>
  </si>
  <si>
    <t>1.IMEU8820040/HQ/20.0400236</t>
  </si>
  <si>
    <t>930 P'KGS</t>
  </si>
  <si>
    <t>1.CCLU7893817-40HQ</t>
  </si>
  <si>
    <t>22539</t>
  </si>
  <si>
    <t>024C569242</t>
  </si>
  <si>
    <t>WAN HAI 163 V.S407</t>
  </si>
  <si>
    <t>07-12-2022</t>
  </si>
  <si>
    <t>LED LIGHT AND BUILDING MATERIAL</t>
  </si>
  <si>
    <t>1.DFSU7672994/WHLS713243</t>
  </si>
  <si>
    <t>650 PKGS</t>
  </si>
  <si>
    <r>
      <rPr>
        <sz val="11"/>
        <color rgb="FFFF0000"/>
        <rFont val="Calibri"/>
        <family val="2"/>
        <scheme val="minor"/>
      </rPr>
      <t>1.CAIU9263864-40HQ</t>
    </r>
    <r>
      <rPr>
        <sz val="11"/>
        <color theme="1"/>
        <rFont val="Calibri"/>
        <family val="2"/>
        <scheme val="minor"/>
      </rPr>
      <t xml:space="preserve">
</t>
    </r>
    <r>
      <rPr>
        <sz val="11"/>
        <color rgb="FFFF0000"/>
        <rFont val="Calibri"/>
        <family val="2"/>
        <scheme val="minor"/>
      </rPr>
      <t>2.FDCU0334728-40HQ</t>
    </r>
    <r>
      <rPr>
        <sz val="11"/>
        <color theme="1"/>
        <rFont val="Calibri"/>
        <family val="2"/>
        <scheme val="minor"/>
      </rPr>
      <t xml:space="preserve">
</t>
    </r>
    <r>
      <rPr>
        <sz val="11"/>
        <color rgb="FFFF0000"/>
        <rFont val="Calibri"/>
        <family val="2"/>
        <scheme val="minor"/>
      </rPr>
      <t>3.IAAU1712560-40HQ</t>
    </r>
    <r>
      <rPr>
        <sz val="11"/>
        <color theme="1"/>
        <rFont val="Calibri"/>
        <family val="2"/>
        <scheme val="minor"/>
      </rPr>
      <t xml:space="preserve">
</t>
    </r>
    <r>
      <rPr>
        <sz val="11"/>
        <color rgb="FFFF0000"/>
        <rFont val="Calibri"/>
        <family val="2"/>
        <scheme val="minor"/>
      </rPr>
      <t>4.IAAU1726517-40HQ</t>
    </r>
    <r>
      <rPr>
        <sz val="11"/>
        <color theme="1"/>
        <rFont val="Calibri"/>
        <family val="2"/>
        <scheme val="minor"/>
      </rPr>
      <t xml:space="preserve">
</t>
    </r>
    <r>
      <rPr>
        <sz val="11"/>
        <color rgb="FFFF0000"/>
        <rFont val="Calibri"/>
        <family val="2"/>
        <scheme val="minor"/>
      </rPr>
      <t>5.IAAU1756050-40HQ</t>
    </r>
    <r>
      <rPr>
        <sz val="11"/>
        <color theme="1"/>
        <rFont val="Calibri"/>
        <family val="2"/>
        <scheme val="minor"/>
      </rPr>
      <t xml:space="preserve">
</t>
    </r>
    <r>
      <rPr>
        <sz val="11"/>
        <color rgb="FFFF0000"/>
        <rFont val="Calibri"/>
        <family val="2"/>
        <scheme val="minor"/>
      </rPr>
      <t>6.IAAU1792550-40HQ</t>
    </r>
    <r>
      <rPr>
        <sz val="11"/>
        <color theme="1"/>
        <rFont val="Calibri"/>
        <family val="2"/>
        <scheme val="minor"/>
      </rPr>
      <t xml:space="preserve">
</t>
    </r>
    <r>
      <rPr>
        <sz val="11"/>
        <color rgb="FFFF0000"/>
        <rFont val="Calibri"/>
        <family val="2"/>
        <scheme val="minor"/>
      </rPr>
      <t>7.IAAU1824180-40HQ</t>
    </r>
    <r>
      <rPr>
        <sz val="11"/>
        <color theme="1"/>
        <rFont val="Calibri"/>
        <family val="2"/>
        <scheme val="minor"/>
      </rPr>
      <t xml:space="preserve">
</t>
    </r>
    <r>
      <rPr>
        <sz val="11"/>
        <color rgb="FFFF0000"/>
        <rFont val="Calibri"/>
        <family val="2"/>
        <scheme val="minor"/>
      </rPr>
      <t>8.IAAU1852578-40HQ</t>
    </r>
    <r>
      <rPr>
        <sz val="11"/>
        <color theme="1"/>
        <rFont val="Calibri"/>
        <family val="2"/>
        <scheme val="minor"/>
      </rPr>
      <t xml:space="preserve">
</t>
    </r>
    <r>
      <rPr>
        <sz val="11"/>
        <color rgb="FFFF0000"/>
        <rFont val="Calibri"/>
        <family val="2"/>
        <scheme val="minor"/>
      </rPr>
      <t>9.IAAU1909014-40HQ</t>
    </r>
    <r>
      <rPr>
        <sz val="11"/>
        <color theme="1"/>
        <rFont val="Calibri"/>
        <family val="2"/>
        <scheme val="minor"/>
      </rPr>
      <t xml:space="preserve">
</t>
    </r>
    <r>
      <rPr>
        <sz val="11"/>
        <color rgb="FFFF0000"/>
        <rFont val="Calibri"/>
        <family val="2"/>
        <scheme val="minor"/>
      </rPr>
      <t>10.SEGU6625273-40HQ</t>
    </r>
  </si>
  <si>
    <t>04983</t>
  </si>
  <si>
    <t>04932</t>
  </si>
  <si>
    <t>04933</t>
  </si>
  <si>
    <t>04962</t>
  </si>
  <si>
    <t>04963</t>
  </si>
  <si>
    <t>04964</t>
  </si>
  <si>
    <t>04965</t>
  </si>
  <si>
    <t>04966</t>
  </si>
  <si>
    <t>04934</t>
  </si>
  <si>
    <t>04975</t>
  </si>
  <si>
    <t>04976</t>
  </si>
  <si>
    <t>05000</t>
  </si>
  <si>
    <t>05057</t>
  </si>
  <si>
    <t>05060</t>
  </si>
  <si>
    <t>05058</t>
  </si>
  <si>
    <t>05059</t>
  </si>
  <si>
    <t>05061</t>
  </si>
  <si>
    <t>05022</t>
  </si>
  <si>
    <t>05030</t>
  </si>
  <si>
    <t>05085</t>
  </si>
  <si>
    <t>05104</t>
  </si>
  <si>
    <t>05120</t>
  </si>
  <si>
    <t>05125</t>
  </si>
  <si>
    <t>05126</t>
  </si>
  <si>
    <t>05148</t>
  </si>
  <si>
    <t>05180</t>
  </si>
  <si>
    <t>05198</t>
  </si>
  <si>
    <t>05199</t>
  </si>
  <si>
    <t>05218</t>
  </si>
  <si>
    <t>05312</t>
  </si>
  <si>
    <t>05236</t>
  </si>
  <si>
    <t>05293</t>
  </si>
  <si>
    <t>05313</t>
  </si>
  <si>
    <t>05306</t>
  </si>
  <si>
    <t>05308</t>
  </si>
  <si>
    <t>05337</t>
  </si>
  <si>
    <t>05364</t>
  </si>
  <si>
    <t>05365</t>
  </si>
  <si>
    <t>05366</t>
  </si>
  <si>
    <t>05405</t>
  </si>
  <si>
    <t>05425</t>
  </si>
  <si>
    <t>05426</t>
  </si>
  <si>
    <t>05427</t>
  </si>
  <si>
    <t>05463</t>
  </si>
  <si>
    <t>05464</t>
  </si>
  <si>
    <t>05477</t>
  </si>
  <si>
    <t>05494</t>
  </si>
  <si>
    <t>05527</t>
  </si>
  <si>
    <t>05506</t>
  </si>
  <si>
    <t>05541</t>
  </si>
  <si>
    <t>05542</t>
  </si>
  <si>
    <t>05574</t>
  </si>
  <si>
    <t>05579</t>
  </si>
  <si>
    <t>05617</t>
  </si>
  <si>
    <t>05609</t>
  </si>
  <si>
    <t>05643</t>
  </si>
  <si>
    <t>05622</t>
  </si>
  <si>
    <t>05657</t>
  </si>
  <si>
    <t>05658</t>
  </si>
  <si>
    <t>05714</t>
  </si>
  <si>
    <t>05728</t>
  </si>
  <si>
    <t>05744</t>
  </si>
  <si>
    <t>05811</t>
  </si>
  <si>
    <t>05766</t>
  </si>
  <si>
    <t>05790</t>
  </si>
  <si>
    <t>05812</t>
  </si>
  <si>
    <t>05813</t>
  </si>
  <si>
    <t>05814</t>
  </si>
  <si>
    <t>05828</t>
  </si>
  <si>
    <t>22540</t>
  </si>
  <si>
    <t>LAX-CAM-D2203</t>
  </si>
  <si>
    <t>BRIDGE V.0258N</t>
  </si>
  <si>
    <t>27-11-2022</t>
  </si>
  <si>
    <t>USED HHG: Vintage Stage Deco Materials</t>
  </si>
  <si>
    <t>1.CSNU749069-8/UL-9230263</t>
  </si>
  <si>
    <t>22541</t>
  </si>
  <si>
    <t>SHL488126800</t>
  </si>
  <si>
    <t>10-12-2022</t>
  </si>
  <si>
    <t>PLASTIC BASIN, WOODEN FLOOR TILE, STEEL PLATE, LED LIGHT, COTTON BLANKET, CARDBOARD BOX</t>
  </si>
  <si>
    <t>1.IMEU8821056/HQ/20.0400559</t>
  </si>
  <si>
    <t>610 P'KGS</t>
  </si>
  <si>
    <t>225411</t>
  </si>
  <si>
    <t>SHL488126822</t>
  </si>
  <si>
    <t>STRETCH FILM, LED LIGHT, KITCHEN SINKS, JUTE SACK, WALLPAPER, PAPER BAG</t>
  </si>
  <si>
    <t>2.TGHU7891255/HQ/20.0400558</t>
  </si>
  <si>
    <t>886 P'KGS</t>
  </si>
  <si>
    <t>22542</t>
  </si>
  <si>
    <t>22543</t>
  </si>
  <si>
    <t>22544</t>
  </si>
  <si>
    <t>22545</t>
  </si>
  <si>
    <t>22546</t>
  </si>
  <si>
    <t>22547</t>
  </si>
  <si>
    <t>SHAWD069740</t>
  </si>
  <si>
    <t>E220781997180670</t>
  </si>
  <si>
    <t>1.ZCSU7685663-40'HQ</t>
  </si>
  <si>
    <t>SHAWD069728</t>
  </si>
  <si>
    <t>E220781997180669</t>
  </si>
  <si>
    <t>PART OF</t>
  </si>
  <si>
    <t>20444272ETC</t>
  </si>
  <si>
    <t>E220781997180672</t>
  </si>
  <si>
    <t>NEW CAR MG GT, 2023
NEW CAR MG HS, 2023</t>
  </si>
  <si>
    <t>E220781997180668</t>
  </si>
  <si>
    <t>NEW CAR MG HS, 2023</t>
  </si>
  <si>
    <t>ZCSU6625211-40'HQ (PART OF)</t>
  </si>
  <si>
    <t>SHAWD069743</t>
  </si>
  <si>
    <t>E220781997180673</t>
  </si>
  <si>
    <t>SHAWD069741</t>
  </si>
  <si>
    <t>20444274ETC</t>
  </si>
  <si>
    <t>E220781997180671</t>
  </si>
  <si>
    <t>NEW CAR MG GT,2022
NEW CAR MG GT,2023</t>
  </si>
  <si>
    <t>40'HQ &amp; PART OF</t>
  </si>
  <si>
    <t>ZCSU7685663-40'HQ (PART OF)</t>
  </si>
  <si>
    <t>22548</t>
  </si>
  <si>
    <t>SHL488126838</t>
  </si>
  <si>
    <t>11-12-2022</t>
  </si>
  <si>
    <t>COTTON BLANKET, CARPET, SOCKET, PLASTIC FLOWER, WALLPAPER, CARDBOARD BOX,  STEEL PLATE</t>
  </si>
  <si>
    <t>1.TDTU6310711/HQ/20.0400633</t>
  </si>
  <si>
    <t>SHAWD069742</t>
  </si>
  <si>
    <t>22549</t>
  </si>
  <si>
    <t>YMLUI232229661</t>
  </si>
  <si>
    <t>WAN HAI 275 V.S191</t>
  </si>
  <si>
    <t>09-12-2022</t>
  </si>
  <si>
    <t>PLASTIC STRAP</t>
  </si>
  <si>
    <t>1.SEGU6177902/YMAM737547</t>
  </si>
  <si>
    <t>YIWU QIAN</t>
  </si>
  <si>
    <t>22550</t>
  </si>
  <si>
    <t>MEDUD7699975</t>
  </si>
  <si>
    <t>A.S.C.T (CAMBODIA) CO., LTD</t>
  </si>
  <si>
    <t>BRIDGE V.0260N</t>
  </si>
  <si>
    <t>1991 MERCEDES 350 SEL STRETCH PULLMAN</t>
  </si>
  <si>
    <t>1.DFSU4305104/0019541</t>
  </si>
  <si>
    <t>1 UNPACKED SINGLE UNIT</t>
  </si>
  <si>
    <t>40DV</t>
  </si>
  <si>
    <t>WWS SPEDITION</t>
  </si>
  <si>
    <t>LAY SOLIN</t>
  </si>
  <si>
    <t>ភេទប្រុស មានអត្តសញ្ញាណប័ណ្ណសញ្ជាតិខ្មែរលេខៈ 110549258 ជាប្រធានក្រុមហ៊ុន A.S.C.T (CAMBODIA) CO.,LTD អត្តសញ្ញាណកម្មសារពើពន្ធ (VAT)លេខៈ K007-902102757</t>
  </si>
  <si>
    <r>
      <rPr>
        <sz val="11"/>
        <color rgb="FFFF0000"/>
        <rFont val="Calibri"/>
        <family val="2"/>
        <scheme val="minor"/>
      </rPr>
      <t>1.CAIU8902153-40HQ</t>
    </r>
    <r>
      <rPr>
        <sz val="11"/>
        <color theme="1"/>
        <rFont val="Calibri"/>
        <family val="2"/>
        <scheme val="minor"/>
      </rPr>
      <t xml:space="preserve">
</t>
    </r>
    <r>
      <rPr>
        <sz val="11"/>
        <color rgb="FFFF0000"/>
        <rFont val="Calibri"/>
        <family val="2"/>
        <scheme val="minor"/>
      </rPr>
      <t>2.IAAU1782758-40HQ</t>
    </r>
    <r>
      <rPr>
        <sz val="11"/>
        <color theme="1"/>
        <rFont val="Calibri"/>
        <family val="2"/>
        <scheme val="minor"/>
      </rPr>
      <t xml:space="preserve">
</t>
    </r>
    <r>
      <rPr>
        <sz val="11"/>
        <color rgb="FFFF0000"/>
        <rFont val="Calibri"/>
        <family val="2"/>
        <scheme val="minor"/>
      </rPr>
      <t>3.IAAU1785905-40HQ</t>
    </r>
    <r>
      <rPr>
        <sz val="11"/>
        <color theme="1"/>
        <rFont val="Calibri"/>
        <family val="2"/>
        <scheme val="minor"/>
      </rPr>
      <t xml:space="preserve">
</t>
    </r>
    <r>
      <rPr>
        <sz val="11"/>
        <color rgb="FFFF0000"/>
        <rFont val="Calibri"/>
        <family val="2"/>
        <scheme val="minor"/>
      </rPr>
      <t>4.IAAU1792592-40HQ</t>
    </r>
    <r>
      <rPr>
        <sz val="11"/>
        <color theme="1"/>
        <rFont val="Calibri"/>
        <family val="2"/>
        <scheme val="minor"/>
      </rPr>
      <t xml:space="preserve">
</t>
    </r>
    <r>
      <rPr>
        <sz val="11"/>
        <color rgb="FFFF0000"/>
        <rFont val="Calibri"/>
        <family val="2"/>
        <scheme val="minor"/>
      </rPr>
      <t>5.IAAU1863253-40HQ</t>
    </r>
    <r>
      <rPr>
        <sz val="11"/>
        <color theme="1"/>
        <rFont val="Calibri"/>
        <family val="2"/>
        <scheme val="minor"/>
      </rPr>
      <t xml:space="preserve">
</t>
    </r>
    <r>
      <rPr>
        <sz val="11"/>
        <color rgb="FFFF0000"/>
        <rFont val="Calibri"/>
        <family val="2"/>
        <scheme val="minor"/>
      </rPr>
      <t>6.IAAU1879590-40HQ</t>
    </r>
    <r>
      <rPr>
        <sz val="11"/>
        <color theme="1"/>
        <rFont val="Calibri"/>
        <family val="2"/>
        <scheme val="minor"/>
      </rPr>
      <t xml:space="preserve">
</t>
    </r>
    <r>
      <rPr>
        <sz val="11"/>
        <color rgb="FFFF0000"/>
        <rFont val="Calibri"/>
        <family val="2"/>
        <scheme val="minor"/>
      </rPr>
      <t>7.IAAU1934362-40HQ</t>
    </r>
    <r>
      <rPr>
        <sz val="11"/>
        <color theme="1"/>
        <rFont val="Calibri"/>
        <family val="2"/>
        <scheme val="minor"/>
      </rPr>
      <t xml:space="preserve">
</t>
    </r>
    <r>
      <rPr>
        <sz val="11"/>
        <color rgb="FFFF0000"/>
        <rFont val="Calibri"/>
        <family val="2"/>
        <scheme val="minor"/>
      </rPr>
      <t>8.IAAU1954311-40HQ
9.MAGU5627533-40HQ</t>
    </r>
    <r>
      <rPr>
        <sz val="11"/>
        <color theme="1"/>
        <rFont val="Calibri"/>
        <family val="2"/>
        <scheme val="minor"/>
      </rPr>
      <t xml:space="preserve">
</t>
    </r>
    <r>
      <rPr>
        <sz val="11"/>
        <color rgb="FFFF0000"/>
        <rFont val="Calibri"/>
        <family val="2"/>
        <scheme val="minor"/>
      </rPr>
      <t>10.SEKU4121730-40HQ</t>
    </r>
  </si>
  <si>
    <t>L001-902001625</t>
  </si>
  <si>
    <t>22551</t>
  </si>
  <si>
    <t>22552</t>
  </si>
  <si>
    <t>GMD22HPHPNH0232</t>
  </si>
  <si>
    <t>20221202/VP-BJC-KH</t>
  </si>
  <si>
    <t>VN-KH 22/01/50891</t>
  </si>
  <si>
    <t>PHUOC LONG 10 V.194W</t>
  </si>
  <si>
    <t>13-12-2022</t>
  </si>
  <si>
    <t>1.GMDU8182521-40HC, 2.GMDU8185243-40HC</t>
  </si>
  <si>
    <t>SHAWD069739</t>
  </si>
  <si>
    <t>22553</t>
  </si>
  <si>
    <t>103511SH008A</t>
  </si>
  <si>
    <t>ST20225239-1</t>
  </si>
  <si>
    <t>NEW BULLDOZER SHANTUI DH17-C3 LGP, 2022
NEW BULLDOZER SHANTUI DH13UB2 XL, 2022</t>
  </si>
  <si>
    <t>22554</t>
  </si>
  <si>
    <t>SHAWD069778</t>
  </si>
  <si>
    <t>OMPLCHS220413</t>
  </si>
  <si>
    <t>025/2022</t>
  </si>
  <si>
    <t>D2022-0343110</t>
  </si>
  <si>
    <t>PINNVAREE V. 22073E</t>
  </si>
  <si>
    <t>1.TCKU9183217-40HC</t>
  </si>
  <si>
    <t>22555</t>
  </si>
  <si>
    <t>024C570527</t>
  </si>
  <si>
    <t>WAN HAI 165 V.S414</t>
  </si>
  <si>
    <t>18-12-2022</t>
  </si>
  <si>
    <t>MARBLE, FOODSTUFF,SEASONING</t>
  </si>
  <si>
    <t>1.WHLU5840334/WHLP344324</t>
  </si>
  <si>
    <t>905 PKGS</t>
  </si>
  <si>
    <t>225551</t>
  </si>
  <si>
    <t>024C571547</t>
  </si>
  <si>
    <t>STEEL PIPE, WATER PIPE, PLASTIC BUCKETS, PAPER BAG, FOODSTUFF</t>
  </si>
  <si>
    <t>2.WHSU6590791/WHLS733646</t>
  </si>
  <si>
    <t>225552</t>
  </si>
  <si>
    <t>029C534347</t>
  </si>
  <si>
    <t>PAPER BAG, STEEL DOORS, FOODSTUFF AND SEASONING</t>
  </si>
  <si>
    <t>3.TEMU6170606/WHLS718088</t>
  </si>
  <si>
    <t>900 PKGS</t>
  </si>
  <si>
    <t>22556</t>
  </si>
  <si>
    <t>SHL488126849</t>
  </si>
  <si>
    <t>19-12-2022</t>
  </si>
  <si>
    <t>STRETCH FILM, LED LIGHT, COTTON BLANKET, JUTE SACK, STEEL PIPE, MARBLE​</t>
  </si>
  <si>
    <t>1.LEOU2021001/HQ/20.0401381</t>
  </si>
  <si>
    <t>468 P'KGS</t>
  </si>
  <si>
    <t>22557</t>
  </si>
  <si>
    <t>SITSKSVG387334</t>
  </si>
  <si>
    <t>PLASTIC PIPE, CERAMIC TILE, WALLPAPER, NEW PLASTIC TOYS AND WET WIPE</t>
  </si>
  <si>
    <t>2.TLLU7714726/SITA196092</t>
  </si>
  <si>
    <t>225571</t>
  </si>
  <si>
    <t>EGLV149207982708</t>
  </si>
  <si>
    <t>EVER CANDID V.0243-036S</t>
  </si>
  <si>
    <t>COTTON BLANKET, WALLPAPER, CARDBOAD BOX AND BUILDING MATERIALS</t>
  </si>
  <si>
    <t>DFSU6384519/EMCMJC0881</t>
  </si>
  <si>
    <t>720 PKGS</t>
  </si>
  <si>
    <t>21-12-2022</t>
  </si>
  <si>
    <t>SITC TOKYO V.2262S</t>
  </si>
  <si>
    <t>20445790ETC</t>
  </si>
  <si>
    <t>NEW CAR MG GT, 2022 &amp; 2023
NEW CAR MG 6, 2023
NEW CAR MG RX8 2022 &amp; 2023</t>
  </si>
  <si>
    <t>NEWPORT CYPRESS 16 V.265W</t>
  </si>
  <si>
    <t>22558</t>
  </si>
  <si>
    <t>SITSKSVG387928</t>
  </si>
  <si>
    <t>ZG20221215</t>
  </si>
  <si>
    <t>22-12-2022</t>
  </si>
  <si>
    <t>NEW HONGQI CAR H5 STANDARD 1.5T CA7150HA6T, 2021</t>
  </si>
  <si>
    <t>1.GAOU6826407-40HC
2.UETU5311985-40HC
3.SITU9053117-40HC
4.TLLU4116150-40HC</t>
  </si>
  <si>
    <t>22559</t>
  </si>
  <si>
    <t>CGC-20221208</t>
  </si>
  <si>
    <t>EGLV147201040267</t>
  </si>
  <si>
    <t xml:space="preserve">CHERY </t>
  </si>
  <si>
    <t>NEW JETOUR BRAND CAR X70, MODEL YEAR 2022, LHD
NEW JETOUR BRAND CAR X95, MODEL YEAR 2022, LHD</t>
  </si>
  <si>
    <t>03114</t>
  </si>
  <si>
    <r>
      <rPr>
        <sz val="11"/>
        <color rgb="FFFF0000"/>
        <rFont val="Calibri"/>
        <family val="2"/>
        <scheme val="minor"/>
      </rPr>
      <t>1.ZCSU6625211-40'HQ</t>
    </r>
    <r>
      <rPr>
        <sz val="11"/>
        <color theme="1"/>
        <rFont val="Calibri"/>
        <family val="2"/>
        <scheme val="minor"/>
      </rPr>
      <t xml:space="preserve">
</t>
    </r>
    <r>
      <rPr>
        <sz val="11"/>
        <color rgb="FFFF0000"/>
        <rFont val="Calibri"/>
        <family val="2"/>
        <scheme val="minor"/>
      </rPr>
      <t>2.ZCSU6984119-40'HQ</t>
    </r>
    <r>
      <rPr>
        <sz val="11"/>
        <color theme="1"/>
        <rFont val="Calibri"/>
        <family val="2"/>
        <scheme val="minor"/>
      </rPr>
      <t xml:space="preserve">
</t>
    </r>
    <r>
      <rPr>
        <sz val="11"/>
        <color rgb="FFFF0000"/>
        <rFont val="Calibri"/>
        <family val="2"/>
        <scheme val="minor"/>
      </rPr>
      <t>3-ZCSU7725200-40'HQ</t>
    </r>
  </si>
  <si>
    <r>
      <rPr>
        <sz val="11"/>
        <color rgb="FFFF0000"/>
        <rFont val="Calibri"/>
        <family val="2"/>
        <scheme val="minor"/>
      </rPr>
      <t>1.ZCSU6570931-40'HQ</t>
    </r>
    <r>
      <rPr>
        <sz val="11"/>
        <color theme="1"/>
        <rFont val="Calibri"/>
        <family val="2"/>
        <scheme val="minor"/>
      </rPr>
      <t xml:space="preserve">
</t>
    </r>
    <r>
      <rPr>
        <sz val="11"/>
        <color rgb="FFFF0000"/>
        <rFont val="Calibri"/>
        <family val="2"/>
        <scheme val="minor"/>
      </rPr>
      <t>2.ZCSU7425476-40'HQ</t>
    </r>
    <r>
      <rPr>
        <sz val="11"/>
        <color theme="1"/>
        <rFont val="Calibri"/>
        <family val="2"/>
        <scheme val="minor"/>
      </rPr>
      <t xml:space="preserve">
</t>
    </r>
    <r>
      <rPr>
        <sz val="11"/>
        <color rgb="FFFF0000"/>
        <rFont val="Calibri"/>
        <family val="2"/>
        <scheme val="minor"/>
      </rPr>
      <t>3.ZCSU7871570-40'HQ</t>
    </r>
    <r>
      <rPr>
        <sz val="11"/>
        <color theme="1"/>
        <rFont val="Calibri"/>
        <family val="2"/>
        <scheme val="minor"/>
      </rPr>
      <t xml:space="preserve">
</t>
    </r>
    <r>
      <rPr>
        <sz val="11"/>
        <color rgb="FFFF0000"/>
        <rFont val="Calibri"/>
        <family val="2"/>
        <scheme val="minor"/>
      </rPr>
      <t>4.ZCSU8854562-40'HQ</t>
    </r>
  </si>
  <si>
    <r>
      <rPr>
        <sz val="11"/>
        <color rgb="FFFF0000"/>
        <rFont val="Calibri"/>
        <family val="2"/>
        <scheme val="minor"/>
      </rPr>
      <t>1.ZCSU7673472-40'HQ</t>
    </r>
    <r>
      <rPr>
        <sz val="11"/>
        <color theme="1"/>
        <rFont val="Calibri"/>
        <family val="2"/>
        <scheme val="minor"/>
      </rPr>
      <t xml:space="preserve">
</t>
    </r>
    <r>
      <rPr>
        <sz val="11"/>
        <color rgb="FFFF0000"/>
        <rFont val="Calibri"/>
        <family val="2"/>
        <scheme val="minor"/>
      </rPr>
      <t>2.ZCSU7927160-40'HQ</t>
    </r>
    <r>
      <rPr>
        <sz val="11"/>
        <color theme="1"/>
        <rFont val="Calibri"/>
        <family val="2"/>
        <scheme val="minor"/>
      </rPr>
      <t xml:space="preserve">
</t>
    </r>
    <r>
      <rPr>
        <sz val="11"/>
        <color rgb="FFFF0000"/>
        <rFont val="Calibri"/>
        <family val="2"/>
        <scheme val="minor"/>
      </rPr>
      <t>ZCSU8854562-40'HQ (PART OF)</t>
    </r>
  </si>
  <si>
    <t>22560</t>
  </si>
  <si>
    <t>22561</t>
  </si>
  <si>
    <t>103527SH108</t>
  </si>
  <si>
    <t>DF22CV-378KH003</t>
  </si>
  <si>
    <t>NEW DUMP TRUCK DONGFENG DFL3120B, 2023</t>
  </si>
  <si>
    <t>China</t>
  </si>
  <si>
    <t>103527SH107</t>
  </si>
  <si>
    <t>DF22CV-378KH003-1</t>
  </si>
  <si>
    <t>070 873235</t>
  </si>
  <si>
    <t>22562</t>
  </si>
  <si>
    <t>E220781997180687</t>
  </si>
  <si>
    <t>VLP/FE/22/11/B/0423</t>
  </si>
  <si>
    <t>EIC/2022/013/0914302A/00851129</t>
  </si>
  <si>
    <t>NEWPORT CYPRESS 79 V.203W</t>
  </si>
  <si>
    <t>24-12-2022</t>
  </si>
  <si>
    <t>1.NYKU4762317/IN1155058</t>
  </si>
  <si>
    <t>22563</t>
  </si>
  <si>
    <t>GMD22HPHPNH0242</t>
  </si>
  <si>
    <t>20221216/VP-BJC-KH</t>
  </si>
  <si>
    <t>VN-KH 22/01/52830</t>
  </si>
  <si>
    <t>PHUOC LONG 10 V.196W</t>
  </si>
  <si>
    <t>27-12-2022</t>
  </si>
  <si>
    <t>1.GMDU8187462-40HC</t>
  </si>
  <si>
    <t>ភេទប្រុស ដែលមានលិខិតឆ្លងដែនលេខៈAB4916750 អ្នកគ្រប់គ្រងហិរញ្ញវត្ថុ គណនីយ និងរដ្ឋាបាលនៃក្រុមហ៊ុន BJC CELLOX(CAMBODIA) CO., LTD អត្តសញ្ញាណកម្មសារពើពន្ធ (VAT)លេខៈ L001-901639149 ទូរសព្ទ័លេខៈ  092 784 079  ទីតាំងនៅផ្លូវជាតិលេខ ១ គីឡូម៉ែតលេខ ៤៦ ភូមិ សំរោងក្អែរ  ឃុំ សំរោងធំ ស្រុកកៀនស្វាយ ខេត្តកណ្តាល ។</t>
  </si>
  <si>
    <t>23001</t>
  </si>
  <si>
    <t>COAU8027934810</t>
  </si>
  <si>
    <t>22-Y-EV67-003C</t>
  </si>
  <si>
    <t>NEW CAR DONGFENG BRAND CAR FENGON GLORY 500, 2022</t>
  </si>
  <si>
    <t>23002</t>
  </si>
  <si>
    <t>024C574823</t>
  </si>
  <si>
    <t>WAN HAI 216 V.S425</t>
  </si>
  <si>
    <t>01-01-2023</t>
  </si>
  <si>
    <t>1.DFSU7564372/WHLS711508</t>
  </si>
  <si>
    <t>790 PKGS</t>
  </si>
  <si>
    <t>230021</t>
  </si>
  <si>
    <t>WAN HAI 275 V.192S</t>
  </si>
  <si>
    <t>01-04-2023</t>
  </si>
  <si>
    <t>2.MRKU5319587/ML-JP3722638</t>
  </si>
  <si>
    <t>4040 PACKAGE</t>
  </si>
  <si>
    <t>CONCIERGE</t>
  </si>
  <si>
    <t>ប្រតិទិនចន្ទគតិ2023</t>
  </si>
  <si>
    <r>
      <rPr>
        <sz val="11"/>
        <color rgb="FFFF0000"/>
        <rFont val="Calibri"/>
        <family val="2"/>
        <scheme val="minor"/>
      </rPr>
      <t>1.EGHU9198610</t>
    </r>
    <r>
      <rPr>
        <sz val="11"/>
        <color theme="1"/>
        <rFont val="Calibri"/>
        <family val="2"/>
        <scheme val="minor"/>
      </rPr>
      <t xml:space="preserve">
</t>
    </r>
    <r>
      <rPr>
        <sz val="11"/>
        <color rgb="FFFF0000"/>
        <rFont val="Calibri"/>
        <family val="2"/>
        <scheme val="minor"/>
      </rPr>
      <t>2.TXGU5847779</t>
    </r>
    <r>
      <rPr>
        <sz val="11"/>
        <color theme="1"/>
        <rFont val="Calibri"/>
        <family val="2"/>
        <scheme val="minor"/>
      </rPr>
      <t xml:space="preserve">
</t>
    </r>
    <r>
      <rPr>
        <sz val="11"/>
        <color rgb="FFFF0000"/>
        <rFont val="Calibri"/>
        <family val="2"/>
        <scheme val="minor"/>
      </rPr>
      <t>3.BEAU6309226</t>
    </r>
    <r>
      <rPr>
        <sz val="11"/>
        <color theme="1"/>
        <rFont val="Calibri"/>
        <family val="2"/>
        <scheme val="minor"/>
      </rPr>
      <t xml:space="preserve">
</t>
    </r>
    <r>
      <rPr>
        <sz val="11"/>
        <color rgb="FFFF0000"/>
        <rFont val="Calibri"/>
        <family val="2"/>
        <scheme val="minor"/>
      </rPr>
      <t>4.EGHU9498540</t>
    </r>
    <r>
      <rPr>
        <sz val="11"/>
        <color theme="1"/>
        <rFont val="Calibri"/>
        <family val="2"/>
        <scheme val="minor"/>
      </rPr>
      <t xml:space="preserve">
</t>
    </r>
    <r>
      <rPr>
        <sz val="11"/>
        <color rgb="FFFF0000"/>
        <rFont val="Calibri"/>
        <family val="2"/>
        <scheme val="minor"/>
      </rPr>
      <t>5.GAOU6246477</t>
    </r>
    <r>
      <rPr>
        <sz val="11"/>
        <color theme="1"/>
        <rFont val="Calibri"/>
        <family val="2"/>
        <scheme val="minor"/>
      </rPr>
      <t xml:space="preserve">
</t>
    </r>
    <r>
      <rPr>
        <sz val="11"/>
        <color rgb="FFFF0000"/>
        <rFont val="Calibri"/>
        <family val="2"/>
        <scheme val="minor"/>
      </rPr>
      <t>6.EGHU9257414</t>
    </r>
  </si>
  <si>
    <r>
      <rPr>
        <sz val="11"/>
        <color rgb="FFFF0000"/>
        <rFont val="Calibri"/>
        <family val="2"/>
        <scheme val="minor"/>
      </rPr>
      <t xml:space="preserve">1.BEAU5032435 / 40'HQ	</t>
    </r>
    <r>
      <rPr>
        <sz val="11"/>
        <color theme="1"/>
        <rFont val="Calibri"/>
        <family val="2"/>
        <scheme val="minor"/>
      </rPr>
      <t xml:space="preserve">
</t>
    </r>
    <r>
      <rPr>
        <sz val="11"/>
        <color rgb="FFFF0000"/>
        <rFont val="Calibri"/>
        <family val="2"/>
        <scheme val="minor"/>
      </rPr>
      <t>2.CAIU4338791 / 40'HQ</t>
    </r>
    <r>
      <rPr>
        <sz val="11"/>
        <color theme="1"/>
        <rFont val="Calibri"/>
        <family val="2"/>
        <scheme val="minor"/>
      </rPr>
      <t xml:space="preserve">	
</t>
    </r>
    <r>
      <rPr>
        <sz val="11"/>
        <color rgb="FFFF0000"/>
        <rFont val="Calibri"/>
        <family val="2"/>
        <scheme val="minor"/>
      </rPr>
      <t>3.CAIU9223481 / 40'HQ</t>
    </r>
    <r>
      <rPr>
        <sz val="11"/>
        <color theme="1"/>
        <rFont val="Calibri"/>
        <family val="2"/>
        <scheme val="minor"/>
      </rPr>
      <t xml:space="preserve">	
</t>
    </r>
    <r>
      <rPr>
        <sz val="11"/>
        <color rgb="FFFF0000"/>
        <rFont val="Calibri"/>
        <family val="2"/>
        <scheme val="minor"/>
      </rPr>
      <t>4.GAOU6445843 / 40'HQ</t>
    </r>
    <r>
      <rPr>
        <sz val="11"/>
        <color theme="1"/>
        <rFont val="Calibri"/>
        <family val="2"/>
        <scheme val="minor"/>
      </rPr>
      <t xml:space="preserve">	
</t>
    </r>
    <r>
      <rPr>
        <sz val="11"/>
        <color rgb="FFFF0000"/>
        <rFont val="Calibri"/>
        <family val="2"/>
        <scheme val="minor"/>
      </rPr>
      <t>5.HNSU5001852 / 40'HQ</t>
    </r>
    <r>
      <rPr>
        <sz val="11"/>
        <color theme="1"/>
        <rFont val="Calibri"/>
        <family val="2"/>
        <scheme val="minor"/>
      </rPr>
      <t xml:space="preserve">	
</t>
    </r>
    <r>
      <rPr>
        <sz val="11"/>
        <color rgb="FFFF0000"/>
        <rFont val="Calibri"/>
        <family val="2"/>
        <scheme val="minor"/>
      </rPr>
      <t>6.JZPU8013147 / 40'HQ</t>
    </r>
    <r>
      <rPr>
        <sz val="11"/>
        <color theme="1"/>
        <rFont val="Calibri"/>
        <family val="2"/>
        <scheme val="minor"/>
      </rPr>
      <t xml:space="preserve">	
</t>
    </r>
    <r>
      <rPr>
        <sz val="11"/>
        <color rgb="FFFF0000"/>
        <rFont val="Calibri"/>
        <family val="2"/>
        <scheme val="minor"/>
      </rPr>
      <t>7.JZPU8017712 / 40'HQ</t>
    </r>
    <r>
      <rPr>
        <sz val="11"/>
        <color theme="1"/>
        <rFont val="Calibri"/>
        <family val="2"/>
        <scheme val="minor"/>
      </rPr>
      <t xml:space="preserve">	
</t>
    </r>
    <r>
      <rPr>
        <sz val="11"/>
        <color rgb="FFFF0000"/>
        <rFont val="Calibri"/>
        <family val="2"/>
        <scheme val="minor"/>
      </rPr>
      <t>8.KSSU1009733 / 40'HQ</t>
    </r>
    <r>
      <rPr>
        <sz val="11"/>
        <color theme="1"/>
        <rFont val="Calibri"/>
        <family val="2"/>
        <scheme val="minor"/>
      </rPr>
      <t xml:space="preserve">	
</t>
    </r>
    <r>
      <rPr>
        <sz val="11"/>
        <color rgb="FFFF0000"/>
        <rFont val="Calibri"/>
        <family val="2"/>
        <scheme val="minor"/>
      </rPr>
      <t>9.SEGU5755143 / 40'HQ</t>
    </r>
    <r>
      <rPr>
        <sz val="11"/>
        <color theme="1"/>
        <rFont val="Calibri"/>
        <family val="2"/>
        <scheme val="minor"/>
      </rPr>
      <t xml:space="preserve">	
</t>
    </r>
    <r>
      <rPr>
        <sz val="11"/>
        <color rgb="FFFF0000"/>
        <rFont val="Calibri"/>
        <family val="2"/>
        <scheme val="minor"/>
      </rPr>
      <t>10.TCKU7349660 / 40'HQ</t>
    </r>
    <r>
      <rPr>
        <sz val="11"/>
        <color theme="1"/>
        <rFont val="Calibri"/>
        <family val="2"/>
        <scheme val="minor"/>
      </rPr>
      <t xml:space="preserve">	
</t>
    </r>
    <r>
      <rPr>
        <sz val="11"/>
        <color rgb="FFFF0000"/>
        <rFont val="Calibri"/>
        <family val="2"/>
        <scheme val="minor"/>
      </rPr>
      <t xml:space="preserve">11.TCNU1755938 / 40'HQ	</t>
    </r>
    <r>
      <rPr>
        <sz val="11"/>
        <color theme="1"/>
        <rFont val="Calibri"/>
        <family val="2"/>
        <scheme val="minor"/>
      </rPr>
      <t xml:space="preserve">
</t>
    </r>
    <r>
      <rPr>
        <sz val="11"/>
        <color rgb="FFFF0000"/>
        <rFont val="Calibri"/>
        <family val="2"/>
        <scheme val="minor"/>
      </rPr>
      <t xml:space="preserve">12.TCNU2974416 / 40'HQ	</t>
    </r>
    <r>
      <rPr>
        <sz val="11"/>
        <color theme="1"/>
        <rFont val="Calibri"/>
        <family val="2"/>
        <scheme val="minor"/>
      </rPr>
      <t xml:space="preserve">
</t>
    </r>
    <r>
      <rPr>
        <sz val="11"/>
        <color rgb="FFFF0000"/>
        <rFont val="Calibri"/>
        <family val="2"/>
        <scheme val="minor"/>
      </rPr>
      <t>13.TCNU4260228 / 40'HQ</t>
    </r>
    <r>
      <rPr>
        <sz val="11"/>
        <color theme="1"/>
        <rFont val="Calibri"/>
        <family val="2"/>
        <scheme val="minor"/>
      </rPr>
      <t xml:space="preserve">	
</t>
    </r>
    <r>
      <rPr>
        <sz val="11"/>
        <color rgb="FFFF0000"/>
        <rFont val="Calibri"/>
        <family val="2"/>
        <scheme val="minor"/>
      </rPr>
      <t xml:space="preserve">14.TCNU4297248 / 40'HQ	</t>
    </r>
    <r>
      <rPr>
        <sz val="11"/>
        <color theme="1"/>
        <rFont val="Calibri"/>
        <family val="2"/>
        <scheme val="minor"/>
      </rPr>
      <t xml:space="preserve">
</t>
    </r>
    <r>
      <rPr>
        <sz val="11"/>
        <color rgb="FFFF0000"/>
        <rFont val="Calibri"/>
        <family val="2"/>
        <scheme val="minor"/>
      </rPr>
      <t xml:space="preserve">15.TCNU4576197 / 40'HQ	</t>
    </r>
    <r>
      <rPr>
        <sz val="11"/>
        <color theme="1"/>
        <rFont val="Calibri"/>
        <family val="2"/>
        <scheme val="minor"/>
      </rPr>
      <t xml:space="preserve">
</t>
    </r>
    <r>
      <rPr>
        <sz val="11"/>
        <color rgb="FFFF0000"/>
        <rFont val="Calibri"/>
        <family val="2"/>
        <scheme val="minor"/>
      </rPr>
      <t xml:space="preserve">16.TCNU4951430 / 40'HQ	</t>
    </r>
    <r>
      <rPr>
        <sz val="11"/>
        <color theme="1"/>
        <rFont val="Calibri"/>
        <family val="2"/>
        <scheme val="minor"/>
      </rPr>
      <t xml:space="preserve">
</t>
    </r>
    <r>
      <rPr>
        <sz val="11"/>
        <color rgb="FFFF0000"/>
        <rFont val="Calibri"/>
        <family val="2"/>
        <scheme val="minor"/>
      </rPr>
      <t>17.TCNU5336734 / 40'HQ</t>
    </r>
    <r>
      <rPr>
        <sz val="11"/>
        <color theme="1"/>
        <rFont val="Calibri"/>
        <family val="2"/>
        <scheme val="minor"/>
      </rPr>
      <t xml:space="preserve">	
</t>
    </r>
    <r>
      <rPr>
        <sz val="11"/>
        <color rgb="FFFF0000"/>
        <rFont val="Calibri"/>
        <family val="2"/>
        <scheme val="minor"/>
      </rPr>
      <t>18.TEMU6983231 / 40'HQ</t>
    </r>
    <r>
      <rPr>
        <sz val="11"/>
        <color theme="1"/>
        <rFont val="Calibri"/>
        <family val="2"/>
        <scheme val="minor"/>
      </rPr>
      <t xml:space="preserve">	
</t>
    </r>
    <r>
      <rPr>
        <sz val="11"/>
        <color rgb="FFFF0000"/>
        <rFont val="Calibri"/>
        <family val="2"/>
        <scheme val="minor"/>
      </rPr>
      <t>19.TGBU7057153 / 40'HQ</t>
    </r>
    <r>
      <rPr>
        <sz val="11"/>
        <color theme="1"/>
        <rFont val="Calibri"/>
        <family val="2"/>
        <scheme val="minor"/>
      </rPr>
      <t xml:space="preserve">	</t>
    </r>
  </si>
  <si>
    <t>23003</t>
  </si>
  <si>
    <t>2212AX107</t>
  </si>
  <si>
    <t>SITC LIDE V.2226S</t>
  </si>
  <si>
    <t>02-01-2023</t>
  </si>
  <si>
    <t>1.TGBU2568886/SITB259500</t>
  </si>
  <si>
    <t>20 DV</t>
  </si>
  <si>
    <t>ILDONG FOODIS</t>
  </si>
  <si>
    <t>10 PALLETS(1520 CTNS)</t>
  </si>
  <si>
    <t>23004</t>
  </si>
  <si>
    <t>23005</t>
  </si>
  <si>
    <t>O C D M TRADING CO., LTD</t>
  </si>
  <si>
    <t>SHV22.DBS11</t>
  </si>
  <si>
    <t>NEW CAR LEXUS LX600, 2022</t>
  </si>
  <si>
    <t>1.MRSU4882407-40DRY</t>
  </si>
  <si>
    <t>MIKA GENERAL</t>
  </si>
  <si>
    <t>TUNING</t>
  </si>
  <si>
    <t>https://goo.gl/maps/jLNButnqVMBP8jjv7</t>
  </si>
  <si>
    <t>OEURN CHANDET</t>
  </si>
  <si>
    <t>K007-902104377</t>
  </si>
  <si>
    <t>011746031</t>
  </si>
  <si>
    <t>150901855</t>
  </si>
  <si>
    <t>ភេទស្រី មានអត្តសញ្ញាណប័ណ្ណសញ្ជាតិខ្មែរលេខៈ 150901855 មានតួនាទី ប្រធានក្រុមហ៊ុន O C D M TRADING CO., LTDអត្តសញ្ញាណកម្មសារពើពន្ធ (VAT)លេខៈ K007-902104377</t>
  </si>
  <si>
    <t>#31 ផ្លូវ P25 ភូមិ បឹងឈូក សង្កាត់ និរោធ ខណ្ឌ ច្បារអំពៅ រាជធានីភ្នំពេញ VAT :K007-902104377</t>
  </si>
  <si>
    <t>CLC0123873</t>
  </si>
  <si>
    <t>H-SRUN23873</t>
  </si>
  <si>
    <t>NEW CAR LEXUS RX350, 2022
NEW CAR LEXUS LX600, 2022</t>
  </si>
  <si>
    <t>1.CMAU7363620-40HC</t>
  </si>
  <si>
    <t>AUTO TRADE</t>
  </si>
  <si>
    <t>#31 ផ្លូវ P25 ភូមិ បឹងឈូក សង្កាត់ និរោធ ខណ្ឌ ច្បារអំពៅ រាជធានីភ្នំពេញ
VAT :K007-902104377</t>
  </si>
  <si>
    <t>KIM SRUN</t>
  </si>
  <si>
    <t>11.578325314877558, 104.91689997184871</t>
  </si>
  <si>
    <t>23006</t>
  </si>
  <si>
    <t>XDPV903117</t>
  </si>
  <si>
    <t>HUA RONG SENG INTERNATIONAL MINING CO.,LTD</t>
  </si>
  <si>
    <t>MR.KHEMARA</t>
  </si>
  <si>
    <t>EQUIPMENT AND ACCESSORIES</t>
  </si>
  <si>
    <t>77 PACKAGE(S)</t>
  </si>
  <si>
    <t>20ST
20ST</t>
  </si>
  <si>
    <t>MISHAN</t>
  </si>
  <si>
    <t>097 7978 632</t>
  </si>
  <si>
    <t>K009-902204536</t>
  </si>
  <si>
    <t>#14C2 ផ្លូវ លំ ភូមិ ព្រៃមូល សង្កាត់ ក្រាំងធ្នង់ ខណ្ឌ សែនសុខ រាជធានីភ្នំពេញ
 VAT :K009-902204536</t>
  </si>
  <si>
    <t>23007</t>
  </si>
  <si>
    <t>NSASHVG102463</t>
  </si>
  <si>
    <t>HF SPIRIT V.2302S</t>
  </si>
  <si>
    <t>07-01-2023</t>
  </si>
  <si>
    <t>760 PACKAGE(S)</t>
  </si>
  <si>
    <t>1.TRHU5629150/SITB087424</t>
  </si>
  <si>
    <t>230071</t>
  </si>
  <si>
    <t>NSASHVG102777</t>
  </si>
  <si>
    <t>2.TCKU6696812/SITB077114
3.SITU9065247/SITB079836</t>
  </si>
  <si>
    <t>3880 PACKAGE(S)</t>
  </si>
  <si>
    <t>230072</t>
  </si>
  <si>
    <t>NSASHVG102519</t>
  </si>
  <si>
    <t>4.BMOU6468053/SITB087896
5.TRHU5778025/SITB085319</t>
  </si>
  <si>
    <t>4330 PACKAGE(S)</t>
  </si>
  <si>
    <t>23008</t>
  </si>
  <si>
    <t>EGLV146201484621</t>
  </si>
  <si>
    <t>EVER CORE V.0245-053S</t>
  </si>
  <si>
    <t>09-01-2023</t>
  </si>
  <si>
    <t>1.TGBU5996110/EMCMTC5192</t>
  </si>
  <si>
    <t>235 CTNS</t>
  </si>
  <si>
    <t>23009</t>
  </si>
  <si>
    <t>HANSA BREITENBURG V.302N</t>
  </si>
  <si>
    <t>13-01-2023</t>
  </si>
  <si>
    <t>Used Car MGB, LHD, Gasoline, MY1974, 1800cc</t>
  </si>
  <si>
    <t>1.MSKU4473964/UL8954449</t>
  </si>
  <si>
    <t>1 Vehicle</t>
  </si>
  <si>
    <t>20 DRY</t>
  </si>
  <si>
    <t>1.CRSU1332222/C1156595
2.TRHU2682151/C1156594</t>
  </si>
  <si>
    <t>PHUOC LONG 6 V.02T5IECNC</t>
  </si>
  <si>
    <t>08-01-2023</t>
  </si>
  <si>
    <t>SITSKSVG393448</t>
  </si>
  <si>
    <t>23010</t>
  </si>
  <si>
    <t>ZG20230106</t>
  </si>
  <si>
    <t>NEW HONGQI CAR H9, MODEL YEAR 2022
NEW HONGQI CAR HS5,MODEL YEAR 2022</t>
  </si>
  <si>
    <t>1.TRHU6975332-40HC
2.TRHU5435290-40HC</t>
  </si>
  <si>
    <t>23011</t>
  </si>
  <si>
    <t>NSASHVG103324</t>
  </si>
  <si>
    <t>SITC HAIPHONG V.2302S</t>
  </si>
  <si>
    <t>14-01-2023</t>
  </si>
  <si>
    <t>1.SITU9102715/SITB076481</t>
  </si>
  <si>
    <t>230111</t>
  </si>
  <si>
    <t>NSASHVG103006</t>
  </si>
  <si>
    <t>1474 PACKAGE(S)</t>
  </si>
  <si>
    <t>230112</t>
  </si>
  <si>
    <t>NSASHVG103008</t>
  </si>
  <si>
    <t>2.SEGU5183109/SITB081140
3.TCNU3579951/SITB076486</t>
  </si>
  <si>
    <t>4.TRHU6948867/SITB076489
5.SEGU4777997/SITB079898</t>
  </si>
  <si>
    <t>2145 PACKAGE(S)</t>
  </si>
  <si>
    <t>23012</t>
  </si>
  <si>
    <t>SHAWD069887</t>
  </si>
  <si>
    <t>E230781997180001</t>
  </si>
  <si>
    <t>23013</t>
  </si>
  <si>
    <t>088 8772 209</t>
  </si>
  <si>
    <t>030598691</t>
  </si>
  <si>
    <t>DEAB SIYET</t>
  </si>
  <si>
    <t>ភេទប្រុស មានអត្តសញ្ញាណប័ណ្ណសញ្ជាតិខ្មែរលេខៈ 030598691 ជាប្រធានក្រុមហ៊ុន HUA RONG SENG INTERNATIONAL MINING CO.,LTD អត្តសញ្ញាណកម្មសារពើពន្ធ (VAT)លេខៈ K009-902204536 ទូរសព្ទ័លេខៈ 097 7978 632</t>
  </si>
  <si>
    <t>23014</t>
  </si>
  <si>
    <t>SHAWD069846</t>
  </si>
  <si>
    <t>20449283ETC</t>
  </si>
  <si>
    <t>NEWPORT CYPRESS 39 V.263W</t>
  </si>
  <si>
    <t>15-01-2023</t>
  </si>
  <si>
    <t>23015</t>
  </si>
  <si>
    <t>024C577372</t>
  </si>
  <si>
    <t>WAN HAI 216 V.S426</t>
  </si>
  <si>
    <t>1.WHLU5539212/WH1A147476</t>
  </si>
  <si>
    <t>820 PKGS</t>
  </si>
  <si>
    <t>23016</t>
  </si>
  <si>
    <t>OMPLCHS230001</t>
  </si>
  <si>
    <t>001/2023</t>
  </si>
  <si>
    <t>PINNCHAREON 2 V. 23002E</t>
  </si>
  <si>
    <t>CARTON BOX, PLASTIC WRAPPER, STICKER BARCODE, PAPER CORE</t>
  </si>
  <si>
    <t>E230781997180021</t>
  </si>
  <si>
    <t>SHAWD069857</t>
  </si>
  <si>
    <t>SCN221152</t>
  </si>
  <si>
    <t>E236120130050001</t>
  </si>
  <si>
    <t>TAN CANG 39 V.058W</t>
  </si>
  <si>
    <t>1.TCKU6825205/OOLHQC3186</t>
  </si>
  <si>
    <t>48 CARTONS</t>
  </si>
  <si>
    <t>PEUGEOT MOTORCYCLE TWEET 125CC, MY 2023</t>
  </si>
  <si>
    <t>23017</t>
  </si>
  <si>
    <t>ASIATIC SUN V.302S</t>
  </si>
  <si>
    <t>19-01-2023</t>
  </si>
  <si>
    <t>LED LIGHTS, WALLPAPER, COACH SCREW AND NEW PLASTIC TOYS</t>
  </si>
  <si>
    <t>1.MRSU3504341/ML-CN2224868</t>
  </si>
  <si>
    <t>23018</t>
  </si>
  <si>
    <t>NSASHVG104079</t>
  </si>
  <si>
    <t>SITC WENDE V.2302S</t>
  </si>
  <si>
    <t>21-01-2023</t>
  </si>
  <si>
    <t>1.BEAU6421112/SITB087422</t>
  </si>
  <si>
    <t>966 PACKAGE(S)</t>
  </si>
  <si>
    <t>230181</t>
  </si>
  <si>
    <t>NSASHVG103823B</t>
  </si>
  <si>
    <t>SITC DANANG V.2304S</t>
  </si>
  <si>
    <t>23-01-2023</t>
  </si>
  <si>
    <t>2.SITU9051259/SITB854206</t>
  </si>
  <si>
    <t>1173 PACKAGE(S)</t>
  </si>
  <si>
    <t>230182</t>
  </si>
  <si>
    <t>NSASHVG103788</t>
  </si>
  <si>
    <t>3.BEAU6446954/SITB080445</t>
  </si>
  <si>
    <t>23019</t>
  </si>
  <si>
    <t>GMD23HPHPNH0007</t>
  </si>
  <si>
    <t>20230112/VP-BJC-KH</t>
  </si>
  <si>
    <t>VN-KH 23/01/002692</t>
  </si>
  <si>
    <t>1.GMDU8191781-40HC, 2.GMDU8183209-40HC</t>
  </si>
  <si>
    <t>05861</t>
  </si>
  <si>
    <t>05875</t>
  </si>
  <si>
    <t>05892</t>
  </si>
  <si>
    <t>05966</t>
  </si>
  <si>
    <t>05967</t>
  </si>
  <si>
    <t>05939</t>
  </si>
  <si>
    <t>05926</t>
  </si>
  <si>
    <t>05956</t>
  </si>
  <si>
    <t>05957</t>
  </si>
  <si>
    <t>05988</t>
  </si>
  <si>
    <t>06057</t>
  </si>
  <si>
    <t>06031</t>
  </si>
  <si>
    <t>06062</t>
  </si>
  <si>
    <t>06063</t>
  </si>
  <si>
    <t>06138</t>
  </si>
  <si>
    <t>06172</t>
  </si>
  <si>
    <t>06173</t>
  </si>
  <si>
    <t>06161</t>
  </si>
  <si>
    <t>00007</t>
  </si>
  <si>
    <t>00004</t>
  </si>
  <si>
    <t>00018</t>
  </si>
  <si>
    <t>00085</t>
  </si>
  <si>
    <t>00243</t>
  </si>
  <si>
    <t>00092</t>
  </si>
  <si>
    <t>00093</t>
  </si>
  <si>
    <t>00198</t>
  </si>
  <si>
    <t>00192</t>
  </si>
  <si>
    <t>00219</t>
  </si>
  <si>
    <t>00231</t>
  </si>
  <si>
    <t>00220</t>
  </si>
  <si>
    <t>00221</t>
  </si>
  <si>
    <t>00260</t>
  </si>
  <si>
    <t>00291</t>
  </si>
  <si>
    <t>23020</t>
  </si>
  <si>
    <t>SHAWD069888</t>
  </si>
  <si>
    <t>23021</t>
  </si>
  <si>
    <t>164D500220</t>
  </si>
  <si>
    <t>WAN HAI 163 V.S410</t>
  </si>
  <si>
    <t>24-01-2023</t>
  </si>
  <si>
    <t>GLASS WOOL</t>
  </si>
  <si>
    <t>1.WHLU5611852/WHLP363828</t>
  </si>
  <si>
    <t>480 PACKAGE(S)</t>
  </si>
  <si>
    <t>មាត់ច្រកកំពង់ផែអន្តរជាតិភ្នំពេញ</t>
  </si>
  <si>
    <t>FOR CO CV</t>
  </si>
  <si>
    <t>កំពង់ផែអន្តរជាតិក្រុងព្រះសីហនុ</t>
  </si>
  <si>
    <t>បញ្ចេញទំនិញនៅមាត់ច្រកភណ្ឌាគារគយមានដែនកំណត់សុវណ្ណភូមិ</t>
  </si>
  <si>
    <t>បញ្ចេញទំនិញនៅមាត់ច្រកផែស្ងួតសុវណ្ណភូមិ</t>
  </si>
  <si>
    <t>NEW CAR MG RX8, 2023
NEW CAR MG 6, 2023
NEW CAR MG RX5, 2022
NEW CAR  MG HS, 2023</t>
  </si>
  <si>
    <t>20451324ETC</t>
  </si>
  <si>
    <t>23022</t>
  </si>
  <si>
    <t>23023</t>
  </si>
  <si>
    <t>103601SH102</t>
  </si>
  <si>
    <t>B221215A</t>
  </si>
  <si>
    <t>103601SH101</t>
  </si>
  <si>
    <t>B221215B</t>
  </si>
  <si>
    <t>New Dongfeng Wrecker Truck DFA5161XXYL10D8AC, 2023</t>
  </si>
  <si>
    <t>New Dongfeng Water Truck DFA1080L12D3, 2023</t>
  </si>
  <si>
    <t>E230781997180020</t>
  </si>
  <si>
    <t>23024</t>
  </si>
  <si>
    <t>MBL230100126</t>
  </si>
  <si>
    <t>1.GLDU9416453/EMCLDP7532</t>
  </si>
  <si>
    <t>NICE LOGISTICS</t>
  </si>
  <si>
    <t>EVER CORE V.0248-054S</t>
  </si>
  <si>
    <t>29-01-2023</t>
  </si>
  <si>
    <t>USED CAR LAMBORGHINI HURACAN LP610-4 SPYDER, MODEL YEAR 2016, LHD</t>
  </si>
  <si>
    <r>
      <rPr>
        <sz val="11"/>
        <color rgb="FFFF0000"/>
        <rFont val="Calibri"/>
        <family val="2"/>
        <scheme val="minor"/>
      </rPr>
      <t>1.BSIU9683081-40HQ</t>
    </r>
    <r>
      <rPr>
        <sz val="11"/>
        <color theme="1"/>
        <rFont val="Calibri"/>
        <family val="2"/>
        <scheme val="minor"/>
      </rPr>
      <t xml:space="preserve">
</t>
    </r>
    <r>
      <rPr>
        <sz val="11"/>
        <color rgb="FFFF0000"/>
        <rFont val="Calibri"/>
        <family val="2"/>
        <scheme val="minor"/>
      </rPr>
      <t>2.DFSU6538907-40HQ</t>
    </r>
    <r>
      <rPr>
        <sz val="11"/>
        <color theme="1"/>
        <rFont val="Calibri"/>
        <family val="2"/>
        <scheme val="minor"/>
      </rPr>
      <t xml:space="preserve">
</t>
    </r>
    <r>
      <rPr>
        <sz val="11"/>
        <color rgb="FFFF0000"/>
        <rFont val="Calibri"/>
        <family val="2"/>
        <scheme val="minor"/>
      </rPr>
      <t>3.GAOU6100179-40HQ</t>
    </r>
    <r>
      <rPr>
        <sz val="11"/>
        <color theme="1"/>
        <rFont val="Calibri"/>
        <family val="2"/>
        <scheme val="minor"/>
      </rPr>
      <t xml:space="preserve">
</t>
    </r>
    <r>
      <rPr>
        <sz val="11"/>
        <color rgb="FFFF0000"/>
        <rFont val="Calibri"/>
        <family val="2"/>
        <scheme val="minor"/>
      </rPr>
      <t>4.GAOU6135920-40HQ</t>
    </r>
    <r>
      <rPr>
        <sz val="11"/>
        <color theme="1"/>
        <rFont val="Calibri"/>
        <family val="2"/>
        <scheme val="minor"/>
      </rPr>
      <t xml:space="preserve">
</t>
    </r>
    <r>
      <rPr>
        <sz val="11"/>
        <color rgb="FFFF0000"/>
        <rFont val="Calibri"/>
        <family val="2"/>
        <scheme val="minor"/>
      </rPr>
      <t>5.GAOU6270323-40HQ</t>
    </r>
    <r>
      <rPr>
        <sz val="11"/>
        <color theme="1"/>
        <rFont val="Calibri"/>
        <family val="2"/>
        <scheme val="minor"/>
      </rPr>
      <t xml:space="preserve">
</t>
    </r>
    <r>
      <rPr>
        <sz val="11"/>
        <color rgb="FFFF0000"/>
        <rFont val="Calibri"/>
        <family val="2"/>
        <scheme val="minor"/>
      </rPr>
      <t>6.TCNU4340386-40HQ</t>
    </r>
    <r>
      <rPr>
        <sz val="11"/>
        <color theme="1"/>
        <rFont val="Calibri"/>
        <family val="2"/>
        <scheme val="minor"/>
      </rPr>
      <t xml:space="preserve">
</t>
    </r>
    <r>
      <rPr>
        <sz val="11"/>
        <color rgb="FFFF0000"/>
        <rFont val="Calibri"/>
        <family val="2"/>
        <scheme val="minor"/>
      </rPr>
      <t>7.TCNU6807130-40HQ</t>
    </r>
    <r>
      <rPr>
        <sz val="11"/>
        <color theme="1"/>
        <rFont val="Calibri"/>
        <family val="2"/>
        <scheme val="minor"/>
      </rPr>
      <t xml:space="preserve">
</t>
    </r>
    <r>
      <rPr>
        <sz val="11"/>
        <color rgb="FFFF0000"/>
        <rFont val="Calibri"/>
        <family val="2"/>
        <scheme val="minor"/>
      </rPr>
      <t>8.TEMU6678351-40HQ
9.TLLU8343168-40HQ</t>
    </r>
    <r>
      <rPr>
        <sz val="11"/>
        <color theme="1"/>
        <rFont val="Calibri"/>
        <family val="2"/>
        <scheme val="minor"/>
      </rPr>
      <t xml:space="preserve">
</t>
    </r>
    <r>
      <rPr>
        <sz val="11"/>
        <color rgb="FFFF0000"/>
        <rFont val="Calibri"/>
        <family val="2"/>
        <scheme val="minor"/>
      </rPr>
      <t>10.ZCSU7781081-40HQ</t>
    </r>
    <r>
      <rPr>
        <sz val="11"/>
        <color theme="1"/>
        <rFont val="Calibri"/>
        <family val="2"/>
        <scheme val="minor"/>
      </rPr>
      <t xml:space="preserve">
</t>
    </r>
    <r>
      <rPr>
        <sz val="11"/>
        <color rgb="FFFF0000"/>
        <rFont val="Calibri"/>
        <family val="2"/>
        <scheme val="minor"/>
      </rPr>
      <t>11.ZCSU7981937-40HQ</t>
    </r>
  </si>
  <si>
    <t>PHUOC LONG 6 V.217W</t>
  </si>
  <si>
    <t>27-01-2023</t>
  </si>
  <si>
    <t>23025</t>
  </si>
  <si>
    <t>23026</t>
  </si>
  <si>
    <t>23027</t>
  </si>
  <si>
    <t>SHAWD070073</t>
  </si>
  <si>
    <t>E230781997180049</t>
  </si>
  <si>
    <t>NEW CAR MAXUS V80, 2022</t>
  </si>
  <si>
    <t>SHAWD070070</t>
  </si>
  <si>
    <t>20452838A</t>
  </si>
  <si>
    <t>NEW ELECTRIC CAR MG MARVEL R DEL, 2023</t>
  </si>
  <si>
    <t>1.ZCSU8740805-40HQ</t>
  </si>
  <si>
    <t>SHAWD070101</t>
  </si>
  <si>
    <t>20452838B</t>
  </si>
  <si>
    <t>23028</t>
  </si>
  <si>
    <t>SHAWD069843</t>
  </si>
  <si>
    <t>E230781997180033</t>
  </si>
  <si>
    <r>
      <rPr>
        <sz val="11"/>
        <color rgb="FFFF0000"/>
        <rFont val="Calibri"/>
        <family val="2"/>
        <scheme val="minor"/>
      </rPr>
      <t>1.DFSU6679356-40HQ</t>
    </r>
    <r>
      <rPr>
        <sz val="11"/>
        <color theme="1"/>
        <rFont val="Calibri"/>
        <family val="2"/>
        <scheme val="minor"/>
      </rPr>
      <t xml:space="preserve">
</t>
    </r>
    <r>
      <rPr>
        <sz val="11"/>
        <color rgb="FFFF0000"/>
        <rFont val="Calibri"/>
        <family val="2"/>
        <scheme val="minor"/>
      </rPr>
      <t>2.IAAU1739788-40HQ</t>
    </r>
    <r>
      <rPr>
        <sz val="11"/>
        <color theme="1"/>
        <rFont val="Calibri"/>
        <family val="2"/>
        <scheme val="minor"/>
      </rPr>
      <t xml:space="preserve">
</t>
    </r>
    <r>
      <rPr>
        <sz val="11"/>
        <color rgb="FFFF0000"/>
        <rFont val="Calibri"/>
        <family val="2"/>
        <scheme val="minor"/>
      </rPr>
      <t>3.IAAU1754252-40HQ</t>
    </r>
    <r>
      <rPr>
        <sz val="11"/>
        <color theme="1"/>
        <rFont val="Calibri"/>
        <family val="2"/>
        <scheme val="minor"/>
      </rPr>
      <t xml:space="preserve">
</t>
    </r>
    <r>
      <rPr>
        <sz val="11"/>
        <color rgb="FFFF0000"/>
        <rFont val="Calibri"/>
        <family val="2"/>
        <scheme val="minor"/>
      </rPr>
      <t>4.IAAU1756804-40HQ</t>
    </r>
    <r>
      <rPr>
        <sz val="11"/>
        <color theme="1"/>
        <rFont val="Calibri"/>
        <family val="2"/>
        <scheme val="minor"/>
      </rPr>
      <t xml:space="preserve">
</t>
    </r>
    <r>
      <rPr>
        <sz val="11"/>
        <color rgb="FFFF0000"/>
        <rFont val="Calibri"/>
        <family val="2"/>
        <scheme val="minor"/>
      </rPr>
      <t>5.IAAU1759362-40HQ</t>
    </r>
    <r>
      <rPr>
        <sz val="11"/>
        <color theme="1"/>
        <rFont val="Calibri"/>
        <family val="2"/>
        <scheme val="minor"/>
      </rPr>
      <t xml:space="preserve">
</t>
    </r>
    <r>
      <rPr>
        <sz val="11"/>
        <color rgb="FFFF0000"/>
        <rFont val="Calibri"/>
        <family val="2"/>
        <scheme val="minor"/>
      </rPr>
      <t>6.IAAU1835523-40HQ</t>
    </r>
    <r>
      <rPr>
        <sz val="11"/>
        <color theme="1"/>
        <rFont val="Calibri"/>
        <family val="2"/>
        <scheme val="minor"/>
      </rPr>
      <t xml:space="preserve">
</t>
    </r>
    <r>
      <rPr>
        <sz val="11"/>
        <color rgb="FFFF0000"/>
        <rFont val="Calibri"/>
        <family val="2"/>
        <scheme val="minor"/>
      </rPr>
      <t>7.IAAU1895800-40HQ</t>
    </r>
    <r>
      <rPr>
        <sz val="11"/>
        <color theme="1"/>
        <rFont val="Calibri"/>
        <family val="2"/>
        <scheme val="minor"/>
      </rPr>
      <t xml:space="preserve">
</t>
    </r>
    <r>
      <rPr>
        <sz val="11"/>
        <color rgb="FFFF0000"/>
        <rFont val="Calibri"/>
        <family val="2"/>
        <scheme val="minor"/>
      </rPr>
      <t>8.IAAU1924533-40HQ</t>
    </r>
    <r>
      <rPr>
        <sz val="11"/>
        <color theme="1"/>
        <rFont val="Calibri"/>
        <family val="2"/>
        <scheme val="minor"/>
      </rPr>
      <t xml:space="preserve">
</t>
    </r>
    <r>
      <rPr>
        <sz val="11"/>
        <color rgb="FFFF0000"/>
        <rFont val="Calibri"/>
        <family val="2"/>
        <scheme val="minor"/>
      </rPr>
      <t>9.TCKU6110963-40HQ</t>
    </r>
    <r>
      <rPr>
        <sz val="11"/>
        <color theme="1"/>
        <rFont val="Calibri"/>
        <family val="2"/>
        <scheme val="minor"/>
      </rPr>
      <t xml:space="preserve">
</t>
    </r>
    <r>
      <rPr>
        <sz val="11"/>
        <color rgb="FFFF0000"/>
        <rFont val="Calibri"/>
        <family val="2"/>
        <scheme val="minor"/>
      </rPr>
      <t>10.TEMU6919443-40HQ</t>
    </r>
  </si>
  <si>
    <t>23029</t>
  </si>
  <si>
    <t>OMPLCHS230037</t>
  </si>
  <si>
    <t>003/2023</t>
  </si>
  <si>
    <t>D2023-0026873</t>
  </si>
  <si>
    <t>PINNCHAREON 2 V. 23004E</t>
  </si>
  <si>
    <t>1.TTNU9896365-40HC</t>
  </si>
  <si>
    <t>23030</t>
  </si>
  <si>
    <t>23031</t>
  </si>
  <si>
    <t>23032</t>
  </si>
  <si>
    <t>SHAWD070006</t>
  </si>
  <si>
    <t>20453871ETC</t>
  </si>
  <si>
    <t>NEW CAR MG ZS, 2023
NEW CAR  MG HS, 2023</t>
  </si>
  <si>
    <t>SHAWD070097</t>
  </si>
  <si>
    <t>NEW CAR MG RX5, 2023</t>
  </si>
  <si>
    <t>1.IAAU1915568-40HQ</t>
  </si>
  <si>
    <t>SHAWD070021</t>
  </si>
  <si>
    <t>E230781997180050</t>
  </si>
  <si>
    <r>
      <rPr>
        <sz val="11"/>
        <color rgb="FFFF0000"/>
        <rFont val="Calibri"/>
        <family val="2"/>
        <scheme val="minor"/>
      </rPr>
      <t>1.TCNU6393127-40HQ</t>
    </r>
    <r>
      <rPr>
        <sz val="11"/>
        <color theme="1"/>
        <rFont val="Calibri"/>
        <family val="2"/>
        <scheme val="minor"/>
      </rPr>
      <t xml:space="preserve">
</t>
    </r>
    <r>
      <rPr>
        <sz val="11"/>
        <color rgb="FFFF0000"/>
        <rFont val="Calibri"/>
        <family val="2"/>
        <scheme val="minor"/>
      </rPr>
      <t>2.TGBU2412208-20GP</t>
    </r>
    <r>
      <rPr>
        <sz val="11"/>
        <color theme="1"/>
        <rFont val="Calibri"/>
        <family val="2"/>
        <scheme val="minor"/>
      </rPr>
      <t xml:space="preserve">
</t>
    </r>
    <r>
      <rPr>
        <sz val="11"/>
        <color rgb="FFFF0000"/>
        <rFont val="Calibri"/>
        <family val="2"/>
        <scheme val="minor"/>
      </rPr>
      <t>3.TLLU4577316-40HQ</t>
    </r>
    <r>
      <rPr>
        <sz val="11"/>
        <color theme="1"/>
        <rFont val="Calibri"/>
        <family val="2"/>
        <scheme val="minor"/>
      </rPr>
      <t xml:space="preserve">
</t>
    </r>
    <r>
      <rPr>
        <sz val="11"/>
        <color rgb="FFFF0000"/>
        <rFont val="Calibri"/>
        <family val="2"/>
        <scheme val="minor"/>
      </rPr>
      <t>4.ZCSU6889153-40HQ</t>
    </r>
    <r>
      <rPr>
        <sz val="11"/>
        <color theme="1"/>
        <rFont val="Calibri"/>
        <family val="2"/>
        <scheme val="minor"/>
      </rPr>
      <t xml:space="preserve">
</t>
    </r>
    <r>
      <rPr>
        <sz val="11"/>
        <color rgb="FFFF0000"/>
        <rFont val="Calibri"/>
        <family val="2"/>
        <scheme val="minor"/>
      </rPr>
      <t>5.ZCSU7342746-40HQ</t>
    </r>
    <r>
      <rPr>
        <sz val="11"/>
        <color theme="1"/>
        <rFont val="Calibri"/>
        <family val="2"/>
        <scheme val="minor"/>
      </rPr>
      <t xml:space="preserve">
</t>
    </r>
    <r>
      <rPr>
        <sz val="11"/>
        <color rgb="FFFF0000"/>
        <rFont val="Calibri"/>
        <family val="2"/>
        <scheme val="minor"/>
      </rPr>
      <t>6.ZCSU7346660-40HQ</t>
    </r>
    <r>
      <rPr>
        <sz val="11"/>
        <color theme="1"/>
        <rFont val="Calibri"/>
        <family val="2"/>
        <scheme val="minor"/>
      </rPr>
      <t xml:space="preserve">
</t>
    </r>
    <r>
      <rPr>
        <sz val="11"/>
        <color rgb="FFFF0000"/>
        <rFont val="Calibri"/>
        <family val="2"/>
        <scheme val="minor"/>
      </rPr>
      <t>7.ZCSU7380089-40HQ</t>
    </r>
    <r>
      <rPr>
        <sz val="11"/>
        <color theme="1"/>
        <rFont val="Calibri"/>
        <family val="2"/>
        <scheme val="minor"/>
      </rPr>
      <t xml:space="preserve">
</t>
    </r>
    <r>
      <rPr>
        <sz val="11"/>
        <color rgb="FFFF0000"/>
        <rFont val="Calibri"/>
        <family val="2"/>
        <scheme val="minor"/>
      </rPr>
      <t>8.ZCSU7442766-40HQ</t>
    </r>
    <r>
      <rPr>
        <sz val="11"/>
        <color theme="1"/>
        <rFont val="Calibri"/>
        <family val="2"/>
        <scheme val="minor"/>
      </rPr>
      <t xml:space="preserve">
</t>
    </r>
    <r>
      <rPr>
        <sz val="11"/>
        <color rgb="FFFF0000"/>
        <rFont val="Calibri"/>
        <family val="2"/>
        <scheme val="minor"/>
      </rPr>
      <t>9.ZCSU7874902-40HQ</t>
    </r>
    <r>
      <rPr>
        <sz val="11"/>
        <color theme="1"/>
        <rFont val="Calibri"/>
        <family val="2"/>
        <scheme val="minor"/>
      </rPr>
      <t xml:space="preserve">
</t>
    </r>
    <r>
      <rPr>
        <sz val="11"/>
        <color rgb="FFFF0000"/>
        <rFont val="Calibri"/>
        <family val="2"/>
        <scheme val="minor"/>
      </rPr>
      <t>10.ZCSU8780027-40HQ</t>
    </r>
    <r>
      <rPr>
        <sz val="11"/>
        <color theme="1"/>
        <rFont val="Calibri"/>
        <family val="2"/>
        <scheme val="minor"/>
      </rPr>
      <t xml:space="preserve">
</t>
    </r>
    <r>
      <rPr>
        <sz val="11"/>
        <color rgb="FFFF0000"/>
        <rFont val="Calibri"/>
        <family val="2"/>
        <scheme val="minor"/>
      </rPr>
      <t>11.ZCSU8856077-40HQ</t>
    </r>
  </si>
  <si>
    <t>E230781997180051</t>
  </si>
  <si>
    <t>E230781997180052</t>
  </si>
  <si>
    <t>GLS 16 V.305N</t>
  </si>
  <si>
    <t>05-02-2023</t>
  </si>
  <si>
    <t>PHUOC LONG 10 V.200W</t>
  </si>
  <si>
    <t>06-02-2023</t>
  </si>
  <si>
    <t>NEWPORT CYPRESS 16 V.273W</t>
  </si>
  <si>
    <t>07-02-2023</t>
  </si>
  <si>
    <t>23033</t>
  </si>
  <si>
    <t>អាស័យដ្ឋាន:# បុរីពិភពថ្មីកួរស្រូវទី២ ផ្ទះលេខ៣២អា ជាន់ផ្ទាល់ដី ផ្លូវ១៩ ភូមិ ស្រីស្នំ សង្កាត់ ព្រែកកំពឹស ខណ្ឌ ដង្កោ រាជធានីភ្នំពេញ
VAT:  L006-902105683</t>
  </si>
  <si>
    <t>23034</t>
  </si>
  <si>
    <t>SHAWD070071</t>
  </si>
  <si>
    <t>20454798ETC</t>
  </si>
  <si>
    <r>
      <rPr>
        <sz val="11"/>
        <color rgb="FFFF0000"/>
        <rFont val="Calibri"/>
        <family val="2"/>
        <scheme val="minor"/>
      </rPr>
      <t>1.ZCSU7508098-40HQ</t>
    </r>
    <r>
      <rPr>
        <sz val="11"/>
        <color theme="1"/>
        <rFont val="Calibri"/>
        <family val="2"/>
        <scheme val="minor"/>
      </rPr>
      <t xml:space="preserve">
</t>
    </r>
    <r>
      <rPr>
        <sz val="11"/>
        <color rgb="FFFF0000"/>
        <rFont val="Calibri"/>
        <family val="2"/>
        <scheme val="minor"/>
      </rPr>
      <t>2.ZCSU7768921-40HQ
3.ZCSU8401843-40HQ</t>
    </r>
  </si>
  <si>
    <t>GMD23HPHPNH0012</t>
  </si>
  <si>
    <t>20230127/VP-BJC-KH</t>
  </si>
  <si>
    <t>VN-KH 23/01/004537</t>
  </si>
  <si>
    <t>PHUOC LONG 10 V.
200W</t>
  </si>
  <si>
    <t>1.GMDU8180534-40HC, 2.GMDU8186595-40HC</t>
  </si>
  <si>
    <t>23035</t>
  </si>
  <si>
    <t>NSASHVG104895</t>
  </si>
  <si>
    <t>SITC HAIPHONG V.2304S</t>
  </si>
  <si>
    <t>LED LIGHT, FIRE EXTINGUISHER, STEEL SQUARE TUBE, GLASS WOOL, MANHOLE COVER AND COACH SCREW</t>
  </si>
  <si>
    <t>1.TRHU6352857/SITB086027</t>
  </si>
  <si>
    <t>508 PACKAGE(S)</t>
  </si>
  <si>
    <t>16-02-2023</t>
  </si>
  <si>
    <t>23036</t>
  </si>
  <si>
    <t>XDPV903147</t>
  </si>
  <si>
    <t>1.TTNU3184569/P8790505</t>
  </si>
  <si>
    <t>20ST</t>
  </si>
  <si>
    <t>49 PACKAGE(S)</t>
  </si>
  <si>
    <t>TIAN JIN</t>
  </si>
  <si>
    <t>NEWPORT CYPRESS 16 V.274W</t>
  </si>
  <si>
    <t>17-02-2023</t>
  </si>
  <si>
    <r>
      <rPr>
        <sz val="11"/>
        <color rgb="FFFF0000"/>
        <rFont val="Calibri"/>
        <family val="2"/>
        <scheme val="minor"/>
      </rPr>
      <t>1.BHCU4999134-40HQ</t>
    </r>
    <r>
      <rPr>
        <sz val="11"/>
        <color theme="1"/>
        <rFont val="Calibri"/>
        <family val="2"/>
        <scheme val="minor"/>
      </rPr>
      <t xml:space="preserve">
2.IAAU1781026-40HQ
</t>
    </r>
    <r>
      <rPr>
        <sz val="11"/>
        <color rgb="FFFF0000"/>
        <rFont val="Calibri"/>
        <family val="2"/>
        <scheme val="minor"/>
      </rPr>
      <t>3.IAAU1827024-40HQ</t>
    </r>
    <r>
      <rPr>
        <sz val="11"/>
        <color theme="1"/>
        <rFont val="Calibri"/>
        <family val="2"/>
        <scheme val="minor"/>
      </rPr>
      <t xml:space="preserve">
</t>
    </r>
    <r>
      <rPr>
        <sz val="11"/>
        <color rgb="FFFF0000"/>
        <rFont val="Calibri"/>
        <family val="2"/>
        <scheme val="minor"/>
      </rPr>
      <t>4.IAAU1834949-40HQ</t>
    </r>
    <r>
      <rPr>
        <sz val="11"/>
        <color theme="1"/>
        <rFont val="Calibri"/>
        <family val="2"/>
        <scheme val="minor"/>
      </rPr>
      <t xml:space="preserve">
</t>
    </r>
    <r>
      <rPr>
        <sz val="11"/>
        <color rgb="FFFF0000"/>
        <rFont val="Calibri"/>
        <family val="2"/>
        <scheme val="minor"/>
      </rPr>
      <t>5.IAAU1855094-40HQ</t>
    </r>
    <r>
      <rPr>
        <sz val="11"/>
        <color theme="1"/>
        <rFont val="Calibri"/>
        <family val="2"/>
        <scheme val="minor"/>
      </rPr>
      <t xml:space="preserve">
</t>
    </r>
    <r>
      <rPr>
        <sz val="11"/>
        <color rgb="FFFF0000"/>
        <rFont val="Calibri"/>
        <family val="2"/>
        <scheme val="minor"/>
      </rPr>
      <t>6.IAAU1890536-40HQ</t>
    </r>
    <r>
      <rPr>
        <sz val="11"/>
        <color theme="1"/>
        <rFont val="Calibri"/>
        <family val="2"/>
        <scheme val="minor"/>
      </rPr>
      <t xml:space="preserve">
</t>
    </r>
    <r>
      <rPr>
        <sz val="11"/>
        <color rgb="FFFF0000"/>
        <rFont val="Calibri"/>
        <family val="2"/>
        <scheme val="minor"/>
      </rPr>
      <t>7.IAAU1932056-40HQ</t>
    </r>
    <r>
      <rPr>
        <sz val="11"/>
        <color theme="1"/>
        <rFont val="Calibri"/>
        <family val="2"/>
        <scheme val="minor"/>
      </rPr>
      <t xml:space="preserve">
</t>
    </r>
    <r>
      <rPr>
        <sz val="11"/>
        <color rgb="FFFF0000"/>
        <rFont val="Calibri"/>
        <family val="2"/>
        <scheme val="minor"/>
      </rPr>
      <t>8.IAAU1938460-40HQ</t>
    </r>
    <r>
      <rPr>
        <sz val="11"/>
        <color theme="1"/>
        <rFont val="Calibri"/>
        <family val="2"/>
        <scheme val="minor"/>
      </rPr>
      <t xml:space="preserve">
</t>
    </r>
    <r>
      <rPr>
        <sz val="11"/>
        <color rgb="FFFF0000"/>
        <rFont val="Calibri"/>
        <family val="2"/>
        <scheme val="minor"/>
      </rPr>
      <t>9.IAAU1940112-40HQ</t>
    </r>
    <r>
      <rPr>
        <sz val="11"/>
        <color theme="1"/>
        <rFont val="Calibri"/>
        <family val="2"/>
        <scheme val="minor"/>
      </rPr>
      <t xml:space="preserve">
</t>
    </r>
    <r>
      <rPr>
        <sz val="11"/>
        <color rgb="FFFF0000"/>
        <rFont val="Calibri"/>
        <family val="2"/>
        <scheme val="minor"/>
      </rPr>
      <t>10.IAAU1955160-40HQ</t>
    </r>
  </si>
  <si>
    <r>
      <t xml:space="preserve">1.BHCU4998098-40HQ
2.IAAU1691180-40HQ
</t>
    </r>
    <r>
      <rPr>
        <sz val="11"/>
        <color rgb="FFFF0000"/>
        <rFont val="Calibri"/>
        <family val="2"/>
        <scheme val="minor"/>
      </rPr>
      <t>3.IAAU1701627-40HQ</t>
    </r>
    <r>
      <rPr>
        <sz val="11"/>
        <color theme="1"/>
        <rFont val="Calibri"/>
        <family val="2"/>
        <scheme val="minor"/>
      </rPr>
      <t xml:space="preserve">
</t>
    </r>
    <r>
      <rPr>
        <sz val="11"/>
        <color rgb="FFFF0000"/>
        <rFont val="Calibri"/>
        <family val="2"/>
        <scheme val="minor"/>
      </rPr>
      <t>4.IAAU1742729-40HQ</t>
    </r>
    <r>
      <rPr>
        <sz val="11"/>
        <color theme="1"/>
        <rFont val="Calibri"/>
        <family val="2"/>
        <scheme val="minor"/>
      </rPr>
      <t xml:space="preserve">
</t>
    </r>
    <r>
      <rPr>
        <sz val="11"/>
        <color rgb="FFFF0000"/>
        <rFont val="Calibri"/>
        <family val="2"/>
        <scheme val="minor"/>
      </rPr>
      <t>5.IAAU1804040-40HQ</t>
    </r>
    <r>
      <rPr>
        <sz val="11"/>
        <color theme="1"/>
        <rFont val="Calibri"/>
        <family val="2"/>
        <scheme val="minor"/>
      </rPr>
      <t xml:space="preserve">
</t>
    </r>
    <r>
      <rPr>
        <sz val="11"/>
        <color rgb="FFFF0000"/>
        <rFont val="Calibri"/>
        <family val="2"/>
        <scheme val="minor"/>
      </rPr>
      <t>6.IAAU1808148-40HQ</t>
    </r>
    <r>
      <rPr>
        <sz val="11"/>
        <color theme="1"/>
        <rFont val="Calibri"/>
        <family val="2"/>
        <scheme val="minor"/>
      </rPr>
      <t xml:space="preserve">
</t>
    </r>
    <r>
      <rPr>
        <sz val="11"/>
        <color rgb="FFFF0000"/>
        <rFont val="Calibri"/>
        <family val="2"/>
        <scheme val="minor"/>
      </rPr>
      <t>7.IAAU1844799-40HQ</t>
    </r>
    <r>
      <rPr>
        <sz val="11"/>
        <color theme="1"/>
        <rFont val="Calibri"/>
        <family val="2"/>
        <scheme val="minor"/>
      </rPr>
      <t xml:space="preserve">
</t>
    </r>
    <r>
      <rPr>
        <sz val="11"/>
        <color rgb="FFFF0000"/>
        <rFont val="Calibri"/>
        <family val="2"/>
        <scheme val="minor"/>
      </rPr>
      <t>8.IAAU1846702-40HQ</t>
    </r>
    <r>
      <rPr>
        <sz val="11"/>
        <color theme="1"/>
        <rFont val="Calibri"/>
        <family val="2"/>
        <scheme val="minor"/>
      </rPr>
      <t xml:space="preserve">
</t>
    </r>
    <r>
      <rPr>
        <sz val="11"/>
        <color rgb="FFFF0000"/>
        <rFont val="Calibri"/>
        <family val="2"/>
        <scheme val="minor"/>
      </rPr>
      <t>9.IAAU1856280-40HQ</t>
    </r>
    <r>
      <rPr>
        <sz val="11"/>
        <color theme="1"/>
        <rFont val="Calibri"/>
        <family val="2"/>
        <scheme val="minor"/>
      </rPr>
      <t xml:space="preserve">
10.IAAU1873349-40HQ
</t>
    </r>
    <r>
      <rPr>
        <sz val="11"/>
        <color rgb="FFFF0000"/>
        <rFont val="Calibri"/>
        <family val="2"/>
        <scheme val="minor"/>
      </rPr>
      <t>11.IAAU1883774-40HQ</t>
    </r>
    <r>
      <rPr>
        <sz val="11"/>
        <color theme="1"/>
        <rFont val="Calibri"/>
        <family val="2"/>
        <scheme val="minor"/>
      </rPr>
      <t xml:space="preserve">
</t>
    </r>
    <r>
      <rPr>
        <sz val="11"/>
        <color rgb="FFFF0000"/>
        <rFont val="Calibri"/>
        <family val="2"/>
        <scheme val="minor"/>
      </rPr>
      <t>12.IAAU1888333-40HQ</t>
    </r>
    <r>
      <rPr>
        <sz val="11"/>
        <color theme="1"/>
        <rFont val="Calibri"/>
        <family val="2"/>
        <scheme val="minor"/>
      </rPr>
      <t xml:space="preserve">
</t>
    </r>
    <r>
      <rPr>
        <sz val="11"/>
        <color rgb="FFFF0000"/>
        <rFont val="Calibri"/>
        <family val="2"/>
        <scheme val="minor"/>
      </rPr>
      <t>13.IAAU1918021-40HQ</t>
    </r>
    <r>
      <rPr>
        <sz val="11"/>
        <color theme="1"/>
        <rFont val="Calibri"/>
        <family val="2"/>
        <scheme val="minor"/>
      </rPr>
      <t xml:space="preserve">
</t>
    </r>
    <r>
      <rPr>
        <sz val="11"/>
        <color rgb="FFFF0000"/>
        <rFont val="Calibri"/>
        <family val="2"/>
        <scheme val="minor"/>
      </rPr>
      <t>14.IAAU1920590-40HQ</t>
    </r>
    <r>
      <rPr>
        <sz val="11"/>
        <color theme="1"/>
        <rFont val="Calibri"/>
        <family val="2"/>
        <scheme val="minor"/>
      </rPr>
      <t xml:space="preserve">
</t>
    </r>
    <r>
      <rPr>
        <sz val="11"/>
        <color rgb="FFFF0000"/>
        <rFont val="Calibri"/>
        <family val="2"/>
        <scheme val="minor"/>
      </rPr>
      <t>15.IAAU1939596-40HQ</t>
    </r>
    <r>
      <rPr>
        <sz val="11"/>
        <color theme="1"/>
        <rFont val="Calibri"/>
        <family val="2"/>
        <scheme val="minor"/>
      </rPr>
      <t xml:space="preserve">
</t>
    </r>
    <r>
      <rPr>
        <sz val="11"/>
        <color rgb="FFFF0000"/>
        <rFont val="Calibri"/>
        <family val="2"/>
        <scheme val="minor"/>
      </rPr>
      <t>16.IAAU1949681-40HQ</t>
    </r>
    <r>
      <rPr>
        <sz val="11"/>
        <color theme="1"/>
        <rFont val="Calibri"/>
        <family val="2"/>
        <scheme val="minor"/>
      </rPr>
      <t xml:space="preserve">
17.IAAU1956612-40HQ
18.SEGU6701590-40HQ
</t>
    </r>
    <r>
      <rPr>
        <sz val="11"/>
        <color rgb="FFFF0000"/>
        <rFont val="Calibri"/>
        <family val="2"/>
        <scheme val="minor"/>
      </rPr>
      <t>19.SEGU6750824-40HQ</t>
    </r>
  </si>
  <si>
    <r>
      <t xml:space="preserve">1.BSIU9415900-40HQ
2.MAGU5598970-40HQ
</t>
    </r>
    <r>
      <rPr>
        <sz val="11"/>
        <color rgb="FFFF0000"/>
        <rFont val="Calibri"/>
        <family val="2"/>
        <scheme val="minor"/>
      </rPr>
      <t>3.TCNU4235879-40HQ</t>
    </r>
    <r>
      <rPr>
        <sz val="11"/>
        <color theme="1"/>
        <rFont val="Calibri"/>
        <family val="2"/>
        <scheme val="minor"/>
      </rPr>
      <t xml:space="preserve">
</t>
    </r>
    <r>
      <rPr>
        <sz val="11"/>
        <color rgb="FFFF0000"/>
        <rFont val="Calibri"/>
        <family val="2"/>
        <scheme val="minor"/>
      </rPr>
      <t>4.TCNU6813132-40HQ</t>
    </r>
    <r>
      <rPr>
        <sz val="11"/>
        <color theme="1"/>
        <rFont val="Calibri"/>
        <family val="2"/>
        <scheme val="minor"/>
      </rPr>
      <t xml:space="preserve">
</t>
    </r>
    <r>
      <rPr>
        <sz val="11"/>
        <color rgb="FFFF0000"/>
        <rFont val="Calibri"/>
        <family val="2"/>
        <scheme val="minor"/>
      </rPr>
      <t>5.TEMU7850676-40HQ</t>
    </r>
    <r>
      <rPr>
        <sz val="11"/>
        <color theme="1"/>
        <rFont val="Calibri"/>
        <family val="2"/>
        <scheme val="minor"/>
      </rPr>
      <t xml:space="preserve">
</t>
    </r>
    <r>
      <rPr>
        <sz val="11"/>
        <color rgb="FFFF0000"/>
        <rFont val="Calibri"/>
        <family val="2"/>
        <scheme val="minor"/>
      </rPr>
      <t>6.TGBU7244175-40HQ</t>
    </r>
    <r>
      <rPr>
        <sz val="11"/>
        <color theme="1"/>
        <rFont val="Calibri"/>
        <family val="2"/>
        <scheme val="minor"/>
      </rPr>
      <t xml:space="preserve">
</t>
    </r>
    <r>
      <rPr>
        <sz val="11"/>
        <color rgb="FFFF0000"/>
        <rFont val="Calibri"/>
        <family val="2"/>
        <scheme val="minor"/>
      </rPr>
      <t>7.TLLU5793726-40HQ</t>
    </r>
    <r>
      <rPr>
        <sz val="11"/>
        <color theme="1"/>
        <rFont val="Calibri"/>
        <family val="2"/>
        <scheme val="minor"/>
      </rPr>
      <t xml:space="preserve">
8.ZCSU6757310-40HQ
</t>
    </r>
    <r>
      <rPr>
        <sz val="11"/>
        <color rgb="FFFF0000"/>
        <rFont val="Calibri"/>
        <family val="2"/>
        <scheme val="minor"/>
      </rPr>
      <t>9.ZCSU6764747-40HQ</t>
    </r>
    <r>
      <rPr>
        <sz val="11"/>
        <color theme="1"/>
        <rFont val="Calibri"/>
        <family val="2"/>
        <scheme val="minor"/>
      </rPr>
      <t xml:space="preserve">
</t>
    </r>
    <r>
      <rPr>
        <sz val="11"/>
        <color rgb="FFFF0000"/>
        <rFont val="Calibri"/>
        <family val="2"/>
        <scheme val="minor"/>
      </rPr>
      <t>10.ZCSU7042585-40HQ</t>
    </r>
    <r>
      <rPr>
        <sz val="11"/>
        <color theme="1"/>
        <rFont val="Calibri"/>
        <family val="2"/>
        <scheme val="minor"/>
      </rPr>
      <t xml:space="preserve">
</t>
    </r>
    <r>
      <rPr>
        <sz val="11"/>
        <color rgb="FFFF0000"/>
        <rFont val="Calibri"/>
        <family val="2"/>
        <scheme val="minor"/>
      </rPr>
      <t>11.ZCSU7565441-40HQ</t>
    </r>
    <r>
      <rPr>
        <sz val="11"/>
        <color theme="1"/>
        <rFont val="Calibri"/>
        <family val="2"/>
        <scheme val="minor"/>
      </rPr>
      <t xml:space="preserve">
12.ZCSU7567932-40HQ</t>
    </r>
  </si>
  <si>
    <r>
      <rPr>
        <sz val="11"/>
        <color rgb="FFFF0000"/>
        <rFont val="Calibri"/>
        <family val="2"/>
        <scheme val="minor"/>
      </rPr>
      <t>1.BSIU9707007-40HQ</t>
    </r>
    <r>
      <rPr>
        <sz val="11"/>
        <color theme="1"/>
        <rFont val="Calibri"/>
        <family val="2"/>
        <scheme val="minor"/>
      </rPr>
      <t xml:space="preserve">
</t>
    </r>
    <r>
      <rPr>
        <sz val="11"/>
        <color rgb="FFFF0000"/>
        <rFont val="Calibri"/>
        <family val="2"/>
        <scheme val="minor"/>
      </rPr>
      <t>2.CAIU8378920-40HQ</t>
    </r>
    <r>
      <rPr>
        <sz val="11"/>
        <color theme="1"/>
        <rFont val="Calibri"/>
        <family val="2"/>
        <scheme val="minor"/>
      </rPr>
      <t xml:space="preserve">
</t>
    </r>
    <r>
      <rPr>
        <sz val="11"/>
        <color rgb="FFFF0000"/>
        <rFont val="Calibri"/>
        <family val="2"/>
        <scheme val="minor"/>
      </rPr>
      <t>3.DFSU6942040-40HQ</t>
    </r>
    <r>
      <rPr>
        <sz val="11"/>
        <color theme="1"/>
        <rFont val="Calibri"/>
        <family val="2"/>
        <scheme val="minor"/>
      </rPr>
      <t xml:space="preserve">
</t>
    </r>
    <r>
      <rPr>
        <sz val="11"/>
        <color rgb="FFFF0000"/>
        <rFont val="Calibri"/>
        <family val="2"/>
        <scheme val="minor"/>
      </rPr>
      <t xml:space="preserve">4.FSCU8170656-40HQ
</t>
    </r>
    <r>
      <rPr>
        <sz val="11"/>
        <color theme="1"/>
        <rFont val="Calibri"/>
        <family val="2"/>
        <scheme val="minor"/>
      </rPr>
      <t xml:space="preserve">5.TCNU2754622-40HQ
</t>
    </r>
    <r>
      <rPr>
        <sz val="11"/>
        <color rgb="FFFF0000"/>
        <rFont val="Calibri"/>
        <family val="2"/>
        <scheme val="minor"/>
      </rPr>
      <t>6.TEMU6747658-40HQ</t>
    </r>
    <r>
      <rPr>
        <sz val="11"/>
        <color theme="1"/>
        <rFont val="Calibri"/>
        <family val="2"/>
        <scheme val="minor"/>
      </rPr>
      <t xml:space="preserve">
</t>
    </r>
    <r>
      <rPr>
        <sz val="11"/>
        <color rgb="FFFF0000"/>
        <rFont val="Calibri"/>
        <family val="2"/>
        <scheme val="minor"/>
      </rPr>
      <t>7.TGHU6611149-40HQ</t>
    </r>
    <r>
      <rPr>
        <sz val="11"/>
        <color theme="1"/>
        <rFont val="Calibri"/>
        <family val="2"/>
        <scheme val="minor"/>
      </rPr>
      <t xml:space="preserve">
8.TGHU9617813-40HQ
9.TLLU5797927-40HQ
</t>
    </r>
    <r>
      <rPr>
        <sz val="11"/>
        <color rgb="FFFF0000"/>
        <rFont val="Calibri"/>
        <family val="2"/>
        <scheme val="minor"/>
      </rPr>
      <t>10.ZCSU6938387-40HQ</t>
    </r>
    <r>
      <rPr>
        <sz val="11"/>
        <color theme="1"/>
        <rFont val="Calibri"/>
        <family val="2"/>
        <scheme val="minor"/>
      </rPr>
      <t xml:space="preserve">
</t>
    </r>
    <r>
      <rPr>
        <sz val="11"/>
        <color rgb="FFFF0000"/>
        <rFont val="Calibri"/>
        <family val="2"/>
        <scheme val="minor"/>
      </rPr>
      <t>11.ZCSU7141042-40HQ</t>
    </r>
    <r>
      <rPr>
        <sz val="11"/>
        <color theme="1"/>
        <rFont val="Calibri"/>
        <family val="2"/>
        <scheme val="minor"/>
      </rPr>
      <t xml:space="preserve">
</t>
    </r>
    <r>
      <rPr>
        <sz val="11"/>
        <color rgb="FFFF0000"/>
        <rFont val="Calibri"/>
        <family val="2"/>
        <scheme val="minor"/>
      </rPr>
      <t>12.ZCSU7614356-40HQ</t>
    </r>
    <r>
      <rPr>
        <sz val="11"/>
        <color theme="1"/>
        <rFont val="Calibri"/>
        <family val="2"/>
        <scheme val="minor"/>
      </rPr>
      <t xml:space="preserve">
</t>
    </r>
    <r>
      <rPr>
        <sz val="11"/>
        <color rgb="FFFF0000"/>
        <rFont val="Calibri"/>
        <family val="2"/>
        <scheme val="minor"/>
      </rPr>
      <t>13.ZCSU7780892-40HQ</t>
    </r>
    <r>
      <rPr>
        <sz val="11"/>
        <color theme="1"/>
        <rFont val="Calibri"/>
        <family val="2"/>
        <scheme val="minor"/>
      </rPr>
      <t xml:space="preserve">
</t>
    </r>
    <r>
      <rPr>
        <sz val="11"/>
        <color rgb="FFFF0000"/>
        <rFont val="Calibri"/>
        <family val="2"/>
        <scheme val="minor"/>
      </rPr>
      <t>14.ZCSU7795568-40HQ</t>
    </r>
  </si>
  <si>
    <t>E230781997180068</t>
  </si>
  <si>
    <t>23037</t>
  </si>
  <si>
    <t>COAU8029837910</t>
  </si>
  <si>
    <t>23-Y-EV67-002</t>
  </si>
  <si>
    <t>NEW DONGFENG BRAND CAR FENGON GLORY 500, 2022
NEW DONGFENG BRAND CAR FENGON GLORY 600, 2023</t>
  </si>
  <si>
    <t>23038</t>
  </si>
  <si>
    <t>SHAWD070128</t>
  </si>
  <si>
    <t>23039</t>
  </si>
  <si>
    <t>103681SH305A</t>
  </si>
  <si>
    <t>SORN HORNG ENTERPRISE CO.,LTD</t>
  </si>
  <si>
    <t>ST20230516-1</t>
  </si>
  <si>
    <t>NEW EXCAVATOR MATADOR ME375PRO, 2023
NEW ROAD ROLLER MATADOR MC22M-PRO, 2023</t>
  </si>
  <si>
    <t>SHANDONG SHANTUI</t>
  </si>
  <si>
    <t>SORN HORNG</t>
  </si>
  <si>
    <t>#G5A1 ផ្លូវ បេតុង ភូមិ ទួលពង្រ សង្កាត់ ចោមចៅទី១ ខណ្ឌ ពោធិ៍សែនជ័យ រាជធានីភ្នំពេញ
VAT: K010 902204642</t>
  </si>
  <si>
    <t>#G5A1 ផ្លូវ បេតុង ភូមិ ទួលពង្រ សង្កាត់ ចោមចៅទី១ ខណ្ឌ ពោធិ៍សែនជ័យ រាជធានីភ្នំពេញ VAT: K010 902204642</t>
  </si>
  <si>
    <t>K010 902204642</t>
  </si>
  <si>
    <t>101205869</t>
  </si>
  <si>
    <t>096 291 7646</t>
  </si>
  <si>
    <t>ភេទស្រី មានអត្តសញ្ញាណប័ណ្ណសញ្ជាតិខ្មែរលេខៈ 101205869 មានតួនាទី ប្រធានក្រុមហ៊ុន SORN HORNG ENTERPRISE CO.,LTD អត្តសញ្ញាណកម្មសារពើពន្ធ (VAT)លេខៈ K010 902204642</t>
  </si>
  <si>
    <t>E230781997180071</t>
  </si>
  <si>
    <r>
      <rPr>
        <sz val="11"/>
        <color rgb="FFFF0000"/>
        <rFont val="Calibri"/>
        <family val="2"/>
        <scheme val="minor"/>
      </rPr>
      <t>1.CAIU9775794-40HQ</t>
    </r>
    <r>
      <rPr>
        <sz val="11"/>
        <color theme="1"/>
        <rFont val="Calibri"/>
        <family val="2"/>
        <scheme val="minor"/>
      </rPr>
      <t xml:space="preserve">
</t>
    </r>
    <r>
      <rPr>
        <sz val="11"/>
        <color rgb="FFFF0000"/>
        <rFont val="Calibri"/>
        <family val="2"/>
        <scheme val="minor"/>
      </rPr>
      <t>2.IAAU1694810-40HQ</t>
    </r>
    <r>
      <rPr>
        <sz val="11"/>
        <color theme="1"/>
        <rFont val="Calibri"/>
        <family val="2"/>
        <scheme val="minor"/>
      </rPr>
      <t xml:space="preserve">
</t>
    </r>
    <r>
      <rPr>
        <sz val="11"/>
        <color rgb="FFFF0000"/>
        <rFont val="Calibri"/>
        <family val="2"/>
        <scheme val="minor"/>
      </rPr>
      <t>3.IAAU1731128-40HQ</t>
    </r>
    <r>
      <rPr>
        <sz val="11"/>
        <color theme="1"/>
        <rFont val="Calibri"/>
        <family val="2"/>
        <scheme val="minor"/>
      </rPr>
      <t xml:space="preserve">
</t>
    </r>
    <r>
      <rPr>
        <sz val="11"/>
        <color rgb="FFFF0000"/>
        <rFont val="Calibri"/>
        <family val="2"/>
        <scheme val="minor"/>
      </rPr>
      <t>4.IAAU1751382-40HQ</t>
    </r>
    <r>
      <rPr>
        <sz val="11"/>
        <color theme="1"/>
        <rFont val="Calibri"/>
        <family val="2"/>
        <scheme val="minor"/>
      </rPr>
      <t xml:space="preserve">
</t>
    </r>
    <r>
      <rPr>
        <sz val="11"/>
        <color rgb="FFFF0000"/>
        <rFont val="Calibri"/>
        <family val="2"/>
        <scheme val="minor"/>
      </rPr>
      <t>5.IAAU1760039-40HQ</t>
    </r>
    <r>
      <rPr>
        <sz val="11"/>
        <color theme="1"/>
        <rFont val="Calibri"/>
        <family val="2"/>
        <scheme val="minor"/>
      </rPr>
      <t xml:space="preserve">
</t>
    </r>
    <r>
      <rPr>
        <sz val="11"/>
        <color rgb="FFFF0000"/>
        <rFont val="Calibri"/>
        <family val="2"/>
        <scheme val="minor"/>
      </rPr>
      <t>6.IAAU1779060-40HQ</t>
    </r>
    <r>
      <rPr>
        <sz val="11"/>
        <color theme="1"/>
        <rFont val="Calibri"/>
        <family val="2"/>
        <scheme val="minor"/>
      </rPr>
      <t xml:space="preserve">
</t>
    </r>
    <r>
      <rPr>
        <sz val="11"/>
        <color rgb="FFFF0000"/>
        <rFont val="Calibri"/>
        <family val="2"/>
        <scheme val="minor"/>
      </rPr>
      <t>7.IAAU1795708-40HQ</t>
    </r>
    <r>
      <rPr>
        <sz val="11"/>
        <color theme="1"/>
        <rFont val="Calibri"/>
        <family val="2"/>
        <scheme val="minor"/>
      </rPr>
      <t xml:space="preserve">
</t>
    </r>
    <r>
      <rPr>
        <sz val="11"/>
        <color rgb="FFFF0000"/>
        <rFont val="Calibri"/>
        <family val="2"/>
        <scheme val="minor"/>
      </rPr>
      <t>8.IAAU1810628-40HQ</t>
    </r>
    <r>
      <rPr>
        <sz val="11"/>
        <color theme="1"/>
        <rFont val="Calibri"/>
        <family val="2"/>
        <scheme val="minor"/>
      </rPr>
      <t xml:space="preserve">
</t>
    </r>
    <r>
      <rPr>
        <sz val="11"/>
        <color rgb="FFFF0000"/>
        <rFont val="Calibri"/>
        <family val="2"/>
        <scheme val="minor"/>
      </rPr>
      <t>9.IAAU1843724-40HQ
10.IAAU1859042-40HQ</t>
    </r>
    <r>
      <rPr>
        <sz val="11"/>
        <color theme="1"/>
        <rFont val="Calibri"/>
        <family val="2"/>
        <scheme val="minor"/>
      </rPr>
      <t xml:space="preserve">
</t>
    </r>
    <r>
      <rPr>
        <sz val="11"/>
        <color rgb="FFFF0000"/>
        <rFont val="Calibri"/>
        <family val="2"/>
        <scheme val="minor"/>
      </rPr>
      <t>11.IAAU1874617-40HQ</t>
    </r>
    <r>
      <rPr>
        <sz val="11"/>
        <color theme="1"/>
        <rFont val="Calibri"/>
        <family val="2"/>
        <scheme val="minor"/>
      </rPr>
      <t xml:space="preserve">
</t>
    </r>
    <r>
      <rPr>
        <sz val="11"/>
        <color rgb="FFFF0000"/>
        <rFont val="Calibri"/>
        <family val="2"/>
        <scheme val="minor"/>
      </rPr>
      <t>12.IAAU1892101-40HQ</t>
    </r>
    <r>
      <rPr>
        <sz val="11"/>
        <color theme="1"/>
        <rFont val="Calibri"/>
        <family val="2"/>
        <scheme val="minor"/>
      </rPr>
      <t xml:space="preserve">
</t>
    </r>
    <r>
      <rPr>
        <sz val="11"/>
        <color rgb="FFFF0000"/>
        <rFont val="Calibri"/>
        <family val="2"/>
        <scheme val="minor"/>
      </rPr>
      <t>13.IAAU1903021-40HQ</t>
    </r>
    <r>
      <rPr>
        <sz val="11"/>
        <color theme="1"/>
        <rFont val="Calibri"/>
        <family val="2"/>
        <scheme val="minor"/>
      </rPr>
      <t xml:space="preserve">
</t>
    </r>
    <r>
      <rPr>
        <sz val="11"/>
        <color rgb="FFFF0000"/>
        <rFont val="Calibri"/>
        <family val="2"/>
        <scheme val="minor"/>
      </rPr>
      <t>14.IAAU1929812-40HQ</t>
    </r>
    <r>
      <rPr>
        <sz val="11"/>
        <color theme="1"/>
        <rFont val="Calibri"/>
        <family val="2"/>
        <scheme val="minor"/>
      </rPr>
      <t xml:space="preserve">
</t>
    </r>
    <r>
      <rPr>
        <sz val="11"/>
        <color rgb="FFFF0000"/>
        <rFont val="Calibri"/>
        <family val="2"/>
        <scheme val="minor"/>
      </rPr>
      <t>15.IAAU1934547-40HQ</t>
    </r>
    <r>
      <rPr>
        <sz val="11"/>
        <color theme="1"/>
        <rFont val="Calibri"/>
        <family val="2"/>
        <scheme val="minor"/>
      </rPr>
      <t xml:space="preserve">
</t>
    </r>
    <r>
      <rPr>
        <sz val="11"/>
        <color rgb="FFFF0000"/>
        <rFont val="Calibri"/>
        <family val="2"/>
        <scheme val="minor"/>
      </rPr>
      <t>16.SEKU4118818-40HQ</t>
    </r>
    <r>
      <rPr>
        <sz val="11"/>
        <color theme="1"/>
        <rFont val="Calibri"/>
        <family val="2"/>
        <scheme val="minor"/>
      </rPr>
      <t xml:space="preserve">
</t>
    </r>
    <r>
      <rPr>
        <sz val="11"/>
        <color rgb="FFFF0000"/>
        <rFont val="Calibri"/>
        <family val="2"/>
        <scheme val="minor"/>
      </rPr>
      <t>17.SEKU4121508-40HQ</t>
    </r>
    <r>
      <rPr>
        <sz val="11"/>
        <color theme="1"/>
        <rFont val="Calibri"/>
        <family val="2"/>
        <scheme val="minor"/>
      </rPr>
      <t xml:space="preserve">
</t>
    </r>
    <r>
      <rPr>
        <sz val="11"/>
        <color rgb="FFFF0000"/>
        <rFont val="Calibri"/>
        <family val="2"/>
        <scheme val="minor"/>
      </rPr>
      <t>18.TCLU7839303-40HQ
19.TCNU3697759-40HQ</t>
    </r>
    <r>
      <rPr>
        <sz val="11"/>
        <color theme="1"/>
        <rFont val="Calibri"/>
        <family val="2"/>
        <scheme val="minor"/>
      </rPr>
      <t xml:space="preserve">
</t>
    </r>
    <r>
      <rPr>
        <sz val="11"/>
        <color rgb="FFFF0000"/>
        <rFont val="Calibri"/>
        <family val="2"/>
        <scheme val="minor"/>
      </rPr>
      <t>20.TCNU3731621-40HQ</t>
    </r>
  </si>
  <si>
    <t>E230781997180066</t>
  </si>
  <si>
    <t>E230781997180034</t>
  </si>
  <si>
    <t>NEWPORT CYPRESS 19
V.274W</t>
  </si>
  <si>
    <t>25-02-2023</t>
  </si>
  <si>
    <t>23040</t>
  </si>
  <si>
    <t>EGLV146300077624</t>
  </si>
  <si>
    <t>EVER CONCERT V.0253-023S</t>
  </si>
  <si>
    <t>01-03-2023</t>
  </si>
  <si>
    <t>PLYWOOD WITH FORMICA</t>
  </si>
  <si>
    <t>1.EGHU9251951/EMCQJX3212</t>
  </si>
  <si>
    <t>539 CTNS</t>
  </si>
  <si>
    <t>23041</t>
  </si>
  <si>
    <t>SSNSHVG105992</t>
  </si>
  <si>
    <t>INSIGHT V.2302S</t>
  </si>
  <si>
    <t>WALLPAPER, NEW PLASTIC TOYS, PAPER BAG AND BUILDING MATERIALS</t>
  </si>
  <si>
    <t>1.TGBU7828116/SITB087665</t>
  </si>
  <si>
    <t>800 PACKAGE(S)</t>
  </si>
  <si>
    <t>230411</t>
  </si>
  <si>
    <t>NSASHVG106254</t>
  </si>
  <si>
    <t>2.TLLU7730650/SITB078869</t>
  </si>
  <si>
    <t>230412</t>
  </si>
  <si>
    <t>SITSKSVG403341</t>
  </si>
  <si>
    <t>3.TGBU7834063/SITB308581</t>
  </si>
  <si>
    <t>230413</t>
  </si>
  <si>
    <t>NSASHVG106329</t>
  </si>
  <si>
    <t>HAIAN BELL V.2306S</t>
  </si>
  <si>
    <t>4.TGBU7832604/SITA068303</t>
  </si>
  <si>
    <t>23042</t>
  </si>
  <si>
    <t>SHAWD070129</t>
  </si>
  <si>
    <t>20457594ETC</t>
  </si>
  <si>
    <t>E230781997180083</t>
  </si>
  <si>
    <t>1.CAIU4333568-40HQ	
2.DRYU9329812-40HQ	
3.FSCU8179798-40HQ	
4.GAOU6106074-40HQ	
5.JXLU7841956-40HQ	
6.MAGU5427690-40HQ
7.SEGU5282101-40HQ	
8.TEMU7387200-40HQ	
9.TGBU5760090-40HQ	
10.TLLU4444822-40HQ	
11.ZCSU7364679-40HQ
12.ZCSU7540572-40HQ
13.ZCSU8746146-40HQ
14.ZCSU8880005-40HQ</t>
  </si>
  <si>
    <t>23043</t>
  </si>
  <si>
    <t>SHAWD070152</t>
  </si>
  <si>
    <t>E230781997180082</t>
  </si>
  <si>
    <t>NEW CAR MG RX5, 23023</t>
  </si>
  <si>
    <r>
      <rPr>
        <sz val="11"/>
        <color rgb="FFFF0000"/>
        <rFont val="Calibri"/>
        <family val="2"/>
        <scheme val="minor"/>
      </rPr>
      <t>1.CSNU7335412/40HQ</t>
    </r>
    <r>
      <rPr>
        <sz val="11"/>
        <color theme="1"/>
        <rFont val="Calibri"/>
        <family val="2"/>
        <scheme val="minor"/>
      </rPr>
      <t xml:space="preserve">
</t>
    </r>
    <r>
      <rPr>
        <sz val="11"/>
        <color rgb="FFFF0000"/>
        <rFont val="Calibri"/>
        <family val="2"/>
        <scheme val="minor"/>
      </rPr>
      <t>2.TCNU3648271/40HQ</t>
    </r>
    <r>
      <rPr>
        <sz val="11"/>
        <color theme="1"/>
        <rFont val="Calibri"/>
        <family val="2"/>
        <scheme val="minor"/>
      </rPr>
      <t xml:space="preserve">
</t>
    </r>
    <r>
      <rPr>
        <sz val="11"/>
        <color rgb="FFFF0000"/>
        <rFont val="Calibri"/>
        <family val="2"/>
        <scheme val="minor"/>
      </rPr>
      <t>3.CSNU7943829/40HQ</t>
    </r>
  </si>
  <si>
    <r>
      <rPr>
        <sz val="11"/>
        <color rgb="FFFF0000"/>
        <rFont val="Calibri"/>
        <family val="2"/>
        <scheme val="minor"/>
      </rPr>
      <t>1.IAAU1701210-40HQ</t>
    </r>
    <r>
      <rPr>
        <sz val="11"/>
        <color theme="1"/>
        <rFont val="Calibri"/>
        <family val="2"/>
        <scheme val="minor"/>
      </rPr>
      <t xml:space="preserve">
</t>
    </r>
    <r>
      <rPr>
        <sz val="11"/>
        <color rgb="FFFF0000"/>
        <rFont val="Calibri"/>
        <family val="2"/>
        <scheme val="minor"/>
      </rPr>
      <t>2.IAAU1812908-40HQ</t>
    </r>
    <r>
      <rPr>
        <sz val="11"/>
        <color theme="1"/>
        <rFont val="Calibri"/>
        <family val="2"/>
        <scheme val="minor"/>
      </rPr>
      <t xml:space="preserve">
</t>
    </r>
    <r>
      <rPr>
        <sz val="11"/>
        <color rgb="FFFF0000"/>
        <rFont val="Calibri"/>
        <family val="2"/>
        <scheme val="minor"/>
      </rPr>
      <t>3.IAAU1832587-40HQ</t>
    </r>
    <r>
      <rPr>
        <sz val="11"/>
        <color theme="1"/>
        <rFont val="Calibri"/>
        <family val="2"/>
        <scheme val="minor"/>
      </rPr>
      <t xml:space="preserve">
</t>
    </r>
    <r>
      <rPr>
        <sz val="11"/>
        <color rgb="FFFF0000"/>
        <rFont val="Calibri"/>
        <family val="2"/>
        <scheme val="minor"/>
      </rPr>
      <t>4.IAAU1855345-40HQ</t>
    </r>
    <r>
      <rPr>
        <sz val="11"/>
        <color theme="1"/>
        <rFont val="Calibri"/>
        <family val="2"/>
        <scheme val="minor"/>
      </rPr>
      <t xml:space="preserve">
</t>
    </r>
    <r>
      <rPr>
        <sz val="11"/>
        <color rgb="FFFF0000"/>
        <rFont val="Calibri"/>
        <family val="2"/>
        <scheme val="minor"/>
      </rPr>
      <t>5.IAAU1906566-40HQ</t>
    </r>
    <r>
      <rPr>
        <sz val="11"/>
        <color theme="1"/>
        <rFont val="Calibri"/>
        <family val="2"/>
        <scheme val="minor"/>
      </rPr>
      <t xml:space="preserve">
</t>
    </r>
    <r>
      <rPr>
        <sz val="11"/>
        <color rgb="FFFF0000"/>
        <rFont val="Calibri"/>
        <family val="2"/>
        <scheme val="minor"/>
      </rPr>
      <t>6.IAAU1912553-40HQ</t>
    </r>
    <r>
      <rPr>
        <sz val="11"/>
        <color theme="1"/>
        <rFont val="Calibri"/>
        <family val="2"/>
        <scheme val="minor"/>
      </rPr>
      <t xml:space="preserve">
</t>
    </r>
    <r>
      <rPr>
        <sz val="11"/>
        <color rgb="FFFF0000"/>
        <rFont val="Calibri"/>
        <family val="2"/>
        <scheme val="minor"/>
      </rPr>
      <t>7.IAAU1913610-40HQ</t>
    </r>
    <r>
      <rPr>
        <sz val="11"/>
        <color theme="1"/>
        <rFont val="Calibri"/>
        <family val="2"/>
        <scheme val="minor"/>
      </rPr>
      <t xml:space="preserve">
</t>
    </r>
    <r>
      <rPr>
        <sz val="11"/>
        <color rgb="FFFF0000"/>
        <rFont val="Calibri"/>
        <family val="2"/>
        <scheme val="minor"/>
      </rPr>
      <t>8.IAAU1918309-40HQ</t>
    </r>
    <r>
      <rPr>
        <sz val="11"/>
        <color theme="1"/>
        <rFont val="Calibri"/>
        <family val="2"/>
        <scheme val="minor"/>
      </rPr>
      <t xml:space="preserve">
</t>
    </r>
    <r>
      <rPr>
        <sz val="11"/>
        <color rgb="FFFF0000"/>
        <rFont val="Calibri"/>
        <family val="2"/>
        <scheme val="minor"/>
      </rPr>
      <t>9.IAAU1944571-40HQ</t>
    </r>
    <r>
      <rPr>
        <sz val="11"/>
        <color theme="1"/>
        <rFont val="Calibri"/>
        <family val="2"/>
        <scheme val="minor"/>
      </rPr>
      <t xml:space="preserve">
</t>
    </r>
    <r>
      <rPr>
        <sz val="11"/>
        <color rgb="FFFF0000"/>
        <rFont val="Calibri"/>
        <family val="2"/>
        <scheme val="minor"/>
      </rPr>
      <t>10.IAAU1948181-40HQ</t>
    </r>
    <r>
      <rPr>
        <sz val="11"/>
        <color theme="1"/>
        <rFont val="Calibri"/>
        <family val="2"/>
        <scheme val="minor"/>
      </rPr>
      <t xml:space="preserve">
</t>
    </r>
    <r>
      <rPr>
        <sz val="11"/>
        <color rgb="FFFF0000"/>
        <rFont val="Calibri"/>
        <family val="2"/>
        <scheme val="minor"/>
      </rPr>
      <t>11.SEGU6720120-40HQ</t>
    </r>
    <r>
      <rPr>
        <sz val="11"/>
        <color theme="1"/>
        <rFont val="Calibri"/>
        <family val="2"/>
        <scheme val="minor"/>
      </rPr>
      <t xml:space="preserve">
</t>
    </r>
    <r>
      <rPr>
        <sz val="11"/>
        <color rgb="FFFF0000"/>
        <rFont val="Calibri"/>
        <family val="2"/>
        <scheme val="minor"/>
      </rPr>
      <t>12.SEKU4124298-40HQ</t>
    </r>
    <r>
      <rPr>
        <sz val="11"/>
        <color theme="1"/>
        <rFont val="Calibri"/>
        <family val="2"/>
        <scheme val="minor"/>
      </rPr>
      <t xml:space="preserve">
</t>
    </r>
    <r>
      <rPr>
        <sz val="11"/>
        <color rgb="FFFF0000"/>
        <rFont val="Calibri"/>
        <family val="2"/>
        <scheme val="minor"/>
      </rPr>
      <t>13.TCKU6097500-40HQ</t>
    </r>
    <r>
      <rPr>
        <sz val="11"/>
        <color theme="1"/>
        <rFont val="Calibri"/>
        <family val="2"/>
        <scheme val="minor"/>
      </rPr>
      <t xml:space="preserve">
</t>
    </r>
    <r>
      <rPr>
        <sz val="11"/>
        <color rgb="FFFF0000"/>
        <rFont val="Calibri"/>
        <family val="2"/>
        <scheme val="minor"/>
      </rPr>
      <t>14.TCLU6349960-40HQ</t>
    </r>
  </si>
  <si>
    <t>23044</t>
  </si>
  <si>
    <t>23045</t>
  </si>
  <si>
    <t>GMD23HPHPNH0024</t>
  </si>
  <si>
    <t>1.GMDU8183240-40HC, 2.GMDU8189315-40HC</t>
  </si>
  <si>
    <t>OMPLCH230069</t>
  </si>
  <si>
    <t>004/2023</t>
  </si>
  <si>
    <t>PINNVAREE V.23009E</t>
  </si>
  <si>
    <t>07-03-2023</t>
  </si>
  <si>
    <t>06-03-2023</t>
  </si>
  <si>
    <t>CARTON BOX, PLASTIC WRAPPER, SPARE PART</t>
  </si>
  <si>
    <t>1.TCKU9303523-40HC</t>
  </si>
  <si>
    <t>PHUOC LONG36
V.327W</t>
  </si>
  <si>
    <t>04-03-2023</t>
  </si>
  <si>
    <t>128 ROLLS</t>
  </si>
  <si>
    <t>20230223/VP-BJC-KH</t>
  </si>
  <si>
    <t>VN-KH 23/01/008777</t>
  </si>
  <si>
    <t>23046</t>
  </si>
  <si>
    <t>YMLUI241093244</t>
  </si>
  <si>
    <t>SU8910135JJ-23</t>
  </si>
  <si>
    <t>23047</t>
  </si>
  <si>
    <t>1.BMOU5115196-40HQ
2.BSIU9831168-40HQ
3.YMLU8831895-40HQ
4.YMMU6134703-40HQ</t>
  </si>
  <si>
    <t>COAU8029839910</t>
  </si>
  <si>
    <t>2022JL500B</t>
  </si>
  <si>
    <t>NEW JAC CARGO LIGHT TRUCK C350 HFC1071L1K, 2023
NEW JAC CARGO LIGHT TRUCK N500 HFC1090L1KT, 2023</t>
  </si>
  <si>
    <t>JMC TRUCK N601 JX1043DB2 CHASSIS WITHOUT CARRIAGE, 2023</t>
  </si>
  <si>
    <t>1.DFSU6074597-40HQ</t>
  </si>
  <si>
    <t>GLS 16 V.
309N</t>
  </si>
  <si>
    <t>PHUOC LONG 10 V.
204W</t>
  </si>
  <si>
    <t>23048</t>
  </si>
  <si>
    <t>DO MARYNOEL</t>
  </si>
  <si>
    <t>ភេទស្រី មានអត្តសញ្ញាណប័ណ្ណសញ្ជាតិខ្មែរលេខៈ 011199507 មានតួនាទី ប្រធានក្រុមហ៊ុន HS MOTOR CO.,LTD អត្តសញ្ញាណកម្មសារពើពន្ធ (VAT)លេខៈ K005 902205145</t>
  </si>
  <si>
    <t>HS MOTOR CO.,LTD</t>
  </si>
  <si>
    <t>#98 ផ្លូវ 110 ភូមិ 6 សង្កាត់ ទឹកល្អក់ទី១ ខណ្ឌ ទួលគោក រាជធានីភ្នំពេញ
VAT: K005 902205145</t>
  </si>
  <si>
    <t>#98 ផ្លូវ 110 ភូមិ 6 សង្កាត់ ទឹកល្អក់ទី១ ខណ្ឌ ទួលគោក រាជធានីភ្នំពេញ VAT: K005 902205145</t>
  </si>
  <si>
    <t>K005 902205145</t>
  </si>
  <si>
    <t>011199507</t>
  </si>
  <si>
    <t>015 707 091</t>
  </si>
  <si>
    <t>CHENG JIUSI</t>
  </si>
  <si>
    <t>ភេទប្រុស ដែលមានលិខិតឆ្លងដែនលេខៈ EE1326007 ជាប្រធានក្រុមហ៊ុន GTV MOTOR CO.,LTD អត្តសញ្ញាណកម្មសារពើពន្ធ (VAT)លេខៈ L001-902203582</t>
  </si>
  <si>
    <t>GTV MOTOR CO.,LTD</t>
  </si>
  <si>
    <t>ផ្លូវជាតិលេខ២ ភូមិស្រុកធំ ឃុំជើងកើប ស្រុកកណ្ដាលស្ទឹង ខេត្តកណ្ដាល
VAT: L001-902203582</t>
  </si>
  <si>
    <t>ផ្លូវជាតិលេខ២ ភូមិស្រុកធំ ឃុំជើងកើប ស្រុកកណ្ដាលស្ទឹង ខេត្តកណ្ដាល VAT: L001-902203582</t>
  </si>
  <si>
    <t>EE1326007</t>
  </si>
  <si>
    <t>L001-902203582</t>
  </si>
  <si>
    <t>SITGSHSVQ116612</t>
  </si>
  <si>
    <t>2022FAW0850E04</t>
  </si>
  <si>
    <t>NEW JETTA BRAND CAR VS5, 2023</t>
  </si>
  <si>
    <t>FAW-V</t>
  </si>
  <si>
    <t>GTV</t>
  </si>
  <si>
    <t>04474</t>
  </si>
  <si>
    <t>04620</t>
  </si>
  <si>
    <t>23049</t>
  </si>
  <si>
    <t>SHAWD070255</t>
  </si>
  <si>
    <t>NEW CAR MG RX5 1.5T, 2023</t>
  </si>
  <si>
    <t>23050</t>
  </si>
  <si>
    <t>SHAWD070163</t>
  </si>
  <si>
    <t>23051</t>
  </si>
  <si>
    <t>SHAWD070203</t>
  </si>
  <si>
    <t>NEW CAR MAXUS T60 2.8T AT LUX, 2023</t>
  </si>
  <si>
    <t>23052</t>
  </si>
  <si>
    <t>SHAWD070254</t>
  </si>
  <si>
    <t>23053</t>
  </si>
  <si>
    <t>SHAWD070175</t>
  </si>
  <si>
    <t>TCLU8602229-40HQ (PART OF)</t>
  </si>
  <si>
    <t>E230781997180103</t>
  </si>
  <si>
    <t>20458887ETC</t>
  </si>
  <si>
    <t>E230781997180104</t>
  </si>
  <si>
    <t>E230781997180115</t>
  </si>
  <si>
    <t>20460321ETC</t>
  </si>
  <si>
    <t>E230781997180102</t>
  </si>
  <si>
    <t>20460319A</t>
  </si>
  <si>
    <t>E230781997180131</t>
  </si>
  <si>
    <r>
      <rPr>
        <sz val="11"/>
        <color rgb="FFFF0000"/>
        <rFont val="Calibri"/>
        <family val="2"/>
        <scheme val="minor"/>
      </rPr>
      <t>1.BMOU4764204-40HQ</t>
    </r>
    <r>
      <rPr>
        <sz val="11"/>
        <color theme="1"/>
        <rFont val="Calibri"/>
        <family val="2"/>
        <scheme val="minor"/>
      </rPr>
      <t xml:space="preserve">
</t>
    </r>
    <r>
      <rPr>
        <sz val="11"/>
        <color rgb="FFFF0000"/>
        <rFont val="Calibri"/>
        <family val="2"/>
        <scheme val="minor"/>
      </rPr>
      <t>2.CAIU7057479-40HQ</t>
    </r>
    <r>
      <rPr>
        <sz val="11"/>
        <color theme="1"/>
        <rFont val="Calibri"/>
        <family val="2"/>
        <scheme val="minor"/>
      </rPr>
      <t xml:space="preserve">
</t>
    </r>
    <r>
      <rPr>
        <sz val="11"/>
        <color rgb="FFFF0000"/>
        <rFont val="Calibri"/>
        <family val="2"/>
        <scheme val="minor"/>
      </rPr>
      <t>3.DRYU9609069-40HQ</t>
    </r>
    <r>
      <rPr>
        <sz val="11"/>
        <color theme="1"/>
        <rFont val="Calibri"/>
        <family val="2"/>
        <scheme val="minor"/>
      </rPr>
      <t xml:space="preserve">
</t>
    </r>
    <r>
      <rPr>
        <sz val="11"/>
        <color rgb="FFFF0000"/>
        <rFont val="Calibri"/>
        <family val="2"/>
        <scheme val="minor"/>
      </rPr>
      <t>4.UESU4695727-40HQ</t>
    </r>
    <r>
      <rPr>
        <sz val="11"/>
        <color theme="1"/>
        <rFont val="Calibri"/>
        <family val="2"/>
        <scheme val="minor"/>
      </rPr>
      <t xml:space="preserve">
</t>
    </r>
    <r>
      <rPr>
        <sz val="11"/>
        <color rgb="FFFF0000"/>
        <rFont val="Calibri"/>
        <family val="2"/>
        <scheme val="minor"/>
      </rPr>
      <t>5.ZCSU7301095-40HQ</t>
    </r>
    <r>
      <rPr>
        <sz val="11"/>
        <color theme="1"/>
        <rFont val="Calibri"/>
        <family val="2"/>
        <scheme val="minor"/>
      </rPr>
      <t xml:space="preserve">
</t>
    </r>
    <r>
      <rPr>
        <sz val="11"/>
        <color rgb="FFFF0000"/>
        <rFont val="Calibri"/>
        <family val="2"/>
        <scheme val="minor"/>
      </rPr>
      <t>6.ZCSU7664803-40HQ</t>
    </r>
  </si>
  <si>
    <t>00325</t>
  </si>
  <si>
    <t>00316</t>
  </si>
  <si>
    <t>00364</t>
  </si>
  <si>
    <t>00365</t>
  </si>
  <si>
    <t>00382</t>
  </si>
  <si>
    <t>00446</t>
  </si>
  <si>
    <t>00445</t>
  </si>
  <si>
    <t>00447</t>
  </si>
  <si>
    <t>00462</t>
  </si>
  <si>
    <t>00495</t>
  </si>
  <si>
    <t>00496</t>
  </si>
  <si>
    <t>00497</t>
  </si>
  <si>
    <t>00638</t>
  </si>
  <si>
    <t>00587</t>
  </si>
  <si>
    <t>00654</t>
  </si>
  <si>
    <t>00752</t>
  </si>
  <si>
    <t>00753</t>
  </si>
  <si>
    <t>00754</t>
  </si>
  <si>
    <t>00811</t>
  </si>
  <si>
    <t>00825</t>
  </si>
  <si>
    <t>00877</t>
  </si>
  <si>
    <t>00925</t>
  </si>
  <si>
    <t>00939</t>
  </si>
  <si>
    <t>00978</t>
  </si>
  <si>
    <t>01053</t>
  </si>
  <si>
    <t>01087</t>
  </si>
  <si>
    <t>01088</t>
  </si>
  <si>
    <t>23054</t>
  </si>
  <si>
    <t>A56DX05500</t>
  </si>
  <si>
    <t>NEW ELECTRIC CAR EAGLE EG6088K02, 2023
NEW ELECTRIC CAR EAGLE EG6118KA02, 2023</t>
  </si>
  <si>
    <t>HK XYU TRADE</t>
  </si>
  <si>
    <t>GLS 16 V.311N</t>
  </si>
  <si>
    <t>20-03-2023</t>
  </si>
  <si>
    <t>XYU-TFM20230001</t>
  </si>
  <si>
    <t>1.IAAU1923223/IAAG452039</t>
  </si>
  <si>
    <t>23055</t>
  </si>
  <si>
    <t>23056</t>
  </si>
  <si>
    <t>AHHF334190</t>
  </si>
  <si>
    <t>2022FAW0890E01</t>
  </si>
  <si>
    <t>NEW CAR JETTA  VS5, 2023</t>
  </si>
  <si>
    <t>SHAWD070158</t>
  </si>
  <si>
    <t>KH-TF2201</t>
  </si>
  <si>
    <t xml:space="preserve">NEW ELECTRIC MOTORCYCLE VMOTO SOCO CUX, 1600W, MY 2023
NEW ELECTRIC MOTORCYCLE VMOTO SOCO CU MINI, 600W, MY 2023
NEW ELECTRIC MOTORCYCLE VMOTO SOCO CPX, 4000W, MY 2023
NEW ELECTRIC MOTORCYCLE VMOTO SOCO TC, 1900W, MY 2023
NEW ELECTRIC MOTORCYCLE VMOTO SOCO F01, 3500W, MY 2023
</t>
  </si>
  <si>
    <t>1.TCKU1641479/A4220689661</t>
  </si>
  <si>
    <t>12 CARTONS</t>
  </si>
  <si>
    <t>NANJING VMOTO</t>
  </si>
  <si>
    <t>2 PACKAGES</t>
  </si>
  <si>
    <t>24-03-2023</t>
  </si>
  <si>
    <t>PHUOC LONG 10 V.207W</t>
  </si>
  <si>
    <t>28-03-2023</t>
  </si>
  <si>
    <t>23057</t>
  </si>
  <si>
    <t>GMD23HPHPNH0032</t>
  </si>
  <si>
    <t>1.GMDU8185834 / 40HC, 2.GMDU8183770 / 40HC, 3.GMDU8181525 / 40HC, 4.GMDU8188089 / 40HC</t>
  </si>
  <si>
    <t>153 ROLLS</t>
  </si>
  <si>
    <r>
      <rPr>
        <sz val="11"/>
        <color rgb="FFFF0000"/>
        <rFont val="Calibri"/>
        <family val="2"/>
        <scheme val="minor"/>
      </rPr>
      <t>1.CAAU6316504-40HC</t>
    </r>
    <r>
      <rPr>
        <sz val="11"/>
        <color theme="1"/>
        <rFont val="Calibri"/>
        <family val="2"/>
        <scheme val="minor"/>
      </rPr>
      <t xml:space="preserve">
</t>
    </r>
    <r>
      <rPr>
        <sz val="11"/>
        <color rgb="FFFF0000"/>
        <rFont val="Calibri"/>
        <family val="2"/>
        <scheme val="minor"/>
      </rPr>
      <t>2.FFAU1136761-40HC</t>
    </r>
    <r>
      <rPr>
        <sz val="11"/>
        <color theme="1"/>
        <rFont val="Calibri"/>
        <family val="2"/>
        <scheme val="minor"/>
      </rPr>
      <t xml:space="preserve">
</t>
    </r>
    <r>
      <rPr>
        <sz val="11"/>
        <color rgb="FFFF0000"/>
        <rFont val="Calibri"/>
        <family val="2"/>
        <scheme val="minor"/>
      </rPr>
      <t>3.GAOU6824805-40HC</t>
    </r>
    <r>
      <rPr>
        <sz val="11"/>
        <color theme="1"/>
        <rFont val="Calibri"/>
        <family val="2"/>
        <scheme val="minor"/>
      </rPr>
      <t xml:space="preserve">
</t>
    </r>
    <r>
      <rPr>
        <sz val="11"/>
        <color rgb="FFFF0000"/>
        <rFont val="Calibri"/>
        <family val="2"/>
        <scheme val="minor"/>
      </rPr>
      <t>4.SEGU4289272-40HC</t>
    </r>
    <r>
      <rPr>
        <sz val="11"/>
        <color theme="1"/>
        <rFont val="Calibri"/>
        <family val="2"/>
        <scheme val="minor"/>
      </rPr>
      <t xml:space="preserve">
</t>
    </r>
    <r>
      <rPr>
        <sz val="11"/>
        <color rgb="FFFF0000"/>
        <rFont val="Calibri"/>
        <family val="2"/>
        <scheme val="minor"/>
      </rPr>
      <t>5.SEGU6705661-40HC
6.TCKU7164861-40HC</t>
    </r>
    <r>
      <rPr>
        <sz val="11"/>
        <color theme="1"/>
        <rFont val="Calibri"/>
        <family val="2"/>
        <scheme val="minor"/>
      </rPr>
      <t xml:space="preserve">
</t>
    </r>
    <r>
      <rPr>
        <sz val="11"/>
        <color rgb="FFFF0000"/>
        <rFont val="Calibri"/>
        <family val="2"/>
        <scheme val="minor"/>
      </rPr>
      <t>7.TEMU6697372-40HC</t>
    </r>
    <r>
      <rPr>
        <sz val="11"/>
        <color theme="1"/>
        <rFont val="Calibri"/>
        <family val="2"/>
        <scheme val="minor"/>
      </rPr>
      <t xml:space="preserve">
</t>
    </r>
    <r>
      <rPr>
        <sz val="11"/>
        <color rgb="FFFF0000"/>
        <rFont val="Calibri"/>
        <family val="2"/>
        <scheme val="minor"/>
      </rPr>
      <t>8.TGBU7824390-40HC</t>
    </r>
  </si>
  <si>
    <r>
      <rPr>
        <sz val="11"/>
        <color rgb="FFFF0000"/>
        <rFont val="Calibri"/>
        <family val="2"/>
        <scheme val="minor"/>
      </rPr>
      <t>1.FCIU9043533-40HQ</t>
    </r>
    <r>
      <rPr>
        <sz val="11"/>
        <color theme="1"/>
        <rFont val="Calibri"/>
        <family val="2"/>
        <scheme val="minor"/>
      </rPr>
      <t xml:space="preserve">
</t>
    </r>
    <r>
      <rPr>
        <sz val="11"/>
        <color rgb="FFFF0000"/>
        <rFont val="Calibri"/>
        <family val="2"/>
        <scheme val="minor"/>
      </rPr>
      <t>2.TCLU8602229-40HQ</t>
    </r>
  </si>
  <si>
    <r>
      <rPr>
        <sz val="11"/>
        <color rgb="FFFF0000"/>
        <rFont val="Calibri"/>
        <family val="2"/>
        <scheme val="minor"/>
      </rPr>
      <t>1.TCNU4407659-40HQ</t>
    </r>
    <r>
      <rPr>
        <sz val="11"/>
        <color theme="1"/>
        <rFont val="Calibri"/>
        <family val="2"/>
        <scheme val="minor"/>
      </rPr>
      <t xml:space="preserve">
</t>
    </r>
    <r>
      <rPr>
        <sz val="11"/>
        <color rgb="FFFF0000"/>
        <rFont val="Calibri"/>
        <family val="2"/>
        <scheme val="minor"/>
      </rPr>
      <t>2.TCNU5409553-40HQ</t>
    </r>
    <r>
      <rPr>
        <sz val="11"/>
        <color theme="1"/>
        <rFont val="Calibri"/>
        <family val="2"/>
        <scheme val="minor"/>
      </rPr>
      <t xml:space="preserve">
</t>
    </r>
    <r>
      <rPr>
        <sz val="11"/>
        <color rgb="FFFF0000"/>
        <rFont val="Calibri"/>
        <family val="2"/>
        <scheme val="minor"/>
      </rPr>
      <t>3.TCNU8770338-40HQ</t>
    </r>
    <r>
      <rPr>
        <sz val="11"/>
        <color theme="1"/>
        <rFont val="Calibri"/>
        <family val="2"/>
        <scheme val="minor"/>
      </rPr>
      <t xml:space="preserve">
</t>
    </r>
    <r>
      <rPr>
        <sz val="11"/>
        <color rgb="FFFF0000"/>
        <rFont val="Calibri"/>
        <family val="2"/>
        <scheme val="minor"/>
      </rPr>
      <t>4.TEMU7315520-40HQ</t>
    </r>
  </si>
  <si>
    <r>
      <rPr>
        <sz val="11"/>
        <color rgb="FFFF0000"/>
        <rFont val="Calibri"/>
        <family val="2"/>
        <scheme val="minor"/>
      </rPr>
      <t>1.JXLU7495180-40HQ</t>
    </r>
    <r>
      <rPr>
        <sz val="11"/>
        <color theme="1"/>
        <rFont val="Calibri"/>
        <family val="2"/>
        <scheme val="minor"/>
      </rPr>
      <t xml:space="preserve">
</t>
    </r>
    <r>
      <rPr>
        <sz val="11"/>
        <color rgb="FFFF0000"/>
        <rFont val="Calibri"/>
        <family val="2"/>
        <scheme val="minor"/>
      </rPr>
      <t>2.TCNU4860140-40HQ</t>
    </r>
    <r>
      <rPr>
        <sz val="11"/>
        <color theme="1"/>
        <rFont val="Calibri"/>
        <family val="2"/>
        <scheme val="minor"/>
      </rPr>
      <t xml:space="preserve">
</t>
    </r>
    <r>
      <rPr>
        <sz val="11"/>
        <color rgb="FFFF0000"/>
        <rFont val="Calibri"/>
        <family val="2"/>
        <scheme val="minor"/>
      </rPr>
      <t>3.TCNU5367170-40HQ</t>
    </r>
    <r>
      <rPr>
        <sz val="11"/>
        <color theme="1"/>
        <rFont val="Calibri"/>
        <family val="2"/>
        <scheme val="minor"/>
      </rPr>
      <t xml:space="preserve">
</t>
    </r>
    <r>
      <rPr>
        <sz val="11"/>
        <color rgb="FFFF0000"/>
        <rFont val="Calibri"/>
        <family val="2"/>
        <scheme val="minor"/>
      </rPr>
      <t>4.TCNU5775700-40HQ</t>
    </r>
    <r>
      <rPr>
        <sz val="11"/>
        <color theme="1"/>
        <rFont val="Calibri"/>
        <family val="2"/>
        <scheme val="minor"/>
      </rPr>
      <t xml:space="preserve">
</t>
    </r>
    <r>
      <rPr>
        <sz val="11"/>
        <color rgb="FFFF0000"/>
        <rFont val="Calibri"/>
        <family val="2"/>
        <scheme val="minor"/>
      </rPr>
      <t>5.TGBU5765533-40HQ</t>
    </r>
    <r>
      <rPr>
        <sz val="11"/>
        <color theme="1"/>
        <rFont val="Calibri"/>
        <family val="2"/>
        <scheme val="minor"/>
      </rPr>
      <t xml:space="preserve">
</t>
    </r>
    <r>
      <rPr>
        <sz val="11"/>
        <color rgb="FFFF0000"/>
        <rFont val="Calibri"/>
        <family val="2"/>
        <scheme val="minor"/>
      </rPr>
      <t>6.TGBU7262728-40HQ</t>
    </r>
    <r>
      <rPr>
        <sz val="11"/>
        <color theme="1"/>
        <rFont val="Calibri"/>
        <family val="2"/>
        <scheme val="minor"/>
      </rPr>
      <t xml:space="preserve">
</t>
    </r>
    <r>
      <rPr>
        <sz val="11"/>
        <color rgb="FFFF0000"/>
        <rFont val="Calibri"/>
        <family val="2"/>
        <scheme val="minor"/>
      </rPr>
      <t>7.ZCSU6517433-40HQ</t>
    </r>
    <r>
      <rPr>
        <sz val="11"/>
        <color theme="1"/>
        <rFont val="Calibri"/>
        <family val="2"/>
        <scheme val="minor"/>
      </rPr>
      <t xml:space="preserve">
</t>
    </r>
    <r>
      <rPr>
        <sz val="11"/>
        <color rgb="FFFF0000"/>
        <rFont val="Calibri"/>
        <family val="2"/>
        <scheme val="minor"/>
      </rPr>
      <t>8.ZCSU6678119-40HQ</t>
    </r>
    <r>
      <rPr>
        <sz val="11"/>
        <color theme="1"/>
        <rFont val="Calibri"/>
        <family val="2"/>
        <scheme val="minor"/>
      </rPr>
      <t xml:space="preserve">
</t>
    </r>
    <r>
      <rPr>
        <sz val="11"/>
        <color rgb="FFFF0000"/>
        <rFont val="Calibri"/>
        <family val="2"/>
        <scheme val="minor"/>
      </rPr>
      <t>9.ZCSU7680430-40HQ</t>
    </r>
    <r>
      <rPr>
        <sz val="11"/>
        <color theme="1"/>
        <rFont val="Calibri"/>
        <family val="2"/>
        <scheme val="minor"/>
      </rPr>
      <t xml:space="preserve">
</t>
    </r>
    <r>
      <rPr>
        <sz val="11"/>
        <color rgb="FFFF0000"/>
        <rFont val="Calibri"/>
        <family val="2"/>
        <scheme val="minor"/>
      </rPr>
      <t>10.ZCSU8683496-40HQ</t>
    </r>
  </si>
  <si>
    <r>
      <rPr>
        <sz val="11"/>
        <color rgb="FFFF0000"/>
        <rFont val="Calibri"/>
        <family val="2"/>
        <scheme val="minor"/>
      </rPr>
      <t>1.GCXU5008408-40HQ</t>
    </r>
    <r>
      <rPr>
        <sz val="11"/>
        <color theme="1"/>
        <rFont val="Calibri"/>
        <family val="2"/>
        <scheme val="minor"/>
      </rPr>
      <t xml:space="preserve">
</t>
    </r>
    <r>
      <rPr>
        <sz val="11"/>
        <color rgb="FFFF0000"/>
        <rFont val="Calibri"/>
        <family val="2"/>
        <scheme val="minor"/>
      </rPr>
      <t>2.TCNU5776311-40HQ</t>
    </r>
    <r>
      <rPr>
        <sz val="11"/>
        <color theme="1"/>
        <rFont val="Calibri"/>
        <family val="2"/>
        <scheme val="minor"/>
      </rPr>
      <t xml:space="preserve">
</t>
    </r>
    <r>
      <rPr>
        <sz val="11"/>
        <color rgb="FFFF0000"/>
        <rFont val="Calibri"/>
        <family val="2"/>
        <scheme val="minor"/>
      </rPr>
      <t>3.ZCSU6669077-40HQ</t>
    </r>
    <r>
      <rPr>
        <sz val="11"/>
        <color theme="1"/>
        <rFont val="Calibri"/>
        <family val="2"/>
        <scheme val="minor"/>
      </rPr>
      <t xml:space="preserve">
</t>
    </r>
    <r>
      <rPr>
        <sz val="11"/>
        <color rgb="FFFF0000"/>
        <rFont val="Calibri"/>
        <family val="2"/>
        <scheme val="minor"/>
      </rPr>
      <t>4.ZCSU6905803-40HQ</t>
    </r>
    <r>
      <rPr>
        <sz val="11"/>
        <color theme="1"/>
        <rFont val="Calibri"/>
        <family val="2"/>
        <scheme val="minor"/>
      </rPr>
      <t xml:space="preserve">
</t>
    </r>
    <r>
      <rPr>
        <sz val="11"/>
        <color rgb="FFFF0000"/>
        <rFont val="Calibri"/>
        <family val="2"/>
        <scheme val="minor"/>
      </rPr>
      <t>5.ZCSU7953806-40HQ</t>
    </r>
  </si>
  <si>
    <t>20230317/VP-BJC-KH</t>
  </si>
  <si>
    <t>PHUOC LONG 36 V.330W</t>
  </si>
  <si>
    <t>https://goo.gl/maps/xjSR154zc2fC58Jp7</t>
  </si>
  <si>
    <t>https://goo.gl/maps/8kzFf2rzbnV62TrP9</t>
  </si>
  <si>
    <t>23058</t>
  </si>
  <si>
    <t>SHAWD070307</t>
  </si>
  <si>
    <t>E230781997180154</t>
  </si>
  <si>
    <t>1.TLLU8071481-40HQ
2.ZCSU7787460-40HQ</t>
  </si>
  <si>
    <t>ភេទប្រុស ដែលមានលិខិតឆ្លងដែនលេខៈ AD0667637 ជំនួសប្រធានចាត់ការទូទៅក្រុមហ៊ុន SUVANNAPHUM INVESTMENT CO., LTD អត្តសញ្ញាណកម្មសារពើពន្ធ (VAT)លេខៈ L001-901801901 ទូរសព្ទ័លេខៈ 089 890 324</t>
  </si>
  <si>
    <t>AD0667637</t>
  </si>
  <si>
    <t>VN-KH 23/01/012651</t>
  </si>
  <si>
    <t>23059</t>
  </si>
  <si>
    <t>SHAWD070273</t>
  </si>
  <si>
    <t>1.IAAU1688736-40HQ
2.IAAU1703907-40HQ
3.IAAU1710399-40HQ
4.IAAU1711456-40HQ
5.IAAU1711630-40HQ
6.IAAU1712160-40HQ
7.IAAU1721264-40HQ
8.IAAU1785926-40HQ
9.IAAU1840999-40HQ
10.IAAU1852161-40HQ
11.IAAU1863377-40HQ
12.IAAU1897335-40HQ
13.IAAU1898455-40HQ
14.IAAU1900871-40HQ
15.SEKU4122192-40HQ
16.TCLU9326505-40HQ
17.TGBU7712506-40HQ</t>
  </si>
  <si>
    <t>23060</t>
  </si>
  <si>
    <t>SHAWD070194</t>
  </si>
  <si>
    <t>NEW ELECTRIC CAR MG 4 STD, 125KW, 2023
NEW ELECTRIC CAR MG 4 LUX, 150KW, 2023</t>
  </si>
  <si>
    <t>1.ZCSU7149444-40HQ</t>
  </si>
  <si>
    <t>23061</t>
  </si>
  <si>
    <t>SHAWD070343</t>
  </si>
  <si>
    <t>1.BEAU5541284-40HQ
2.CRSU9079580-40HQ
3.ZCSU6912700-40HQ
4.ZCSU7174935-40HQ</t>
  </si>
  <si>
    <t>23062</t>
  </si>
  <si>
    <t>1.TCNU5388358-40HQ
2.TGBU7259154-40HQ
3.ZCSU7708500-40HQ</t>
  </si>
  <si>
    <t>SHAWD070344</t>
  </si>
  <si>
    <t>23063</t>
  </si>
  <si>
    <t>OMPLCHS230108</t>
  </si>
  <si>
    <t>006/2023</t>
  </si>
  <si>
    <t>PINNVAREE V.23013E</t>
  </si>
  <si>
    <t>CARTON BOX, KRAFT PAPER, SPARE PART</t>
  </si>
  <si>
    <t>1.WHLU2617630-20GP</t>
  </si>
  <si>
    <t>13 PALLETS</t>
  </si>
  <si>
    <r>
      <rPr>
        <sz val="11"/>
        <color rgb="FFFF0000"/>
        <rFont val="Calibri"/>
        <family val="2"/>
        <scheme val="minor"/>
      </rPr>
      <t>1.GESU6207284-40HC</t>
    </r>
    <r>
      <rPr>
        <sz val="11"/>
        <color theme="1"/>
        <rFont val="Calibri"/>
        <family val="2"/>
        <scheme val="minor"/>
      </rPr>
      <t xml:space="preserve">
</t>
    </r>
    <r>
      <rPr>
        <sz val="11"/>
        <color rgb="FFFF0000"/>
        <rFont val="Calibri"/>
        <family val="2"/>
        <scheme val="minor"/>
      </rPr>
      <t>2.TCNU6391905-40HC</t>
    </r>
    <r>
      <rPr>
        <sz val="11"/>
        <color theme="1"/>
        <rFont val="Calibri"/>
        <family val="2"/>
        <scheme val="minor"/>
      </rPr>
      <t xml:space="preserve">
</t>
    </r>
    <r>
      <rPr>
        <sz val="11"/>
        <color rgb="FFFF0000"/>
        <rFont val="Calibri"/>
        <family val="2"/>
        <scheme val="minor"/>
      </rPr>
      <t>3.BMOU5289140-40HC</t>
    </r>
    <r>
      <rPr>
        <sz val="11"/>
        <color theme="1"/>
        <rFont val="Calibri"/>
        <family val="2"/>
        <scheme val="minor"/>
      </rPr>
      <t xml:space="preserve">
</t>
    </r>
    <r>
      <rPr>
        <sz val="11"/>
        <color rgb="FFFF0000"/>
        <rFont val="Calibri"/>
        <family val="2"/>
        <scheme val="minor"/>
      </rPr>
      <t>4.CMAU5626120-40HC</t>
    </r>
    <r>
      <rPr>
        <sz val="11"/>
        <color theme="1"/>
        <rFont val="Calibri"/>
        <family val="2"/>
        <scheme val="minor"/>
      </rPr>
      <t xml:space="preserve">
</t>
    </r>
    <r>
      <rPr>
        <sz val="11"/>
        <color rgb="FFFF0000"/>
        <rFont val="Calibri"/>
        <family val="2"/>
        <scheme val="minor"/>
      </rPr>
      <t>5.CAIU9402804-40HC</t>
    </r>
    <r>
      <rPr>
        <sz val="11"/>
        <color theme="1"/>
        <rFont val="Calibri"/>
        <family val="2"/>
        <scheme val="minor"/>
      </rPr>
      <t xml:space="preserve">
</t>
    </r>
    <r>
      <rPr>
        <sz val="11"/>
        <color rgb="FFFF0000"/>
        <rFont val="Calibri"/>
        <family val="2"/>
        <scheme val="minor"/>
      </rPr>
      <t>6.APHU7248886-40HC</t>
    </r>
    <r>
      <rPr>
        <sz val="11"/>
        <color theme="1"/>
        <rFont val="Calibri"/>
        <family val="2"/>
        <scheme val="minor"/>
      </rPr>
      <t xml:space="preserve">
</t>
    </r>
    <r>
      <rPr>
        <sz val="11"/>
        <color rgb="FFFF0000"/>
        <rFont val="Calibri"/>
        <family val="2"/>
        <scheme val="minor"/>
      </rPr>
      <t>7.GESU6845463-40HC</t>
    </r>
    <r>
      <rPr>
        <sz val="11"/>
        <color theme="1"/>
        <rFont val="Calibri"/>
        <family val="2"/>
        <scheme val="minor"/>
      </rPr>
      <t xml:space="preserve">
</t>
    </r>
    <r>
      <rPr>
        <sz val="11"/>
        <color rgb="FFFF0000"/>
        <rFont val="Calibri"/>
        <family val="2"/>
        <scheme val="minor"/>
      </rPr>
      <t>8.TCNU8194504-40HC</t>
    </r>
  </si>
  <si>
    <t>11-04-2023</t>
  </si>
  <si>
    <t>NEWPORT CYPRESS 99
V.162W</t>
  </si>
  <si>
    <t>10-04-2023</t>
  </si>
  <si>
    <t>PHUOC LONG 8
V.148W</t>
  </si>
  <si>
    <t>23064</t>
  </si>
  <si>
    <t>VLP/FE/23/03/B/0117</t>
  </si>
  <si>
    <t>EIC/2023/013/0254369A/00277423</t>
  </si>
  <si>
    <t>14-04-2023</t>
  </si>
  <si>
    <t>1.TCLU6243937/IN1231296</t>
  </si>
  <si>
    <t>MEKONG 06 V.155W</t>
  </si>
  <si>
    <t>E230781997180139</t>
  </si>
  <si>
    <t>E230781997180140</t>
  </si>
  <si>
    <t>E230781997180142</t>
  </si>
  <si>
    <t>E230781997180141</t>
  </si>
  <si>
    <t>23065</t>
  </si>
  <si>
    <t>COAU8036944620</t>
  </si>
  <si>
    <t>23-Y-EV67-001B</t>
  </si>
  <si>
    <t>DONGFENG BRAND CAR FENGON GLORY 500, 2023
DONGFENG BRAND CAR FENGON GLORY 600, 2023</t>
  </si>
  <si>
    <t>1.BEAU6161592-40HQ
2.CXDU1078107-40HQ</t>
  </si>
  <si>
    <t>23066</t>
  </si>
  <si>
    <t>103816SH109/110</t>
  </si>
  <si>
    <t>GLOBAL GREEN (CAMBODIA) ENERGY DEVELOPMENT CO.,LTD</t>
  </si>
  <si>
    <t>DF23CV-378KH004</t>
  </si>
  <si>
    <t>New Dump Truck DONGFENG DFH3310A3, 2023</t>
  </si>
  <si>
    <t>CHINA DONGFENG</t>
  </si>
  <si>
    <t>23067</t>
  </si>
  <si>
    <t>103816SH107/108</t>
  </si>
  <si>
    <t>DF23CV-378KH001</t>
  </si>
  <si>
    <t>New Dump Truck DONGFENG DFH3250A, 2023</t>
  </si>
  <si>
    <t>China Dong</t>
  </si>
  <si>
    <t>23068</t>
  </si>
  <si>
    <t>103816SH120</t>
  </si>
  <si>
    <t>DF23CV-378KH005</t>
  </si>
  <si>
    <t>New Dongfeng Water Truck DFL1140B2, 2023</t>
  </si>
  <si>
    <t>HANN SINATH</t>
  </si>
  <si>
    <t>​020921342</t>
  </si>
  <si>
    <t>098 425 713</t>
  </si>
  <si>
    <t>23069</t>
  </si>
  <si>
    <t>SHAWD070424</t>
  </si>
  <si>
    <t>E230781997180169</t>
  </si>
  <si>
    <t>PHUOC LONG 10 V.210W</t>
  </si>
  <si>
    <t>22-04-2023</t>
  </si>
  <si>
    <t>1.FDCU0320940/40HQ
2.IAAU1690029 / 40'HQ
3.IAAU1696808 / 40'HQ
4.IAAU1710470 / 40'HQ
5.IAAU1718614 / 40'HQ
6.IAAU1753240 / 40'HQ
7.IAAU1778906 / 40'HQ
8.IAAU1782953 / 40'HQ
9.IAAU1805196 / 40'HQ
10.IAAU1825211 / 40'HQ
11.IAAU1862560 / 40'HQ
12.IAAU1874875 / 40'HQ
13.IAAU1878063 / 40'HQ
14.IAAU1915336 / 40'HQ
15.IAAU1921792 / 40'HQ</t>
  </si>
  <si>
    <t>23070</t>
  </si>
  <si>
    <t>2023-HS02</t>
  </si>
  <si>
    <t>SNCO (CAMBODIA) CO., LTD</t>
  </si>
  <si>
    <t>HS-PP002/23</t>
  </si>
  <si>
    <t>ROLLS ROYCE GHOST, 2023</t>
  </si>
  <si>
    <t>B-UNIQUE COMPANY LIMITED</t>
  </si>
  <si>
    <t>POL SAVRY</t>
  </si>
  <si>
    <t>ភេទស្រី មានអត្តសញ្ញាណប័ណ្ណសញ្ជាតិខ្មែរលេខៈ 171011534 មានតួនាទី ប្រធានក្រុមហ៊ុន SNCO (CAMBODIA) CO., LTD អត្តសញ្ញាណកម្មសារពើពន្ធ (VAT)លេខៈ K008 902202776</t>
  </si>
  <si>
    <t>#បុរីហេង ហៀងស៊ីធី C ២៩ ផ្លូវ ៦A ភូមិ ខ្ទរ សង្កាត់ ព្រែកលៀប ខណ្ឌ ជ្រោយចង្វារ រាជធានីភ្នំពេញ
VAT: K008 902202776</t>
  </si>
  <si>
    <t>#បុរីហេង ហៀងស៊ីធី C ២៩ ផ្លូវ ៦A ភូមិ ខ្ទរ សង្កាត់ ព្រែកលៀប ខណ្ឌ ជ្រោយចង្វារ រាជធានីភ្នំពេញ VAT: K008 902202776</t>
  </si>
  <si>
    <t>K008 902202776</t>
  </si>
  <si>
    <t>093 749 248</t>
  </si>
  <si>
    <t>23071</t>
  </si>
  <si>
    <t>2023-HS03</t>
  </si>
  <si>
    <t>HS-PP003/23</t>
  </si>
  <si>
    <t>ROLLS ROYCE GHOST, 2023
ROLLS ROYCE CULLINAN, 2023</t>
  </si>
  <si>
    <t>23072</t>
  </si>
  <si>
    <t>OOLU4053862760</t>
  </si>
  <si>
    <t>2022FAW0850E-02</t>
  </si>
  <si>
    <t>NEW CAR JETTA BRAND CAR VS5, 2023
NEW CAR JETTA BRAND CAR VS7, 2023</t>
  </si>
  <si>
    <t>1.OOLU9565345-40HQ
2.CSNU7099908-40HQ</t>
  </si>
  <si>
    <t>CHINA FAW GROUP IMPORT</t>
  </si>
  <si>
    <t>23073</t>
  </si>
  <si>
    <t>COAU8036718720</t>
  </si>
  <si>
    <t>23-Y-EV67-001C</t>
  </si>
  <si>
    <t>NEW DONGFENG BRAND CAR FENGON GLORY 600, 2023</t>
  </si>
  <si>
    <t>1.CAAU6136755-40HQ
2.OOCU8215372-40HQ</t>
  </si>
  <si>
    <t>XST AUTO</t>
  </si>
  <si>
    <t>23074</t>
  </si>
  <si>
    <t>VLP/FE/23/04/B/0159</t>
  </si>
  <si>
    <t>1.FDCU0167786/IN1161783</t>
  </si>
  <si>
    <t>EIC/2023/013/0299046A/00311884</t>
  </si>
  <si>
    <t>23075</t>
  </si>
  <si>
    <t>GLSN073172613</t>
  </si>
  <si>
    <t>20230421/VP-BJC-KH</t>
  </si>
  <si>
    <t>LONG SON 01 V318N</t>
  </si>
  <si>
    <t>01-05-2023</t>
  </si>
  <si>
    <t>1.SEKU6307282-40HC</t>
  </si>
  <si>
    <t>VN-KH 23/01/017120</t>
  </si>
  <si>
    <t>23076</t>
  </si>
  <si>
    <t>23077</t>
  </si>
  <si>
    <t>YMLUI236302728</t>
  </si>
  <si>
    <t>23GF/KH7-02001</t>
  </si>
  <si>
    <t>New Dongfeng Cargo Truck E250, 2023
New Dongfeng Cargo Truck C350, 2023</t>
  </si>
  <si>
    <t>1.YMMU6099691-40HQ
2.BMOU5684000-40HQ
3.YMMU6218574-40HQ</t>
  </si>
  <si>
    <t>DONGFENG AUTOMOBILE</t>
  </si>
  <si>
    <t>GLSN163182654</t>
  </si>
  <si>
    <t>23078</t>
  </si>
  <si>
    <t>23079</t>
  </si>
  <si>
    <t>SHAWD070500</t>
  </si>
  <si>
    <t>E230781997180190</t>
  </si>
  <si>
    <t>SHAWD070439</t>
  </si>
  <si>
    <t>20468233ETC</t>
  </si>
  <si>
    <t>E230781997180178</t>
  </si>
  <si>
    <t>23080</t>
  </si>
  <si>
    <t>COAU8037910450</t>
  </si>
  <si>
    <t>CHOEM SIRATH IMPORT &amp; EXPORT CO,LTD</t>
  </si>
  <si>
    <t>YDL23040401</t>
  </si>
  <si>
    <t>NEW CAR TESLA MODEL Y, 2023</t>
  </si>
  <si>
    <t>1.BSIU9355924-40HQ</t>
  </si>
  <si>
    <t>SHANGHAI YONGDA</t>
  </si>
  <si>
    <t>ភេទប្រុស មានអត្តសញ្ញាណប័ណ្ណសញ្ជាតិខ្មែរលេខៈ 110571200 ជាប្រធានក្រុមហ៊ុន CHOEM SIRATH IMPORT &amp; EXPORT CO,LTD អត្តសញ្ញាណកម្មសារពើពន្ធ (VAT)លេខៈ K008-902300821 ទូរសព្ទ័លេខៈ 087 452 029</t>
  </si>
  <si>
    <t>CHOEM SIRATH</t>
  </si>
  <si>
    <t>ក្បាលដីលេខ ៨៦៨ ផ្លូវ ៥៩៨ ភូមិ ពោងពាយ សង្កាត់ ទួលសង្កែទី២ ខណ្ឌ ឫស្សីកែវ រាជធានីភ្នំពេញ
VAT: K008-902300821</t>
  </si>
  <si>
    <t>ក្បាលដីលេខ ៨៦៨ ផ្លូវ ៥៩៨ ភូមិ ពោងពាយ សង្កាត់ ទួលសង្កែទី២ ខណ្ឌ ឫស្សីកែវ រាជធានីភ្នំពេញ VAT: K008-902300821</t>
  </si>
  <si>
    <t>K008-902300821</t>
  </si>
  <si>
    <t>087 452 029</t>
  </si>
  <si>
    <t>07-05-2023</t>
  </si>
  <si>
    <t>45 PIECES</t>
  </si>
  <si>
    <t>LONG SON 01 V.319N</t>
  </si>
  <si>
    <t>VN-KH 23/03/001090</t>
  </si>
  <si>
    <t>GLS16 V.318N</t>
  </si>
  <si>
    <t>NEW PEUGEOT MOTORCYCLE DJANGO 150CC</t>
  </si>
  <si>
    <t>1.DRYU9972583/GLS2027447</t>
  </si>
  <si>
    <t>PEUGEOT MOTOCYCLES</t>
  </si>
  <si>
    <t>23081</t>
  </si>
  <si>
    <t>SHAWD070520</t>
  </si>
  <si>
    <t>E230781997180193</t>
  </si>
  <si>
    <t>NEW ELECTRIC CAR MAXUS EUNIQ 6 LUX, 2023</t>
  </si>
  <si>
    <t>1.TGBU7158288-40HQ</t>
  </si>
  <si>
    <t>23082</t>
  </si>
  <si>
    <t>2023-HS05</t>
  </si>
  <si>
    <t>HS-PP005/23</t>
  </si>
  <si>
    <t>NEW JEEP WRANGLER RUBICON, AWD, 2023</t>
  </si>
  <si>
    <t>GOLDEN WORLD INTERTRANS CO., LTD</t>
  </si>
  <si>
    <t>23083</t>
  </si>
  <si>
    <t>GLSN073202682</t>
  </si>
  <si>
    <t>20230508/VP-BJC-KH</t>
  </si>
  <si>
    <t>VN-KH 23/01/019583</t>
  </si>
  <si>
    <t>1.SEKU5535190-40HC, 2.SEKU5535040-40HC, 3.SEKU5534661-40HC</t>
  </si>
  <si>
    <t>MK 19 V.080W</t>
  </si>
  <si>
    <t>19-05-2023</t>
  </si>
  <si>
    <t>PHUOC LONG 10 V.213W</t>
  </si>
  <si>
    <t>18-05-2023</t>
  </si>
  <si>
    <t>LONG SON 01 V.321N</t>
  </si>
  <si>
    <t>20-05-2023</t>
  </si>
  <si>
    <t>23084</t>
  </si>
  <si>
    <t>HS-PP004/23</t>
  </si>
  <si>
    <t>2023-HS04</t>
  </si>
  <si>
    <t xml:space="preserve">USED ROLLS ROYCE CULLINAN, 2022
</t>
  </si>
  <si>
    <t>GOLDEN WORLD</t>
  </si>
  <si>
    <t>23085</t>
  </si>
  <si>
    <t>23086</t>
  </si>
  <si>
    <r>
      <rPr>
        <sz val="11"/>
        <color rgb="FFFF0000"/>
        <rFont val="Calibri"/>
        <family val="2"/>
        <scheme val="minor"/>
      </rPr>
      <t>1.BMOU4278054-40HQ</t>
    </r>
    <r>
      <rPr>
        <sz val="11"/>
        <color theme="1"/>
        <rFont val="Calibri"/>
        <family val="2"/>
        <scheme val="minor"/>
      </rPr>
      <t xml:space="preserve">
</t>
    </r>
    <r>
      <rPr>
        <sz val="11"/>
        <color rgb="FFFF0000"/>
        <rFont val="Calibri"/>
        <family val="2"/>
        <scheme val="minor"/>
      </rPr>
      <t>2.BMOU4757740-40HQ</t>
    </r>
    <r>
      <rPr>
        <sz val="11"/>
        <color theme="1"/>
        <rFont val="Calibri"/>
        <family val="2"/>
        <scheme val="minor"/>
      </rPr>
      <t xml:space="preserve">
</t>
    </r>
    <r>
      <rPr>
        <sz val="11"/>
        <color rgb="FFFF0000"/>
        <rFont val="Calibri"/>
        <family val="2"/>
        <scheme val="minor"/>
      </rPr>
      <t>3.BSIU9529245-40HQ</t>
    </r>
    <r>
      <rPr>
        <sz val="11"/>
        <color theme="1"/>
        <rFont val="Calibri"/>
        <family val="2"/>
        <scheme val="minor"/>
      </rPr>
      <t xml:space="preserve">
</t>
    </r>
    <r>
      <rPr>
        <sz val="11"/>
        <color rgb="FFFF0000"/>
        <rFont val="Calibri"/>
        <family val="2"/>
        <scheme val="minor"/>
      </rPr>
      <t>4.CRSU9080718-40HQ</t>
    </r>
    <r>
      <rPr>
        <sz val="11"/>
        <color theme="1"/>
        <rFont val="Calibri"/>
        <family val="2"/>
        <scheme val="minor"/>
      </rPr>
      <t xml:space="preserve">
</t>
    </r>
    <r>
      <rPr>
        <sz val="11"/>
        <color rgb="FFFF0000"/>
        <rFont val="Calibri"/>
        <family val="2"/>
        <scheme val="minor"/>
      </rPr>
      <t>5.FCIU8912041-40HQ</t>
    </r>
    <r>
      <rPr>
        <sz val="11"/>
        <color theme="1"/>
        <rFont val="Calibri"/>
        <family val="2"/>
        <scheme val="minor"/>
      </rPr>
      <t xml:space="preserve">
</t>
    </r>
    <r>
      <rPr>
        <sz val="11"/>
        <color rgb="FFFF0000"/>
        <rFont val="Calibri"/>
        <family val="2"/>
        <scheme val="minor"/>
      </rPr>
      <t>6.FSCU8178390-40HQ</t>
    </r>
    <r>
      <rPr>
        <sz val="11"/>
        <color theme="1"/>
        <rFont val="Calibri"/>
        <family val="2"/>
        <scheme val="minor"/>
      </rPr>
      <t xml:space="preserve">
</t>
    </r>
    <r>
      <rPr>
        <sz val="11"/>
        <color rgb="FFFF0000"/>
        <rFont val="Calibri"/>
        <family val="2"/>
        <scheme val="minor"/>
      </rPr>
      <t>7.MAGU5178140-40HQ
8.TCKU7332327-40HQ
9.TCNU2312723-40HQ
10.TCNU5334710-40HQ
11.TCNU6687543-40HQ
12.TGBU7207438-40HQ
13.TGHU6051419-40HQ
14.TRHU6152057-40HQ
15.ZCSU7538195-40HQ
16.ZCSU7732087-40HQ
17.ZCSU7743250-40HQ</t>
    </r>
  </si>
  <si>
    <r>
      <rPr>
        <sz val="11"/>
        <color rgb="FFFF0000"/>
        <rFont val="Calibri"/>
        <family val="2"/>
        <scheme val="minor"/>
      </rPr>
      <t>1.BSIU9606043-40HQ</t>
    </r>
    <r>
      <rPr>
        <sz val="11"/>
        <color theme="1"/>
        <rFont val="Calibri"/>
        <family val="2"/>
        <scheme val="minor"/>
      </rPr>
      <t xml:space="preserve">
</t>
    </r>
    <r>
      <rPr>
        <sz val="11"/>
        <color rgb="FFFF0000"/>
        <rFont val="Calibri"/>
        <family val="2"/>
        <scheme val="minor"/>
      </rPr>
      <t>2.BSIU9684909-40HQ</t>
    </r>
    <r>
      <rPr>
        <sz val="11"/>
        <color theme="1"/>
        <rFont val="Calibri"/>
        <family val="2"/>
        <scheme val="minor"/>
      </rPr>
      <t xml:space="preserve">
</t>
    </r>
    <r>
      <rPr>
        <sz val="11"/>
        <color rgb="FFFF0000"/>
        <rFont val="Calibri"/>
        <family val="2"/>
        <scheme val="minor"/>
      </rPr>
      <t>3.TCNU2525441-40HQ</t>
    </r>
    <r>
      <rPr>
        <sz val="11"/>
        <color theme="1"/>
        <rFont val="Calibri"/>
        <family val="2"/>
        <scheme val="minor"/>
      </rPr>
      <t xml:space="preserve">
</t>
    </r>
    <r>
      <rPr>
        <sz val="11"/>
        <color rgb="FFFF0000"/>
        <rFont val="Calibri"/>
        <family val="2"/>
        <scheme val="minor"/>
      </rPr>
      <t>4.TCNU6971312-40HQ</t>
    </r>
    <r>
      <rPr>
        <sz val="11"/>
        <color theme="1"/>
        <rFont val="Calibri"/>
        <family val="2"/>
        <scheme val="minor"/>
      </rPr>
      <t xml:space="preserve">
</t>
    </r>
    <r>
      <rPr>
        <sz val="11"/>
        <color rgb="FFFF0000"/>
        <rFont val="Calibri"/>
        <family val="2"/>
        <scheme val="minor"/>
      </rPr>
      <t>5.TGBU5477727-40HQ</t>
    </r>
    <r>
      <rPr>
        <sz val="11"/>
        <color theme="1"/>
        <rFont val="Calibri"/>
        <family val="2"/>
        <scheme val="minor"/>
      </rPr>
      <t xml:space="preserve">
</t>
    </r>
    <r>
      <rPr>
        <sz val="11"/>
        <color rgb="FFFF0000"/>
        <rFont val="Calibri"/>
        <family val="2"/>
        <scheme val="minor"/>
      </rPr>
      <t>6.TLLU4594545-40HQ</t>
    </r>
    <r>
      <rPr>
        <sz val="11"/>
        <color theme="1"/>
        <rFont val="Calibri"/>
        <family val="2"/>
        <scheme val="minor"/>
      </rPr>
      <t xml:space="preserve">
</t>
    </r>
    <r>
      <rPr>
        <sz val="11"/>
        <color rgb="FFFF0000"/>
        <rFont val="Calibri"/>
        <family val="2"/>
        <scheme val="minor"/>
      </rPr>
      <t>7.ZCSU6647210-40HQ</t>
    </r>
    <r>
      <rPr>
        <sz val="11"/>
        <color theme="1"/>
        <rFont val="Calibri"/>
        <family val="2"/>
        <scheme val="minor"/>
      </rPr>
      <t xml:space="preserve">
</t>
    </r>
    <r>
      <rPr>
        <sz val="11"/>
        <color rgb="FFFF0000"/>
        <rFont val="Calibri"/>
        <family val="2"/>
        <scheme val="minor"/>
      </rPr>
      <t>8.ZCSU6923767-40HQ</t>
    </r>
    <r>
      <rPr>
        <sz val="11"/>
        <color theme="1"/>
        <rFont val="Calibri"/>
        <family val="2"/>
        <scheme val="minor"/>
      </rPr>
      <t xml:space="preserve">
</t>
    </r>
    <r>
      <rPr>
        <sz val="11"/>
        <color rgb="FFFF0000"/>
        <rFont val="Calibri"/>
        <family val="2"/>
        <scheme val="minor"/>
      </rPr>
      <t>9.ZCSU6927551-40HQ</t>
    </r>
    <r>
      <rPr>
        <sz val="11"/>
        <color theme="1"/>
        <rFont val="Calibri"/>
        <family val="2"/>
        <scheme val="minor"/>
      </rPr>
      <t xml:space="preserve">
</t>
    </r>
    <r>
      <rPr>
        <sz val="11"/>
        <color rgb="FFFF0000"/>
        <rFont val="Calibri"/>
        <family val="2"/>
        <scheme val="minor"/>
      </rPr>
      <t>10.ZCSU6944456-40HQ</t>
    </r>
    <r>
      <rPr>
        <sz val="11"/>
        <color theme="1"/>
        <rFont val="Calibri"/>
        <family val="2"/>
        <scheme val="minor"/>
      </rPr>
      <t xml:space="preserve">
</t>
    </r>
    <r>
      <rPr>
        <sz val="11"/>
        <color rgb="FFFF0000"/>
        <rFont val="Calibri"/>
        <family val="2"/>
        <scheme val="minor"/>
      </rPr>
      <t>11.ZCSU7142500-40HQ</t>
    </r>
    <r>
      <rPr>
        <sz val="11"/>
        <color theme="1"/>
        <rFont val="Calibri"/>
        <family val="2"/>
        <scheme val="minor"/>
      </rPr>
      <t xml:space="preserve">
</t>
    </r>
    <r>
      <rPr>
        <sz val="11"/>
        <color rgb="FFFF0000"/>
        <rFont val="Calibri"/>
        <family val="2"/>
        <scheme val="minor"/>
      </rPr>
      <t>12.ZCSU7388095-40HQ</t>
    </r>
    <r>
      <rPr>
        <sz val="11"/>
        <color theme="1"/>
        <rFont val="Calibri"/>
        <family val="2"/>
        <scheme val="minor"/>
      </rPr>
      <t xml:space="preserve">
</t>
    </r>
    <r>
      <rPr>
        <sz val="11"/>
        <color rgb="FFFF0000"/>
        <rFont val="Calibri"/>
        <family val="2"/>
        <scheme val="minor"/>
      </rPr>
      <t>13.ZCSU7620549-40HQ</t>
    </r>
    <r>
      <rPr>
        <sz val="11"/>
        <color theme="1"/>
        <rFont val="Calibri"/>
        <family val="2"/>
        <scheme val="minor"/>
      </rPr>
      <t xml:space="preserve">
</t>
    </r>
    <r>
      <rPr>
        <sz val="11"/>
        <color rgb="FFFF0000"/>
        <rFont val="Calibri"/>
        <family val="2"/>
        <scheme val="minor"/>
      </rPr>
      <t>14.ZCSU7761700-40HQ</t>
    </r>
    <r>
      <rPr>
        <sz val="11"/>
        <color theme="1"/>
        <rFont val="Calibri"/>
        <family val="2"/>
        <scheme val="minor"/>
      </rPr>
      <t xml:space="preserve">
</t>
    </r>
    <r>
      <rPr>
        <sz val="11"/>
        <color rgb="FFFF0000"/>
        <rFont val="Calibri"/>
        <family val="2"/>
        <scheme val="minor"/>
      </rPr>
      <t>15.ZCSU7935572-40HQ</t>
    </r>
    <r>
      <rPr>
        <sz val="11"/>
        <color theme="1"/>
        <rFont val="Calibri"/>
        <family val="2"/>
        <scheme val="minor"/>
      </rPr>
      <t xml:space="preserve">
</t>
    </r>
    <r>
      <rPr>
        <sz val="11"/>
        <color rgb="FFFF0000"/>
        <rFont val="Calibri"/>
        <family val="2"/>
        <scheme val="minor"/>
      </rPr>
      <t>16.ZCSU7943475-40HQ</t>
    </r>
    <r>
      <rPr>
        <sz val="11"/>
        <color theme="1"/>
        <rFont val="Calibri"/>
        <family val="2"/>
        <scheme val="minor"/>
      </rPr>
      <t xml:space="preserve">
</t>
    </r>
    <r>
      <rPr>
        <sz val="11"/>
        <color rgb="FFFF0000"/>
        <rFont val="Calibri"/>
        <family val="2"/>
        <scheme val="minor"/>
      </rPr>
      <t>17.ZCSU7970589-40HQ</t>
    </r>
  </si>
  <si>
    <t>VLP/FE/23/04/B/0182</t>
  </si>
  <si>
    <t>EIC/2023/013/0427086A/00429706</t>
  </si>
  <si>
    <t>TAN CANG 38 V.046W</t>
  </si>
  <si>
    <t>29-05-2023</t>
  </si>
  <si>
    <t>1.GAOU6619101/IN1224669</t>
  </si>
  <si>
    <t>OMPLCHS230173</t>
  </si>
  <si>
    <t>008/2023</t>
  </si>
  <si>
    <t>CARTON BOX, PLASTIC WRAPPER, STICKER BARCODE, PAPER CORE, KRAFT PAPER</t>
  </si>
  <si>
    <t>1.TTNU9518175-40HC</t>
  </si>
  <si>
    <t>23087</t>
  </si>
  <si>
    <t>103926SH114</t>
  </si>
  <si>
    <t>TAING CHENG OING CONSTRUCTION &amp;IMPORT EXPORT CO.,LTD</t>
  </si>
  <si>
    <t>ST20232273</t>
  </si>
  <si>
    <t>BULLDOZER SHANTUI DH17C3, 2023</t>
  </si>
  <si>
    <t>SHANDONG SHANTUI CONSTRUCTION</t>
  </si>
  <si>
    <t>23088</t>
  </si>
  <si>
    <t>103926SH110</t>
  </si>
  <si>
    <t>DF23CV-378KH001-2</t>
  </si>
  <si>
    <t>TIPPER TRUCK DONGFENG DFH3250A, 2023</t>
  </si>
  <si>
    <t>China Dong Feng Motor</t>
  </si>
  <si>
    <t>TAING CHENG OING</t>
  </si>
  <si>
    <t>010954723</t>
  </si>
  <si>
    <t>L001-180001159</t>
  </si>
  <si>
    <t>06100</t>
  </si>
  <si>
    <t>23089</t>
  </si>
  <si>
    <t>195</t>
  </si>
  <si>
    <t>194</t>
  </si>
  <si>
    <t>23090</t>
  </si>
  <si>
    <t>103992SH010</t>
  </si>
  <si>
    <t>YA234362XS</t>
  </si>
  <si>
    <t>E237326277575140</t>
  </si>
  <si>
    <t>LI XIANG V103992</t>
  </si>
  <si>
    <t>13-06-2023</t>
  </si>
  <si>
    <t>SINOTRUCK</t>
  </si>
  <si>
    <t>GLSN073252810</t>
  </si>
  <si>
    <t>20230612/VP-BJC-KH</t>
  </si>
  <si>
    <t>VN-KH 23/01/024989</t>
  </si>
  <si>
    <t>LONG SON 02 V.326N</t>
  </si>
  <si>
    <t>1.GAOU6457865-40HC, 2.GAOU6457612-40HC, 3.GAOU6458265-40HC</t>
  </si>
  <si>
    <t>NEW ROAD BLOCK REMOVAL TRUCK, LHD, MODEL YEAR 2023</t>
  </si>
  <si>
    <t>23091</t>
  </si>
  <si>
    <t>SHAWD070702</t>
  </si>
  <si>
    <t>NEW CAR MG RX8, 2023</t>
  </si>
  <si>
    <t xml:space="preserve">1.BEAU4445178-40HQ
2.IAAU1718316-40HQ
3.IAAU 1772596-40HQ
4.IAAU1918628-40HQ
5.IAAU1956356-40HQ
6.SEGU6721810-40HQ 
7.TGBU7710870-40HQ </t>
  </si>
  <si>
    <t>PINNCHAREON 2 V.23013E</t>
  </si>
  <si>
    <t>E230781997180238</t>
  </si>
  <si>
    <t>23092</t>
  </si>
  <si>
    <t>C01/24/300006</t>
  </si>
  <si>
    <t>25-06-2023</t>
  </si>
  <si>
    <t>PHUOC LONG 6 V.234W</t>
  </si>
  <si>
    <t>23-06-2023</t>
  </si>
  <si>
    <t>NEW MATADOR BACKHOE LOADER MBL-90, 2023</t>
  </si>
  <si>
    <t>ESCORTS KUBOTA</t>
  </si>
  <si>
    <t>23093</t>
  </si>
  <si>
    <t>VLP/FE/23/05/B/0225</t>
  </si>
  <si>
    <t>EIC/2023/013/0480430A/00496009</t>
  </si>
  <si>
    <t>01-07-2023</t>
  </si>
  <si>
    <t>1.TLLU5489267 / IN1301297</t>
  </si>
  <si>
    <t>24 BOXES</t>
  </si>
  <si>
    <t>EICHER MOTORS LIMITED</t>
  </si>
  <si>
    <t>23094</t>
  </si>
  <si>
    <t>PHUOC LONG 12 V.125W</t>
  </si>
  <si>
    <t>ឈ្មោះ (DFSK) XST AUTO ដែលមានទីតាំង# 319,Hanoi Friendship Blvd（1019）សង្កាត់ភ្នំពេញថ្មី , ខណ្ឌសែនសុខ ,រាជធានីភ្នំពេញ ទីតាំងបង្ហាញរថយន្ត (Showroom) របស់ក្រុមហ៊ុន XST AUTO (CAMBODIA) INTERNATIONAL CO., LTD</t>
  </si>
  <si>
    <t>23095</t>
  </si>
  <si>
    <t>MOLU18004508058</t>
  </si>
  <si>
    <t>23-Y-EV67-004</t>
  </si>
  <si>
    <t>NEW DONGFENG BRAND CAR FENGON LANDIAN E5, 2023</t>
  </si>
  <si>
    <t>CHONGQING SOKON MOTOR</t>
  </si>
  <si>
    <t>23096</t>
  </si>
  <si>
    <t>VLP/FE/23/05/B/0243</t>
  </si>
  <si>
    <t>EIC/2023/013/0485697A/00494831</t>
  </si>
  <si>
    <t>1.CAIU8713000 / IN1299366</t>
  </si>
  <si>
    <t>36 BOXES</t>
  </si>
  <si>
    <t>MIEU0026204-40HC</t>
  </si>
  <si>
    <t>OMPLCHS230209</t>
  </si>
  <si>
    <t>009/2023</t>
  </si>
  <si>
    <t>PINNVAREE V.23023E</t>
  </si>
  <si>
    <t>07-07-2023</t>
  </si>
  <si>
    <t>CARTON BOX, PLASTIC WRAPPER, STICKER BARCODE, PAPER CORE, KRAFT PAPER, BELT</t>
  </si>
  <si>
    <t>1.TRIU9269776-40'HC</t>
  </si>
  <si>
    <t>01131</t>
  </si>
  <si>
    <t>01148</t>
  </si>
  <si>
    <t>01248</t>
  </si>
  <si>
    <t>01285</t>
  </si>
  <si>
    <t>01294</t>
  </si>
  <si>
    <t>01375</t>
  </si>
  <si>
    <t>01495</t>
  </si>
  <si>
    <t>01496</t>
  </si>
  <si>
    <t>01497</t>
  </si>
  <si>
    <t>01498</t>
  </si>
  <si>
    <t>01609</t>
  </si>
  <si>
    <t>01571</t>
  </si>
  <si>
    <t>01572</t>
  </si>
  <si>
    <t>01573</t>
  </si>
  <si>
    <t>01574</t>
  </si>
  <si>
    <t>01654</t>
  </si>
  <si>
    <t>01734</t>
  </si>
  <si>
    <t>01735</t>
  </si>
  <si>
    <t>01936</t>
  </si>
  <si>
    <t>01878</t>
  </si>
  <si>
    <t>02055</t>
  </si>
  <si>
    <t>02060</t>
  </si>
  <si>
    <t>01944</t>
  </si>
  <si>
    <t>02367</t>
  </si>
  <si>
    <t>02368</t>
  </si>
  <si>
    <t>02658</t>
  </si>
  <si>
    <t>CHQ00TRP2307232</t>
  </si>
  <si>
    <t>CHQ00TRP2307281</t>
  </si>
  <si>
    <t>WONGMONGKOL SRESTTAWIN</t>
  </si>
  <si>
    <t>AC5014016</t>
  </si>
  <si>
    <t>FOR AUT</t>
  </si>
  <si>
    <t xml:space="preserve">ADDRESS FOR REQUEST LETTER </t>
  </si>
  <si>
    <t>HEADER</t>
  </si>
  <si>
    <t>LOLO</t>
  </si>
  <si>
    <t>00180</t>
  </si>
  <si>
    <t>01702</t>
  </si>
  <si>
    <t>02017</t>
  </si>
  <si>
    <t>02120</t>
  </si>
  <si>
    <t>23097</t>
  </si>
  <si>
    <t>GLSN073292910</t>
  </si>
  <si>
    <t>20230706/VP-BJC-KH</t>
  </si>
  <si>
    <t>VN-KH 23/01/028512</t>
  </si>
  <si>
    <t>GLS 16 V.328N</t>
  </si>
  <si>
    <t>16-07-2023</t>
  </si>
  <si>
    <t>1.GAOU6457660-40HC, 2.GAOU6131225-40HC, 3.GAOU6457295-40HC</t>
  </si>
  <si>
    <t>093 544 566</t>
  </si>
  <si>
    <t>JETOUR</t>
  </si>
  <si>
    <t>23098</t>
  </si>
  <si>
    <t>23099</t>
  </si>
  <si>
    <t>GLSNLS023312943</t>
  </si>
  <si>
    <t>20230715/VP-BJC-KH</t>
  </si>
  <si>
    <t>VN-KH 23/01/029508</t>
  </si>
  <si>
    <t>1.GAOU6457633-40'HC</t>
  </si>
  <si>
    <t>GLSN163282894</t>
  </si>
  <si>
    <t>1.FSCU6693302 / GLS2023748
2.DRYU9023870 / GLS2023741</t>
  </si>
  <si>
    <t>90 PIECES</t>
  </si>
  <si>
    <t>VN-KH 23/03/001695</t>
  </si>
  <si>
    <t>70324086, 70324087</t>
  </si>
  <si>
    <t>GLS16 V.328N</t>
  </si>
  <si>
    <t>23100</t>
  </si>
  <si>
    <t>DF23CV-378KH001-3</t>
  </si>
  <si>
    <t>104114SH306</t>
  </si>
  <si>
    <t>23101</t>
  </si>
  <si>
    <t>104114SH307</t>
  </si>
  <si>
    <t>ST20233220</t>
  </si>
  <si>
    <t>23102</t>
  </si>
  <si>
    <t>GLSNLS013332967</t>
  </si>
  <si>
    <t>20230724/VP-BJC-KH</t>
  </si>
  <si>
    <t>VN-KH 23/01/031073</t>
  </si>
  <si>
    <t>LONG SON 01 V333N</t>
  </si>
  <si>
    <t>LONG SON 02 V.332N</t>
  </si>
  <si>
    <t>03-08-2023</t>
  </si>
  <si>
    <t>1.GAOU6458075-40'HC</t>
  </si>
  <si>
    <t>23103</t>
  </si>
  <si>
    <t>COAU8042000710</t>
  </si>
  <si>
    <t>23-Y-EV67-005</t>
  </si>
  <si>
    <t>04-08-2023</t>
  </si>
  <si>
    <t>1.OOCU8190762-40HQ
2.DRYU9830758-40HQ</t>
  </si>
  <si>
    <t>NEW DONGFENG BRAND CAR FENGON GLORY 500, 2023</t>
  </si>
  <si>
    <t>23104</t>
  </si>
  <si>
    <t>SHAWD070907</t>
  </si>
  <si>
    <t>20486759ETC</t>
  </si>
  <si>
    <t>E230781997180298</t>
  </si>
  <si>
    <t>23105</t>
  </si>
  <si>
    <t>SHAWD070980</t>
  </si>
  <si>
    <t>20486762ETC</t>
  </si>
  <si>
    <t>E230781997180302</t>
  </si>
  <si>
    <t>NEW CAR MG RX5, 2023
NEW CAR MG RX5, 2024</t>
  </si>
  <si>
    <t>SHAWD070867</t>
  </si>
  <si>
    <t>NEW ELECTRIC CAR MG 4 LUX, 2023</t>
  </si>
  <si>
    <t>1.ZCSU7995102-40HQ</t>
  </si>
  <si>
    <t>23106</t>
  </si>
  <si>
    <t>23107</t>
  </si>
  <si>
    <t>SHAWD070967</t>
  </si>
  <si>
    <t>NEW ELECTRIC CAR WULING MINI, 2021</t>
  </si>
  <si>
    <t>1.TGBU7718016-40HQ</t>
  </si>
  <si>
    <t>23108</t>
  </si>
  <si>
    <t>C01/24/300016</t>
  </si>
  <si>
    <t>1.MRSU3143758-40DRY</t>
  </si>
  <si>
    <t>ESCORTS KUBOTA LIMITED</t>
  </si>
  <si>
    <t>E230781997180308</t>
  </si>
  <si>
    <t>SITC KEELUNG V.2316S</t>
  </si>
  <si>
    <t>14-08-2023</t>
  </si>
  <si>
    <r>
      <t xml:space="preserve">IAAU1734410-40HQ(PART OF)
</t>
    </r>
    <r>
      <rPr>
        <sz val="11"/>
        <color rgb="FFFF0000"/>
        <rFont val="Calibri"/>
        <family val="2"/>
        <scheme val="minor"/>
      </rPr>
      <t>1.IAAU1743622-40HQ</t>
    </r>
    <r>
      <rPr>
        <sz val="11"/>
        <color theme="1"/>
        <rFont val="Calibri"/>
        <family val="2"/>
        <scheme val="minor"/>
      </rPr>
      <t xml:space="preserve">
</t>
    </r>
    <r>
      <rPr>
        <sz val="11"/>
        <color rgb="FFFF0000"/>
        <rFont val="Calibri"/>
        <family val="2"/>
        <scheme val="minor"/>
      </rPr>
      <t>2.IAAU1944951-40HQ</t>
    </r>
    <r>
      <rPr>
        <sz val="11"/>
        <color theme="1"/>
        <rFont val="Calibri"/>
        <family val="2"/>
        <scheme val="minor"/>
      </rPr>
      <t xml:space="preserve">
</t>
    </r>
    <r>
      <rPr>
        <sz val="11"/>
        <color rgb="FFFF0000"/>
        <rFont val="Calibri"/>
        <family val="2"/>
        <scheme val="minor"/>
      </rPr>
      <t>3.TGBU7709210-40HQ</t>
    </r>
  </si>
  <si>
    <r>
      <rPr>
        <sz val="11"/>
        <color rgb="FFFF0000"/>
        <rFont val="Calibri"/>
        <family val="2"/>
        <scheme val="minor"/>
      </rPr>
      <t>1.CAAU5136410-40HQ</t>
    </r>
    <r>
      <rPr>
        <sz val="11"/>
        <color theme="1"/>
        <rFont val="Calibri"/>
        <family val="2"/>
        <scheme val="minor"/>
      </rPr>
      <t xml:space="preserve">
</t>
    </r>
    <r>
      <rPr>
        <sz val="11"/>
        <color rgb="FFFF0000"/>
        <rFont val="Calibri"/>
        <family val="2"/>
        <scheme val="minor"/>
      </rPr>
      <t>2.IAAU1734410-40HQ</t>
    </r>
    <r>
      <rPr>
        <sz val="11"/>
        <color theme="1"/>
        <rFont val="Calibri"/>
        <family val="2"/>
        <scheme val="minor"/>
      </rPr>
      <t xml:space="preserve">
</t>
    </r>
    <r>
      <rPr>
        <sz val="11"/>
        <color rgb="FFFF0000"/>
        <rFont val="Calibri"/>
        <family val="2"/>
        <scheme val="minor"/>
      </rPr>
      <t>3.IAAU1737450-40HQ</t>
    </r>
    <r>
      <rPr>
        <sz val="11"/>
        <color theme="1"/>
        <rFont val="Calibri"/>
        <family val="2"/>
        <scheme val="minor"/>
      </rPr>
      <t xml:space="preserve">
</t>
    </r>
    <r>
      <rPr>
        <sz val="11"/>
        <color rgb="FFFF0000"/>
        <rFont val="Calibri"/>
        <family val="2"/>
        <scheme val="minor"/>
      </rPr>
      <t>4.IAAU1768277-40HQ</t>
    </r>
    <r>
      <rPr>
        <sz val="11"/>
        <color theme="1"/>
        <rFont val="Calibri"/>
        <family val="2"/>
        <scheme val="minor"/>
      </rPr>
      <t xml:space="preserve">
</t>
    </r>
    <r>
      <rPr>
        <sz val="11"/>
        <color rgb="FFFF0000"/>
        <rFont val="Calibri"/>
        <family val="2"/>
        <scheme val="minor"/>
      </rPr>
      <t>5.IAAU1798121-40HQ</t>
    </r>
    <r>
      <rPr>
        <sz val="11"/>
        <color theme="1"/>
        <rFont val="Calibri"/>
        <family val="2"/>
        <scheme val="minor"/>
      </rPr>
      <t xml:space="preserve">
</t>
    </r>
    <r>
      <rPr>
        <sz val="11"/>
        <color rgb="FFFF0000"/>
        <rFont val="Calibri"/>
        <family val="2"/>
        <scheme val="minor"/>
      </rPr>
      <t>6.SEGU6702425-40HQ</t>
    </r>
  </si>
  <si>
    <t>23109</t>
  </si>
  <si>
    <t>NSASHVG124205</t>
  </si>
  <si>
    <t>HQCKHCWZ028-E1</t>
  </si>
  <si>
    <t>NEW JETOUR BRAND CAR DASHING, LHD, 2023</t>
  </si>
  <si>
    <t>1.TGBU7064189-40'HC</t>
  </si>
  <si>
    <t>23110</t>
  </si>
  <si>
    <t>SHAWD071001</t>
  </si>
  <si>
    <t>E230781997180322</t>
  </si>
  <si>
    <t>1.BHCU5009391-40HQ
2.IAAU1717536-40HQ
3.IAAU1731051-40HQ
4.IAAU1800980-40HQ
5.IAAU1913863-40HQ
6.IAAU1932570-40HQ
7.SEKU4114474-40HQ</t>
  </si>
  <si>
    <t>23111</t>
  </si>
  <si>
    <t>SHAWD071002</t>
  </si>
  <si>
    <t>E230781997180324</t>
  </si>
  <si>
    <t>PHUOC LONG 6 V.244W</t>
  </si>
  <si>
    <t>01-09-2023</t>
  </si>
  <si>
    <t>GLS 16 V.335N</t>
  </si>
  <si>
    <t>03-09-2023</t>
  </si>
  <si>
    <t>23112</t>
  </si>
  <si>
    <t>SHAWD071168</t>
  </si>
  <si>
    <t>E230781997180346</t>
  </si>
  <si>
    <t>NEW CAR MG RX5, 2024</t>
  </si>
  <si>
    <t>1.ZCSU6715207-40HQ
2.ZCSU7352997-40HQ</t>
  </si>
  <si>
    <t>1.TEMU6167686-40HQ
2.ZCSU6665209-40HQ
3.ZCSU7215850-40HQ
4.ZCSU7461339-40HQ</t>
  </si>
  <si>
    <t>23113</t>
  </si>
  <si>
    <t>WUMD2318SHV710</t>
  </si>
  <si>
    <t>2023JL2309-1B</t>
  </si>
  <si>
    <t>-NEW JMC TRUCK T822 JX1054TG2 CHASSIS WITHOUT CARRIAGE, 2023
-NEW JMC TRUCK N601 JX1043DB2 CHASSIS WITHOUT CARRIAGE 2023</t>
  </si>
  <si>
    <t>1.TGBU7047509-40HC</t>
  </si>
  <si>
    <t>23114</t>
  </si>
  <si>
    <t>10HW210SH012</t>
  </si>
  <si>
    <t>DF23CV-378KH001-4</t>
  </si>
  <si>
    <t>NEW DUMP TRUCK DONGFENG DFH3250A, 2023</t>
  </si>
  <si>
    <t>23115</t>
  </si>
  <si>
    <t>NSASHVD129038</t>
  </si>
  <si>
    <t>HQCK0005</t>
  </si>
  <si>
    <t>NEW ELECTRIC BRAND CAR ZEEKR 009, 2023</t>
  </si>
  <si>
    <t>1.TGBU7050077-40HC</t>
  </si>
  <si>
    <t>DONGGUAN HONGQIANG</t>
  </si>
  <si>
    <t>GLSNLS023413209</t>
  </si>
  <si>
    <t>23116</t>
  </si>
  <si>
    <t>20230926/VP-BJC-KH</t>
  </si>
  <si>
    <t>VN-KH 23/01/041490</t>
  </si>
  <si>
    <t>GLS 16 V.340N</t>
  </si>
  <si>
    <t>1.BEAU4469502-40HC</t>
  </si>
  <si>
    <t>23117</t>
  </si>
  <si>
    <t>23118</t>
  </si>
  <si>
    <t>SHAWD071295</t>
  </si>
  <si>
    <t>SHAWD071432</t>
  </si>
  <si>
    <t>1.BMOU4515290-40HQ
2.CAIU4336269-40HQ
3.GAOU6437977-40HQ
4.SEGU5754358-40HQ
5.TCNU4260819-40HQ
6.TCNU5387201-40HQ 
7.TEMU7139138-40HQ
8.TEMU7725191-40HQ
9.TGHU6208339-40HQ
10.ZCSU7256340-40HQ
11.ZCSU8660269-40HQ</t>
  </si>
  <si>
    <t>1.MAGU5304973-40HQ
2.ZCSU6614731-40HQ
3.ZCSU7096534-40HQ
4.ZCSU7483678-40HQ
TCNU5387201-40HQ (PART OF)</t>
  </si>
  <si>
    <t>ភេទប្រុស មានអត្តសញ្ញាណប័ណ្ណសញ្ជាតិខ្មែរលេខៈ 020921342 ជាប្រធានក្រុមហ៊ុន GLOBAL GREEN (CAMBODIA) ENERGY DEVELOPMENT CO.,LTD អត្តសញ្ញាណកម្មសារពើពន្ធ (VAT)លេខៈ L001-107029847 ទូរសព្ទ័លេខៈ 098 425 713</t>
  </si>
  <si>
    <t>#205BC ផ្លូវ 51 សង្កាត់ បឹងកេងកងទី1 ខណ្ឌ ចំការមន រាជធានីភ្នំពេញ
VAT: L001-107029847</t>
  </si>
  <si>
    <t>#205BC ផ្លូវ 51 សង្កាត់ បឹងកេងកងទី1 ខណ្ឌ ចំការមន រាជធានីភ្នំពេញ VAT: L001-107029847</t>
  </si>
  <si>
    <t>L001-107029847</t>
  </si>
  <si>
    <t>09.10.23</t>
  </si>
  <si>
    <t>20497367ETC</t>
  </si>
  <si>
    <t>20497366ETC</t>
  </si>
  <si>
    <t>E230781997180400</t>
  </si>
  <si>
    <t>E230781997180399</t>
  </si>
  <si>
    <t>23119</t>
  </si>
  <si>
    <t>JALMAA-23092031</t>
  </si>
  <si>
    <t>EIC/2023/013/0769933A/00767436</t>
  </si>
  <si>
    <t>1.TRHU6592502-40HC</t>
  </si>
  <si>
    <t>PHUOC LONG 6 V.250W</t>
  </si>
  <si>
    <t>14.10.23</t>
  </si>
  <si>
    <t>SHENG DE BAO INVESTMENT CO., LTD</t>
  </si>
  <si>
    <t>#បុរីរុងរឿង ផ្ទះលេខG៣៧០០-១៩ ជាន់ទី២ បន្ទប់ R១៩០៣ ផ្លូវ Gប្លុកR៣ ភូមិ គៀនឃ្លាំង សង្កាត់ ព្រែកលៀប ខណ្ឌជ្រោយចង្វារ រាជធានីភ្ណំពេញ VAT: K008-902303036</t>
  </si>
  <si>
    <t>ZHANG HONGJUN</t>
  </si>
  <si>
    <t>EJ1364662</t>
  </si>
  <si>
    <t>K008-902303036</t>
  </si>
  <si>
    <t>097 728 7988</t>
  </si>
  <si>
    <t>ភេទប្រុស ដែលមានលិខិតឆ្លងដែនលេខៈ EJ1364662 ជាប្រធានក្រុមហ៊ុន SHENG DE BAO INVESTMENT CO., LTD អត្តសញ្ញាណកម្មសារពើពន្ធ (VAT)លេខៈ K008-902303036 ទូរសព្ទ័លេខៈ 097 728 7988</t>
  </si>
  <si>
    <t>23120</t>
  </si>
  <si>
    <t>23121</t>
  </si>
  <si>
    <t>SITSKSVD448789</t>
  </si>
  <si>
    <t>56 B-LINK</t>
  </si>
  <si>
    <t>SDB20230829-2C</t>
  </si>
  <si>
    <t>SITC SHANDONG V.2323S</t>
  </si>
  <si>
    <t>09.09.23</t>
  </si>
  <si>
    <t>NEW ELECTRIC CAR OF DENZA, 2023</t>
  </si>
  <si>
    <t>1.BMOU6460155-40HC
2.TGBU7826793-40HC</t>
  </si>
  <si>
    <t>CHINA NATIONAL VEHICLES</t>
  </si>
  <si>
    <t>SDB20230829-2B</t>
  </si>
  <si>
    <t>SITSKSVD450498</t>
  </si>
  <si>
    <t>NEW CAR DENZA D9 DMI PLUG IN HYBIRD, 2023</t>
  </si>
  <si>
    <t>1.SEGU6652216-40HC</t>
  </si>
  <si>
    <t>NEWPORT CYPRESS 16 V.310W</t>
  </si>
  <si>
    <t>13-10-2023</t>
  </si>
  <si>
    <t>23122</t>
  </si>
  <si>
    <t>COAU8044084970</t>
  </si>
  <si>
    <t>23-Y-EV67-003S</t>
  </si>
  <si>
    <t>DONGFENG BRAND CAR FENGON GLORY 500,2022
DONGFENG BRAND CAR FENGON GLORY 600,2023
DONGFENG BRAND CAR FENGON GLORY 600,2022</t>
  </si>
  <si>
    <t>1.OOCU7750116-40HQ</t>
  </si>
  <si>
    <t xml:space="preserve">CHONGQING SOKON </t>
  </si>
  <si>
    <t>CHQ00TRP23081827</t>
  </si>
  <si>
    <t>CHQ00TRP23081826</t>
  </si>
  <si>
    <t>CHQ00TRP23081899</t>
  </si>
  <si>
    <t>CHQ00TRP23082648</t>
  </si>
  <si>
    <t>CHQ00TRP23082646</t>
  </si>
  <si>
    <t>CHQ00TRP23082647</t>
  </si>
  <si>
    <t>CHQ00TRP23082505</t>
  </si>
  <si>
    <t>CHQ00TRP23083192</t>
  </si>
  <si>
    <t>CHQ00TRP23093642</t>
  </si>
  <si>
    <t>CHQ00TRP23093648</t>
  </si>
  <si>
    <t>CHQ00TRP23094050</t>
  </si>
  <si>
    <t>CHQ00TRP23105295</t>
  </si>
  <si>
    <t>CHQ00TRP23105840</t>
  </si>
  <si>
    <t>CHQ00TRP23105892</t>
  </si>
  <si>
    <t>CHQ00TRP23105548</t>
  </si>
  <si>
    <t>CHQ00TRP23105902</t>
  </si>
  <si>
    <t>CHQ00TRP23106168</t>
  </si>
  <si>
    <t>CHQ00TRP23106121</t>
  </si>
  <si>
    <t>CHQ00TRP23106095</t>
  </si>
  <si>
    <t>23123</t>
  </si>
  <si>
    <t>GLSNLS013453282</t>
  </si>
  <si>
    <t>20231020/VP-BJC-KH</t>
  </si>
  <si>
    <t>1.SEKU5535230-40HC</t>
  </si>
  <si>
    <t>VN-KH 23/01/044936</t>
  </si>
  <si>
    <t>23124</t>
  </si>
  <si>
    <t>SHAWD071497</t>
  </si>
  <si>
    <t>E230781997180451</t>
  </si>
  <si>
    <t>23125</t>
  </si>
  <si>
    <t>MOLU18005248757</t>
  </si>
  <si>
    <t>23-Y-EV67-004S</t>
  </si>
  <si>
    <t>23126</t>
  </si>
  <si>
    <r>
      <rPr>
        <sz val="11"/>
        <color rgb="FFFF0000"/>
        <rFont val="Calibri"/>
        <family val="2"/>
        <scheme val="minor"/>
      </rPr>
      <t>1.FSCU8223078-40HQ</t>
    </r>
    <r>
      <rPr>
        <sz val="11"/>
        <color theme="1"/>
        <rFont val="Calibri"/>
        <family val="2"/>
        <scheme val="minor"/>
      </rPr>
      <t xml:space="preserve">
</t>
    </r>
    <r>
      <rPr>
        <sz val="11"/>
        <color rgb="FFFF0000"/>
        <rFont val="Calibri"/>
        <family val="2"/>
        <scheme val="minor"/>
      </rPr>
      <t>2.GAOU6136227-40HQ</t>
    </r>
    <r>
      <rPr>
        <sz val="11"/>
        <color theme="1"/>
        <rFont val="Calibri"/>
        <family val="2"/>
        <scheme val="minor"/>
      </rPr>
      <t xml:space="preserve">
</t>
    </r>
    <r>
      <rPr>
        <sz val="11"/>
        <color rgb="FFFF0000"/>
        <rFont val="Calibri"/>
        <family val="2"/>
        <scheme val="minor"/>
      </rPr>
      <t>3.GAOU6435418-40HQ</t>
    </r>
    <r>
      <rPr>
        <sz val="11"/>
        <color theme="1"/>
        <rFont val="Calibri"/>
        <family val="2"/>
        <scheme val="minor"/>
      </rPr>
      <t xml:space="preserve">
</t>
    </r>
    <r>
      <rPr>
        <sz val="11"/>
        <color rgb="FFFF0000"/>
        <rFont val="Calibri"/>
        <family val="2"/>
        <scheme val="minor"/>
      </rPr>
      <t>4.JXLU7841215-40HQ</t>
    </r>
  </si>
  <si>
    <t>LONG SON 01 V.346N</t>
  </si>
  <si>
    <t>23127</t>
  </si>
  <si>
    <t>104413SH006A</t>
  </si>
  <si>
    <t>DF23CV-374KH0825-1</t>
  </si>
  <si>
    <t>23128</t>
  </si>
  <si>
    <t>104413SH007</t>
  </si>
  <si>
    <t>KLP.T TRANSPORTATION CO.,LTD</t>
  </si>
  <si>
    <t>JD231089</t>
  </si>
  <si>
    <t>New Dump Trailer MATADOR JDV9400ZHX, 2024</t>
  </si>
  <si>
    <t>HUBEI OUYANG JUDE AUTOMOBILE CO.,LTD</t>
  </si>
  <si>
    <t>23129</t>
  </si>
  <si>
    <t>104413SH006B</t>
  </si>
  <si>
    <t>DF23CV-374KH0825-2</t>
  </si>
  <si>
    <t>New Tractor Head DONGFENG DFH4250D, 2023</t>
  </si>
  <si>
    <t>SHAWD071545</t>
  </si>
  <si>
    <t>1.BEAU5550223-40HQ
2.BMOU4112510-40HQ
3.CAIU9219780-40HQ
4.FSCU8217521-40HQ
5.TCNU2756501-40HQ
6.TEMU6649991-40HQ
7.ZCSU7159150-40HQ
8.ZCSU7352744-40HQ
9.ZCSU7973660-40HQ</t>
  </si>
  <si>
    <t>MEAS THOM</t>
  </si>
  <si>
    <t>ភេទប្រុស ដែលមានលិខិតឆ្លងដែនលេខៈ 020907113(1) ជាប្រធានក្រុមហ៊ុន KLP.T TRANSPORTATION CO.,LTD អត្តសញ្ញាណកម្មសារពើពន្ធ (VAT)លេខៈ B105-902203319 ទូរសព្ទ័លេខៈ 098 425 713</t>
  </si>
  <si>
    <t>020907113(1)</t>
  </si>
  <si>
    <t>B105-902203319</t>
  </si>
  <si>
    <t>096 505 9504</t>
  </si>
  <si>
    <t>#​ ផ្លូវ ៥១ ភូមិ រោងដំរី ឃុំ ភ្នំតូច ស្រុក ឧដុង្គ ខេត្ត កំពង់ស្ពឺ VAT: B105-902203319</t>
  </si>
  <si>
    <t>23130</t>
  </si>
  <si>
    <t>GLSNLS013463308</t>
  </si>
  <si>
    <t>20231027/VP-BJC-KH</t>
  </si>
  <si>
    <t>48,698.70</t>
  </si>
  <si>
    <t>1.SEKU5534980-40HC, 2.GAOU6127375-40HC, 3.GAOU6458049-40HC</t>
  </si>
  <si>
    <t>201 ROLL</t>
  </si>
  <si>
    <t>VN-KH 23/01/046963</t>
  </si>
  <si>
    <t>LONG SON 02 V.347N</t>
  </si>
  <si>
    <t>10.11.23</t>
  </si>
  <si>
    <t>23131</t>
  </si>
  <si>
    <t>E230781997180482</t>
  </si>
  <si>
    <t>23132</t>
  </si>
  <si>
    <t>COAU7246269700</t>
  </si>
  <si>
    <t>CGC-2023-1025</t>
  </si>
  <si>
    <t>NEW JETOUR BRAND CAR DASHING, 2023</t>
  </si>
  <si>
    <t>1.CSNU6052716-40HQ
2.OOCU7337463-40HQ</t>
  </si>
  <si>
    <t>CHERY COMMERCIAL</t>
  </si>
  <si>
    <t>TH23110417</t>
  </si>
  <si>
    <t>012/2023</t>
  </si>
  <si>
    <t>SRI AMPHAN V.0006E</t>
  </si>
  <si>
    <t xml:space="preserve">CARTON BOX, PLASTIC WRAPPER, Sticker Barcode, Paper Core, Donut. </t>
  </si>
  <si>
    <t>23133</t>
  </si>
  <si>
    <t>GLSN163473380</t>
  </si>
  <si>
    <t>VN-KH 23/03/002728</t>
  </si>
  <si>
    <t>1.DRYU9979952/ GLS1987323</t>
  </si>
  <si>
    <t>THACO MOTORCYCLE</t>
  </si>
  <si>
    <t>23134</t>
  </si>
  <si>
    <t>SHAWD071710A</t>
  </si>
  <si>
    <t>NEW CAR MG RX8, 2024</t>
  </si>
  <si>
    <t>1.IAAU1753831-40HQ
2.IAAU1805180-40HQ
3.IAAU1824730-40HQ
4.IAAU1940684-40HQ
5.TCLU7957543-40HQ
6.TGBU7693290-40HQ</t>
  </si>
  <si>
    <t>23135</t>
  </si>
  <si>
    <t>SHAWD071710</t>
  </si>
  <si>
    <t>1.IAAU1719061-40HQ
2.IAAU1757781-40HQ
3.IAAU1785130-40HQ
4.IAAU1834424-40HQ
5.IAAU1867201-40HQ
6.IAAU1891851-40HQ
7.IAAU1919558-40HQ
8.IAAU1921724-40HQ
9.TCKU6574054-40HQ
10.TGBU7712487-40HQ</t>
  </si>
  <si>
    <t>23136</t>
  </si>
  <si>
    <t>COAU8045036150</t>
  </si>
  <si>
    <t>23-Y-EV67-006</t>
  </si>
  <si>
    <t>E230781997180512</t>
  </si>
  <si>
    <t>E230781997180511</t>
  </si>
  <si>
    <t>1.TGHU9735890-40HQ
2.OOCU7302739-40HQ</t>
  </si>
  <si>
    <t>23137</t>
  </si>
  <si>
    <t>GLSN073493409</t>
  </si>
  <si>
    <t>20231124/VP-BJC-KH</t>
  </si>
  <si>
    <t>1.GAOU6458748-40HC, 2.SEKU5535307-40HC</t>
  </si>
  <si>
    <t>96 ROLLS</t>
  </si>
  <si>
    <t>GLS16 V348N</t>
  </si>
  <si>
    <t>04.12.23</t>
  </si>
  <si>
    <t>VN-KH 23/01/051225</t>
  </si>
  <si>
    <t>23138</t>
  </si>
  <si>
    <t>SHAWD071780</t>
  </si>
  <si>
    <t>1.IAAU1740264-40HQ
2.IAAU1753132-40HQ
3.IAAU1793650-40HQ
4.IAAU1806438-40HQ
5.IAAU1817221-40HQ
6.IAAU1821387-40HQ
7.IAAU1852114-40HQ
8.IAAU1888781-40HQ
9.IAAU1934887-40HQ
10.IAAU1940278-40HQ
11.IAAU1948371-40HQ
12.IAAU2924440-20GP
13.TCKU6111147-40HQ
14.TCLU7834765-40HQ</t>
  </si>
  <si>
    <t>E230781997180540</t>
  </si>
  <si>
    <t>23139</t>
  </si>
  <si>
    <t>COAU8045525790</t>
  </si>
  <si>
    <t>2023JL2311-1B</t>
  </si>
  <si>
    <t>JMC TRUCK T822 JX5040XXYXGB2, 2023</t>
  </si>
  <si>
    <t>23140</t>
  </si>
  <si>
    <t>FD AUTO (CAMBODIA) INTERNATIONAL TRADE CO., LTD</t>
  </si>
  <si>
    <t>SGMWKH2023056-3A</t>
  </si>
  <si>
    <t>NEW LIGHT TRUCK OF WULING RONGGUANG (LZW1028GHU), 2023</t>
  </si>
  <si>
    <t>1.MRKU3313297-40 DRY</t>
  </si>
  <si>
    <t>SAIC GM WULING</t>
  </si>
  <si>
    <t>LUO PENG</t>
  </si>
  <si>
    <t>ភេទប្រុស ដែលមានលិខិតឆ្លងដែនលេខៈ EJ3905555 ជាប្រធានក្រុមហ៊ុន FD AUTO (CAMBODIA) INTERNATIONAL TRADE CO., LTD អត្តសញ្ញាណកម្មសារពើពន្ធ (VAT)លេខៈ K001-902202691 ទូរសព្ទ័លេខៈ 097 728 7988</t>
  </si>
  <si>
    <t>EJ3905555</t>
  </si>
  <si>
    <t>K001-902202691</t>
  </si>
  <si>
    <t xml:space="preserve"> #២៧៨H ផ្លូវជាតិលេខ៦អា ភូមិគៀនឃ្លាំង សង្កាត់ព្រែកលៀប ខណ្ឌជ្រោយចង្វារ រាជធានីភ្នំពេញ VAT: B105-902203319</t>
  </si>
  <si>
    <t>1.TEXU0010034-20FL
2.TEXU0011956-20FL</t>
  </si>
  <si>
    <t>GLS16 V.347N</t>
  </si>
  <si>
    <t>27-11-2023</t>
  </si>
  <si>
    <t>WUL</t>
  </si>
  <si>
    <t>https://maps.app.goo.gl/8FzUWyHaxFMwdmLG8</t>
  </si>
  <si>
    <t>CHQ00TRP23106564</t>
  </si>
  <si>
    <t>CHQ00TRP23106623</t>
  </si>
  <si>
    <t>CHQ00TRP23117270</t>
  </si>
  <si>
    <t>CHQ00TRP23117590</t>
  </si>
  <si>
    <t>CHQ00TRP23128536</t>
  </si>
  <si>
    <t>CHQ00TRP23128498</t>
  </si>
  <si>
    <t>CHQ00TRP23128537</t>
  </si>
  <si>
    <t>CHQ00TRP23129329</t>
  </si>
  <si>
    <t>CHQ00TRP23129337</t>
  </si>
  <si>
    <t>CHQ00TRP23129251</t>
  </si>
  <si>
    <t>23141</t>
  </si>
  <si>
    <t>YMJAI236336399</t>
  </si>
  <si>
    <t>2023JL2311-2B</t>
  </si>
  <si>
    <t>1.YMLU7024939-40FC
2.YMLU7006581-40FC</t>
  </si>
  <si>
    <t>JIANGXI JIANGLING</t>
  </si>
  <si>
    <t>24001</t>
  </si>
  <si>
    <t>2023JL2313B</t>
  </si>
  <si>
    <t>NEW JMC BUS N520 JX6571T-M5, 2024
NEW JMC BUS N520 JX6491T-M5, 2024</t>
  </si>
  <si>
    <t>1.FFAU4303754/SITC857729</t>
  </si>
  <si>
    <t>24002</t>
  </si>
  <si>
    <t>2023JL2314-1B</t>
  </si>
  <si>
    <t>NEW JMC PICK UP GRAND AVENUE,2023</t>
  </si>
  <si>
    <t>1.SITU9106897/SITC857721
2.TRHU6973160/SITC857730</t>
  </si>
  <si>
    <t>24003</t>
  </si>
  <si>
    <t>JALMAA-23113038</t>
  </si>
  <si>
    <t>EIC/2023/013/1000896A/01014305</t>
  </si>
  <si>
    <t>03-01-2024</t>
  </si>
  <si>
    <t>1.FDCU0508476/IN1364013</t>
  </si>
  <si>
    <t>34 BOXES</t>
  </si>
  <si>
    <t>https://maps.app.goo.gl/2tvM1nyFbV613EuVA</t>
  </si>
  <si>
    <t>FAW TRUCKS</t>
  </si>
  <si>
    <t>24004</t>
  </si>
  <si>
    <t>JF MOTOR CO., LTD</t>
  </si>
  <si>
    <t>ZHANG XINLEI</t>
  </si>
  <si>
    <t>#ឃ្លាំងលេខ ៥១A ផ្លូវ ហាណូយ ភូមិ បាយ៉ាប សង្កាត់ ភ្នំពេញថ្មី ខណ្ឌ សែនសុខ រាជធានីភ្នំពេញ  VAT: K009-902202715</t>
  </si>
  <si>
    <t>24005</t>
  </si>
  <si>
    <t>MG 60M</t>
  </si>
  <si>
    <t>MG SR</t>
  </si>
  <si>
    <t>https://maps.app.goo.gl/qWxmFSEBYSm1igPZ6?g_st=ic</t>
  </si>
  <si>
    <t>https://maps.app.goo.gl/ABRHiNiopnSau79k7?g_st=ic</t>
  </si>
  <si>
    <t>SHAWD071907</t>
  </si>
  <si>
    <t>20516234ETC</t>
  </si>
  <si>
    <t>1.IAAU1730292-40HQ
2.IAAU1737070-40HQ
3.IAAU1781860-40HQ
4.IAAU1789310-40HQ
5.IAAU1796068-40HQ
6.IAAU1800846-40HQ
7.IAAU1845075-40HQ
8.IAAU1890541-40HQ
9.IAAU1901780-40HQ
10.IAAU1904183-40HQ
11.IAAU1920646-40HQ
12.IAAU1933155-40HQ
13.IAAU1940982-40HQ
14.TGBU7703633-40HQ</t>
  </si>
  <si>
    <t>24006</t>
  </si>
  <si>
    <t>104605SH103</t>
  </si>
  <si>
    <t>JD231095</t>
  </si>
  <si>
    <t>New Dump Trailer JDV9400ZHX, 2024</t>
  </si>
  <si>
    <t xml:space="preserve">HUBEI OUYANG </t>
  </si>
  <si>
    <t>10-01-2024</t>
  </si>
  <si>
    <t>PHUOC LONG 10 V.243W</t>
  </si>
  <si>
    <t>EVER CHAMPION V.104605</t>
  </si>
  <si>
    <t>104605SH106</t>
  </si>
  <si>
    <t>DF23CV-374KH002-1</t>
  </si>
  <si>
    <t>New Tipper Truck DONGFENG DFH3250A,2023</t>
  </si>
  <si>
    <t xml:space="preserve">China Dong Feng </t>
  </si>
  <si>
    <t>#B២-០៤៥ អគារ The Elysee កោះពេជ្រ ផ្លូវបាសាក់ សង្កាត់ទន្លេបាសាក់ ខណ្ឌចំការមន រាជធានីភ្នំពេញ
VAT: L001-180001159</t>
  </si>
  <si>
    <t>#B២-០៤៥ អគារ The Elysee កោះពេជ្រ ផ្លូវបាសាក់ សង្កាត់ទន្លេបាសាក់ ខណ្ឌចំការមន រាជធានីភ្នំពេញ VAT: L001-180001159</t>
  </si>
  <si>
    <t>០68 666 868</t>
  </si>
  <si>
    <t>ភេទប្រុស មានអត្តសញ្ញាណប័ណ្ណសញ្ជាតិខ្មែរលេខៈ 010954723 ជាប្រធានក្រុមហ៊ុន TAING CHENG OING CONSTRUCTION &amp;IMPORT EXPORT CO.,LTD អត្តសញ្ញាណកម្មសារពើពន្ធ (VAT)លេខៈ L001-180001159 ទូរសព្ទ័លេខៈ 068 666 868</t>
  </si>
  <si>
    <t>E240781997180014</t>
  </si>
  <si>
    <t>24007</t>
  </si>
  <si>
    <t>GLSN074013528</t>
  </si>
  <si>
    <t>20231227/VP-BJC-KH</t>
  </si>
  <si>
    <t>VN-KH 24/01/000332</t>
  </si>
  <si>
    <t>GLS CUU LONG V.402N</t>
  </si>
  <si>
    <t>12-01-2024</t>
  </si>
  <si>
    <t>1.SEKU5534569-40HC, 2.GAOU6458542-40HC</t>
  </si>
  <si>
    <t>24009</t>
  </si>
  <si>
    <t>C01/24/300050</t>
  </si>
  <si>
    <t>1.EGHU9598196-40H</t>
  </si>
  <si>
    <t>24008</t>
  </si>
  <si>
    <t>TH24010325</t>
  </si>
  <si>
    <t>001/2024</t>
  </si>
  <si>
    <t>SRI AMPHAN V.0016E</t>
  </si>
  <si>
    <t>15-01-2024</t>
  </si>
  <si>
    <t>CARTON BOX, PLASTIC WRAPPER, PAPER CORE, KRAFT PAPER, DONUT</t>
  </si>
  <si>
    <t>EGLV102300065772</t>
  </si>
  <si>
    <t>24010</t>
  </si>
  <si>
    <t>EGLV142400016454</t>
  </si>
  <si>
    <t>CAMBODIA-CGC-2023-1223</t>
  </si>
  <si>
    <t>NEW JETOUR BRAND CAR X70, (2024)
NEW JETOUR BRAND CAR X70PLUS ,(2024)
NEW JETOUR BRAND CAR X90PLUS, (2024)</t>
  </si>
  <si>
    <t>1.TGBU6609582-40H
2.TCNU3776360-40H
3.TRHU5076374-40H
4.EITU1825822-40H
5.EITU1082814-40H</t>
  </si>
  <si>
    <t xml:space="preserve">CHERY AUTOMOBILE </t>
  </si>
  <si>
    <t>24011</t>
  </si>
  <si>
    <t>SHAWD072057</t>
  </si>
  <si>
    <t>24012</t>
  </si>
  <si>
    <t>SHAWD072015</t>
  </si>
  <si>
    <t>1.IAAU1757143-40HQ</t>
  </si>
  <si>
    <t>24013</t>
  </si>
  <si>
    <t>COAU7247182200</t>
  </si>
  <si>
    <t>24-Y-EV67-008</t>
  </si>
  <si>
    <t>NEW CAR DONGFENG FENGON GLORY 600, 2023</t>
  </si>
  <si>
    <t>24014</t>
  </si>
  <si>
    <t>COAU7247169390</t>
  </si>
  <si>
    <t>2023JL2314-2B</t>
  </si>
  <si>
    <t>27-01-2024</t>
  </si>
  <si>
    <t>NEW JMC TRUCK T822, 2024</t>
  </si>
  <si>
    <t>1.CSNU8042126-40HQ</t>
  </si>
  <si>
    <t>24015</t>
  </si>
  <si>
    <t>VLP/FE/23/12/B/0084</t>
  </si>
  <si>
    <t>MEKONG 06 V.192W</t>
  </si>
  <si>
    <t>NEW ROYAL ENFIELD MOTORCYCLES</t>
  </si>
  <si>
    <t>1.NYKU4318977/IN1363474</t>
  </si>
  <si>
    <t>E240781997180024</t>
  </si>
  <si>
    <t>E240781997180027</t>
  </si>
  <si>
    <t>24016</t>
  </si>
  <si>
    <t>SITSKSVG483562</t>
  </si>
  <si>
    <t>2023FAW0312HQE003-2&amp;2023FAW0361HQE001-2</t>
  </si>
  <si>
    <t>NEW CAR HONGQI CAR H5, MODEL YEAR 2023
NEW CAR HONGQI CAR HS3, MODEL YEAR 2023</t>
  </si>
  <si>
    <t>1.UETU5783430-40HC
2.TLLU4738940-40HC
3.TLLU4071502-40HC</t>
  </si>
  <si>
    <t>PHUOC LONG 6 V.W266</t>
  </si>
  <si>
    <t>03-02-2024</t>
  </si>
  <si>
    <t>Commodity</t>
  </si>
  <si>
    <t>NEW CAR  MG HS, LHD, MODEL YEAR 2024</t>
  </si>
  <si>
    <t>24017</t>
  </si>
  <si>
    <t>SHAWD072140</t>
  </si>
  <si>
    <t>NEW CAR MG HS, 1.5T AT COM, 2024</t>
  </si>
  <si>
    <t>E240781997180040</t>
  </si>
  <si>
    <t>24018</t>
  </si>
  <si>
    <t>104578SH005</t>
  </si>
  <si>
    <t>ST20240232</t>
  </si>
  <si>
    <t>NEW BULLDOZER SHANTUI DH17C3, 2024</t>
  </si>
  <si>
    <r>
      <rPr>
        <sz val="11"/>
        <color rgb="FFFF0000"/>
        <rFont val="Calibri"/>
        <family val="2"/>
        <scheme val="minor"/>
      </rPr>
      <t xml:space="preserve">1.OOCU7591082-40HQ </t>
    </r>
    <r>
      <rPr>
        <sz val="11"/>
        <color theme="1"/>
        <rFont val="Calibri"/>
        <family val="2"/>
        <scheme val="minor"/>
      </rPr>
      <t xml:space="preserve">
</t>
    </r>
    <r>
      <rPr>
        <sz val="11"/>
        <color rgb="FFFF0000"/>
        <rFont val="Calibri"/>
        <family val="2"/>
        <scheme val="minor"/>
      </rPr>
      <t>2.OOLU8940966-40HQ</t>
    </r>
  </si>
  <si>
    <t>24019</t>
  </si>
  <si>
    <t>GLSN074063626</t>
  </si>
  <si>
    <t>20240129/VP-BJC-KH</t>
  </si>
  <si>
    <t>1.SEKU5534701-40HC, 2.SEKU5535333-40HC, 3.SEKU5534698-40HC</t>
  </si>
  <si>
    <t>VN-KH 24/01/006167</t>
  </si>
  <si>
    <t>CHQ00TRP231210020</t>
  </si>
  <si>
    <t>CHQ00TRP2401165</t>
  </si>
  <si>
    <t>CHQ00TRP2401126</t>
  </si>
  <si>
    <t>CHQ00TRP2401670</t>
  </si>
  <si>
    <t>CHQ00TRP24011201</t>
  </si>
  <si>
    <t>CHQ00TRP24011054</t>
  </si>
  <si>
    <t>CHQ00TRP24011507</t>
  </si>
  <si>
    <t>CHQ00TRP24011515</t>
  </si>
  <si>
    <t>CHQ00TRP24022061</t>
  </si>
  <si>
    <t>24020</t>
  </si>
  <si>
    <t>NSASHVD142993</t>
  </si>
  <si>
    <t>AUTOHOME(CAMBODIA) IMPORT EXPORT CO.,LTD.</t>
  </si>
  <si>
    <t>1.SITU9094688-40HC</t>
  </si>
  <si>
    <t>SHENZHEN WIDE</t>
  </si>
  <si>
    <t>24021</t>
  </si>
  <si>
    <t>SHAWD072216</t>
  </si>
  <si>
    <t>LI TAO</t>
  </si>
  <si>
    <r>
      <t xml:space="preserve">ភេទប្រុស ដែលមានលិខិតឆ្លងដែនលេខៈ EE9756253 ជាប្រធានក្រុមហ៊ុន AUTOHOME(CAMBODIA) IMPORT EXPORT CO.,LTD. អត្តសញ្ញាណកម្មសារពើពន្ធ (VAT)លេខៈ K009-902303928 ទូរសព្ទ័លេខៈ </t>
    </r>
    <r>
      <rPr>
        <sz val="9"/>
        <color rgb="FF00B050"/>
        <rFont val="Khmer OS Siemreap"/>
      </rPr>
      <t>097 728 7988</t>
    </r>
  </si>
  <si>
    <t>#៨៥៦ ផ្លូវ សហព័ប្ធរុស្ស៊ី (១១០), ក្រុមទី៥ ភូមិ ទឹកថ្លា សង្កាត់ ទឹកថ្លា ខណ្ឌ សែនសុខ រាជធានីភ្នំពេញ  VAT: K009-902303928</t>
  </si>
  <si>
    <t>EE9756253</t>
  </si>
  <si>
    <t>K009-902303928</t>
  </si>
  <si>
    <t>EIC/2024/013/0092523A/00103457</t>
  </si>
  <si>
    <t>NEW CAR MG ZS, 2024</t>
  </si>
  <si>
    <t>AUTOHOME</t>
  </si>
  <si>
    <t>https://maps.app.goo.gl/2AHTffvCQvkcsz717?g_st=iw</t>
  </si>
  <si>
    <t>24022</t>
  </si>
  <si>
    <t>Y.U.A.S (CAMBODIA) CO., LTD.</t>
  </si>
  <si>
    <t>SR-601000</t>
  </si>
  <si>
    <t>NEW LEXUS  LX600, 2024</t>
  </si>
  <si>
    <t>1.KOCU5057330-40HC</t>
  </si>
  <si>
    <t>CHINADA AUTO</t>
  </si>
  <si>
    <t>24023</t>
  </si>
  <si>
    <t>SR-601001</t>
  </si>
  <si>
    <t>ADRIFT TRADING</t>
  </si>
  <si>
    <t>KOCU5057330-40HC (PART OF)</t>
  </si>
  <si>
    <t>POV VUTHA</t>
  </si>
  <si>
    <t>ភេទប្រុស មានអត្តសញ្ញាណប័ណ្ណសញ្ជាតិខ្មែរលេខៈ 020537376(01) ជាប្រធានក្រុមហ៊ុន  Y.U.A.S (CAMBODIA) CO., LTD អត្តសញ្ញាណកម្មសារពើពន្ធ (VAT)លេខៈ K008-902302426 ទូរសព្ទ័លេខៈ 087 326 711</t>
  </si>
  <si>
    <t>#២០ ផ្លូវ ២០៩ CW ភូមិព្រែកតាគង់ សង្កាត់ព្រែកតាសេក ខណ្ឌជ្រោយចង្វារ រាជធានីភ្នំពេញ  VAT: K008-902302426</t>
  </si>
  <si>
    <t>020537376(01)</t>
  </si>
  <si>
    <t>K008-902302426</t>
  </si>
  <si>
    <t xml:space="preserve">០87 326 711 </t>
  </si>
  <si>
    <t>24024</t>
  </si>
  <si>
    <t>WUXD2404SHV038</t>
  </si>
  <si>
    <t>2023JL2314-3B</t>
  </si>
  <si>
    <t>JMC PICK UP GRAND AVENUE, 2024</t>
  </si>
  <si>
    <t>24025</t>
  </si>
  <si>
    <t>WUED2404SHV039</t>
  </si>
  <si>
    <t>2023JL2314-4B</t>
  </si>
  <si>
    <t>KAUTO</t>
  </si>
  <si>
    <t>ZG20240202</t>
  </si>
  <si>
    <t>TENG LAY(H)</t>
  </si>
  <si>
    <t>TENG LAY(S)</t>
  </si>
  <si>
    <t>HDMUVANA86601000</t>
  </si>
  <si>
    <t>HDMUVANA86601001</t>
  </si>
  <si>
    <t>24026</t>
  </si>
  <si>
    <t>SHAWD072230</t>
  </si>
  <si>
    <t>NEWPORT CYPRESS 19 V.328W</t>
  </si>
  <si>
    <t>18-02-2024</t>
  </si>
  <si>
    <t>1.IAAU1953716-40HC</t>
  </si>
  <si>
    <t>24027</t>
  </si>
  <si>
    <t>VLP/FE/24/01/B/0039</t>
  </si>
  <si>
    <t>EIC/2024/013/0078994A/00088436</t>
  </si>
  <si>
    <t>1.FFAU3650656/IN1367214</t>
  </si>
  <si>
    <t>33 BOX(S)</t>
  </si>
  <si>
    <r>
      <rPr>
        <sz val="11"/>
        <color rgb="FFFF0000"/>
        <rFont val="Calibri"/>
        <family val="2"/>
        <scheme val="minor"/>
      </rPr>
      <t>1.BEAU5980369-40HQ</t>
    </r>
    <r>
      <rPr>
        <sz val="11"/>
        <color theme="1"/>
        <rFont val="Calibri"/>
        <family val="2"/>
        <scheme val="minor"/>
      </rPr>
      <t xml:space="preserve">
</t>
    </r>
    <r>
      <rPr>
        <sz val="11"/>
        <color rgb="FFFF0000"/>
        <rFont val="Calibri"/>
        <family val="2"/>
        <scheme val="minor"/>
      </rPr>
      <t>2.IAAU1703867-40HQ</t>
    </r>
    <r>
      <rPr>
        <sz val="11"/>
        <color theme="1"/>
        <rFont val="Calibri"/>
        <family val="2"/>
        <scheme val="minor"/>
      </rPr>
      <t xml:space="preserve">
</t>
    </r>
    <r>
      <rPr>
        <sz val="11"/>
        <color rgb="FFFF0000"/>
        <rFont val="Calibri"/>
        <family val="2"/>
        <scheme val="minor"/>
      </rPr>
      <t>3.IAAU1735057-40HQ</t>
    </r>
    <r>
      <rPr>
        <sz val="11"/>
        <color theme="1"/>
        <rFont val="Calibri"/>
        <family val="2"/>
        <scheme val="minor"/>
      </rPr>
      <t xml:space="preserve">
</t>
    </r>
    <r>
      <rPr>
        <sz val="11"/>
        <color rgb="FFFF0000"/>
        <rFont val="Calibri"/>
        <family val="2"/>
        <scheme val="minor"/>
      </rPr>
      <t>4.IAAU1784998-40HQ</t>
    </r>
    <r>
      <rPr>
        <sz val="11"/>
        <color theme="1"/>
        <rFont val="Calibri"/>
        <family val="2"/>
        <scheme val="minor"/>
      </rPr>
      <t xml:space="preserve">
</t>
    </r>
    <r>
      <rPr>
        <sz val="11"/>
        <color rgb="FFFF0000"/>
        <rFont val="Calibri"/>
        <family val="2"/>
        <scheme val="minor"/>
      </rPr>
      <t>5.IAAU1862241-40HQ</t>
    </r>
    <r>
      <rPr>
        <sz val="11"/>
        <color theme="1"/>
        <rFont val="Calibri"/>
        <family val="2"/>
        <scheme val="minor"/>
      </rPr>
      <t xml:space="preserve">
</t>
    </r>
    <r>
      <rPr>
        <sz val="11"/>
        <color rgb="FFFF0000"/>
        <rFont val="Calibri"/>
        <family val="2"/>
        <scheme val="minor"/>
      </rPr>
      <t>6.IAAU1920559-40HQ</t>
    </r>
    <r>
      <rPr>
        <sz val="11"/>
        <color theme="1"/>
        <rFont val="Calibri"/>
        <family val="2"/>
        <scheme val="minor"/>
      </rPr>
      <t xml:space="preserve">
</t>
    </r>
    <r>
      <rPr>
        <sz val="11"/>
        <color rgb="FFFF0000"/>
        <rFont val="Calibri"/>
        <family val="2"/>
        <scheme val="minor"/>
      </rPr>
      <t>7.IAAU1953341-40HQ</t>
    </r>
    <r>
      <rPr>
        <sz val="11"/>
        <color theme="1"/>
        <rFont val="Calibri"/>
        <family val="2"/>
        <scheme val="minor"/>
      </rPr>
      <t xml:space="preserve">
</t>
    </r>
    <r>
      <rPr>
        <sz val="11"/>
        <color rgb="FFFF0000"/>
        <rFont val="Calibri"/>
        <family val="2"/>
        <scheme val="minor"/>
      </rPr>
      <t>8.WHLU5661703-40HQ</t>
    </r>
    <r>
      <rPr>
        <sz val="11"/>
        <color theme="1"/>
        <rFont val="Calibri"/>
        <family val="2"/>
        <scheme val="minor"/>
      </rPr>
      <t xml:space="preserve">
</t>
    </r>
    <r>
      <rPr>
        <sz val="11"/>
        <color rgb="FFFF0000"/>
        <rFont val="Calibri"/>
        <family val="2"/>
        <scheme val="minor"/>
      </rPr>
      <t>9.WHSU5205210-40HQ</t>
    </r>
    <r>
      <rPr>
        <sz val="11"/>
        <color theme="1"/>
        <rFont val="Calibri"/>
        <family val="2"/>
        <scheme val="minor"/>
      </rPr>
      <t xml:space="preserve">
</t>
    </r>
    <r>
      <rPr>
        <sz val="11"/>
        <color rgb="FFFF0000"/>
        <rFont val="Calibri"/>
        <family val="2"/>
        <scheme val="minor"/>
      </rPr>
      <t>10.WHSU5720308-40HQ</t>
    </r>
  </si>
  <si>
    <r>
      <rPr>
        <sz val="11"/>
        <color rgb="FFFF0000"/>
        <rFont val="Calibri"/>
        <family val="2"/>
        <scheme val="minor"/>
      </rPr>
      <t>1.TCLU1552018-40HQ</t>
    </r>
    <r>
      <rPr>
        <sz val="11"/>
        <color theme="1"/>
        <rFont val="Calibri"/>
        <family val="2"/>
        <scheme val="minor"/>
      </rPr>
      <t xml:space="preserve">
</t>
    </r>
    <r>
      <rPr>
        <sz val="11"/>
        <color rgb="FFFF0000"/>
        <rFont val="Calibri"/>
        <family val="2"/>
        <scheme val="minor"/>
      </rPr>
      <t>2.TCLU9149626-40HQ
3.TCNU3327667-40HQ
4.TCNU4330310-40HQ
5.TCNU4795750-40HQ
6.TCNU7747729-40HQ</t>
    </r>
  </si>
  <si>
    <t>E240781997180073</t>
  </si>
  <si>
    <r>
      <rPr>
        <sz val="11"/>
        <color rgb="FFFF0000"/>
        <rFont val="Calibri"/>
        <family val="2"/>
        <scheme val="minor"/>
      </rPr>
      <t>1.SITU9142847-40HC</t>
    </r>
    <r>
      <rPr>
        <sz val="11"/>
        <color theme="1"/>
        <rFont val="Calibri"/>
        <family val="2"/>
        <scheme val="minor"/>
      </rPr>
      <t xml:space="preserve">
</t>
    </r>
    <r>
      <rPr>
        <sz val="11"/>
        <color rgb="FFFF0000"/>
        <rFont val="Calibri"/>
        <family val="2"/>
        <scheme val="minor"/>
      </rPr>
      <t>2.SITU9149420-40HC</t>
    </r>
  </si>
  <si>
    <r>
      <rPr>
        <sz val="11"/>
        <color rgb="FFFF0000"/>
        <rFont val="Calibri"/>
        <family val="2"/>
        <scheme val="minor"/>
      </rPr>
      <t>1.BEAU4346745-40HC</t>
    </r>
    <r>
      <rPr>
        <sz val="11"/>
        <color theme="1"/>
        <rFont val="Calibri"/>
        <family val="2"/>
        <scheme val="minor"/>
      </rPr>
      <t xml:space="preserve">
</t>
    </r>
    <r>
      <rPr>
        <sz val="11"/>
        <color rgb="FFFF0000"/>
        <rFont val="Calibri"/>
        <family val="2"/>
        <scheme val="minor"/>
      </rPr>
      <t>2.TLLU4739865-40HC</t>
    </r>
  </si>
  <si>
    <t>MEKONG 06 V.193W</t>
  </si>
  <si>
    <t>17-02-2024</t>
  </si>
  <si>
    <t>24028</t>
  </si>
  <si>
    <t>SHAWD072261</t>
  </si>
  <si>
    <t>20523829ETC</t>
  </si>
  <si>
    <t>1.GVCU5043240-40HQ
2.HASU4391743-40HQ
3.HASU4815179-40HQ
4.MRKU2580998-40HQ
5.MRKU2584798-40HQ
6.MRKU2900860-40HQ
7.MRKU4110057-40HQ
8.MRSU5594513-40HQ
9.MSKU0336958-40HQ
10.MSKU8559773-40HQ
11.MSKU9454416-40HQ
12.PONU7189123-40HQ
13.TGHU7858175-40HQ
14.TRHU4570016-40HQ</t>
  </si>
  <si>
    <t>24029</t>
  </si>
  <si>
    <t>SHAWD072257</t>
  </si>
  <si>
    <t>1.MRSU3255779-40HQ
2.MRSU3586925-40HQ
3.MRSU5898199-40HQ
4.TCKU6131288-40HQ
5.TCKU6527812-40HQ
6.TRHU7596415-40HQ</t>
  </si>
  <si>
    <t>E240781997180069</t>
  </si>
  <si>
    <t>24030</t>
  </si>
  <si>
    <t>SHAWD072258</t>
  </si>
  <si>
    <t>24031</t>
  </si>
  <si>
    <t>SHAWD072267</t>
  </si>
  <si>
    <t>SHAWD072268</t>
  </si>
  <si>
    <t>20523913ETC</t>
  </si>
  <si>
    <t>SHAWD072266</t>
  </si>
  <si>
    <t>20523920ETC</t>
  </si>
  <si>
    <t>NEW CAR MG GT, 2024</t>
  </si>
  <si>
    <t>24034</t>
  </si>
  <si>
    <t>SHAWD072269</t>
  </si>
  <si>
    <t>1.MRSU4250534-40HQ</t>
  </si>
  <si>
    <t>24032</t>
  </si>
  <si>
    <t>24033</t>
  </si>
  <si>
    <t>E240781997180071</t>
  </si>
  <si>
    <t>E240781997180070</t>
  </si>
  <si>
    <t>E240781997180092</t>
  </si>
  <si>
    <t>E24078199780091</t>
  </si>
  <si>
    <t>E240781997180080</t>
  </si>
  <si>
    <t>E240781997180081</t>
  </si>
  <si>
    <t>E240781997180089</t>
  </si>
  <si>
    <t>កាន់លិខិតឆ្លងដែនលេខ: AB4555337 ទូរសព្ទ័លេខ 095 777 975 ជំនួសប្រធានក្រុមហ៊ុន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2024 ។</t>
  </si>
  <si>
    <r>
      <rPr>
        <sz val="11"/>
        <color rgb="FFFF0000"/>
        <rFont val="Calibri"/>
        <family val="2"/>
        <scheme val="minor"/>
      </rPr>
      <t>1.APHU6361732-40HQ</t>
    </r>
    <r>
      <rPr>
        <sz val="11"/>
        <color theme="1"/>
        <rFont val="Calibri"/>
        <family val="2"/>
        <scheme val="minor"/>
      </rPr>
      <t xml:space="preserve">
</t>
    </r>
    <r>
      <rPr>
        <sz val="11"/>
        <color rgb="FFFF0000"/>
        <rFont val="Calibri"/>
        <family val="2"/>
        <scheme val="minor"/>
      </rPr>
      <t>2.CLHU8225807-40HQ</t>
    </r>
    <r>
      <rPr>
        <sz val="11"/>
        <color theme="1"/>
        <rFont val="Calibri"/>
        <family val="2"/>
        <scheme val="minor"/>
      </rPr>
      <t xml:space="preserve">
</t>
    </r>
    <r>
      <rPr>
        <sz val="11"/>
        <color rgb="FFFF0000"/>
        <rFont val="Calibri"/>
        <family val="2"/>
        <scheme val="minor"/>
      </rPr>
      <t>3.CLHU8920563-40HQ
4.CLHU9121010-40HQ</t>
    </r>
    <r>
      <rPr>
        <sz val="11"/>
        <color theme="1"/>
        <rFont val="Calibri"/>
        <family val="2"/>
        <scheme val="minor"/>
      </rPr>
      <t xml:space="preserve">
</t>
    </r>
    <r>
      <rPr>
        <sz val="11"/>
        <color rgb="FFFF0000"/>
        <rFont val="Calibri"/>
        <family val="2"/>
        <scheme val="minor"/>
      </rPr>
      <t>5.GATU8475573-40HQ</t>
    </r>
    <r>
      <rPr>
        <sz val="11"/>
        <color theme="1"/>
        <rFont val="Calibri"/>
        <family val="2"/>
        <scheme val="minor"/>
      </rPr>
      <t xml:space="preserve">
</t>
    </r>
    <r>
      <rPr>
        <sz val="11"/>
        <color rgb="FFFF0000"/>
        <rFont val="Calibri"/>
        <family val="2"/>
        <scheme val="minor"/>
      </rPr>
      <t>6.GATU8588517-40HQ</t>
    </r>
    <r>
      <rPr>
        <sz val="11"/>
        <color theme="1"/>
        <rFont val="Calibri"/>
        <family val="2"/>
        <scheme val="minor"/>
      </rPr>
      <t xml:space="preserve">
</t>
    </r>
    <r>
      <rPr>
        <sz val="11"/>
        <color rgb="FFFF0000"/>
        <rFont val="Calibri"/>
        <family val="2"/>
        <scheme val="minor"/>
      </rPr>
      <t>7.NYKU4222812-40HQ</t>
    </r>
    <r>
      <rPr>
        <sz val="11"/>
        <color theme="1"/>
        <rFont val="Calibri"/>
        <family val="2"/>
        <scheme val="minor"/>
      </rPr>
      <t xml:space="preserve">
</t>
    </r>
    <r>
      <rPr>
        <sz val="11"/>
        <color rgb="FFFF0000"/>
        <rFont val="Calibri"/>
        <family val="2"/>
        <scheme val="minor"/>
      </rPr>
      <t>8.TCKU9853113-40HQ</t>
    </r>
    <r>
      <rPr>
        <sz val="11"/>
        <color theme="1"/>
        <rFont val="Calibri"/>
        <family val="2"/>
        <scheme val="minor"/>
      </rPr>
      <t xml:space="preserve">
</t>
    </r>
    <r>
      <rPr>
        <sz val="11"/>
        <color rgb="FFFF0000"/>
        <rFont val="Calibri"/>
        <family val="2"/>
        <scheme val="minor"/>
      </rPr>
      <t>9.TCNU8211978-40HQ</t>
    </r>
    <r>
      <rPr>
        <sz val="11"/>
        <color theme="1"/>
        <rFont val="Calibri"/>
        <family val="2"/>
        <scheme val="minor"/>
      </rPr>
      <t xml:space="preserve">
</t>
    </r>
    <r>
      <rPr>
        <sz val="11"/>
        <color rgb="FFFF0000"/>
        <rFont val="Calibri"/>
        <family val="2"/>
        <scheme val="minor"/>
      </rPr>
      <t>10.TCNU9861622-40HQ</t>
    </r>
    <r>
      <rPr>
        <sz val="11"/>
        <color theme="1"/>
        <rFont val="Calibri"/>
        <family val="2"/>
        <scheme val="minor"/>
      </rPr>
      <t xml:space="preserve">
</t>
    </r>
    <r>
      <rPr>
        <sz val="11"/>
        <color rgb="FFFF0000"/>
        <rFont val="Calibri"/>
        <family val="2"/>
        <scheme val="minor"/>
      </rPr>
      <t>11.TGHU8154530-40HQ</t>
    </r>
    <r>
      <rPr>
        <sz val="11"/>
        <color theme="1"/>
        <rFont val="Calibri"/>
        <family val="2"/>
        <scheme val="minor"/>
      </rPr>
      <t xml:space="preserve">
</t>
    </r>
    <r>
      <rPr>
        <sz val="11"/>
        <color rgb="FFFF0000"/>
        <rFont val="Calibri"/>
        <family val="2"/>
        <scheme val="minor"/>
      </rPr>
      <t>12.TRLU5520851-40HQ
13.TRLU7219718-40HQ</t>
    </r>
  </si>
  <si>
    <t>24035</t>
  </si>
  <si>
    <t>I54</t>
  </si>
  <si>
    <t>I53</t>
  </si>
  <si>
    <t>I62</t>
  </si>
  <si>
    <t>I66</t>
  </si>
  <si>
    <t>I71</t>
  </si>
  <si>
    <t>I74</t>
  </si>
  <si>
    <t>I78</t>
  </si>
  <si>
    <t>I77</t>
  </si>
  <si>
    <t>I76</t>
  </si>
  <si>
    <t>I85</t>
  </si>
  <si>
    <t>I84</t>
  </si>
  <si>
    <t>I87</t>
  </si>
  <si>
    <t>I91</t>
  </si>
  <si>
    <t>SR-143677</t>
  </si>
  <si>
    <t>NEW MERCEDES BENZ MAYBACH S680, 2024</t>
  </si>
  <si>
    <t>1.PONU2098606-20DRY</t>
  </si>
  <si>
    <t>24036</t>
  </si>
  <si>
    <t>2024-HS02</t>
  </si>
  <si>
    <t>SR-PP002/24</t>
  </si>
  <si>
    <t>NEW CAR MCLAREN 720S COUPE, 2022</t>
  </si>
  <si>
    <t>24037</t>
  </si>
  <si>
    <t>TH24020857</t>
  </si>
  <si>
    <t>LAND</t>
  </si>
  <si>
    <t>SRI AMPHAN V.0022E</t>
  </si>
  <si>
    <t>003/2024 &amp; 004/2024</t>
  </si>
  <si>
    <t>DONUT, CARTON BOX, PLASTIC WRAPPER, STICKER, PAPER CORE, KRAFT PAPER,SPARE PART</t>
  </si>
  <si>
    <t>1.IPXU3593928-20'DC, 2.PMLU9008711-40'HC</t>
  </si>
  <si>
    <t>26 PALLETS</t>
  </si>
  <si>
    <t>24038</t>
  </si>
  <si>
    <t>SHAWD072288</t>
  </si>
  <si>
    <t>NEW ELECTRIC CAR MG CYBERSTER, 2024</t>
  </si>
  <si>
    <t>1.PONU8182139-40HQ</t>
  </si>
  <si>
    <t>24039</t>
  </si>
  <si>
    <t>SR-970300</t>
  </si>
  <si>
    <t>NEW CAR LEXUS TX350, 2024</t>
  </si>
  <si>
    <t>1.KOCU4217290-40HC</t>
  </si>
  <si>
    <t>[$-12000453] dddd mmmm yyyy</t>
  </si>
  <si>
    <t>E240781997180099</t>
  </si>
  <si>
    <t>24040</t>
  </si>
  <si>
    <t>NSASHVD144102</t>
  </si>
  <si>
    <t>AUTOHOME (CAMBODIA) IMPORT EXPORT CO.,LTD.</t>
  </si>
  <si>
    <t>ZG20240228</t>
  </si>
  <si>
    <t>NEW CAR KIA EV5, 2023</t>
  </si>
  <si>
    <t>1.TCKU7169539-40HC</t>
  </si>
  <si>
    <t>24041</t>
  </si>
  <si>
    <t>COAU7248165100</t>
  </si>
  <si>
    <t>24-Y-EV67-010</t>
  </si>
  <si>
    <t>NEW CAR DONGFENG FENGON LANDIAN E5 PLUG-IN, 2024</t>
  </si>
  <si>
    <t>1.TRHU4452944-40HQ
2.TGBU5506548-40HQ
3.CAAU6126572-40HQ
4.TCLU8763959-40HQ
5.CSNU7698613-40HQ
6.CSLU6096086-40HQ
7.FCIU9588343-40HQ</t>
  </si>
  <si>
    <t>24042</t>
  </si>
  <si>
    <t>PLO-2401002</t>
  </si>
  <si>
    <t>SR-401002</t>
  </si>
  <si>
    <t>NEW MERCEDES BENZ GLS450,2024</t>
  </si>
  <si>
    <t>1.BEAU560262540HC</t>
  </si>
  <si>
    <t xml:space="preserve">FIVE STAR </t>
  </si>
  <si>
    <t>HDMUVANA00970300</t>
  </si>
  <si>
    <r>
      <rPr>
        <sz val="11"/>
        <color rgb="FFFF0000"/>
        <rFont val="Calibri"/>
        <family val="2"/>
        <scheme val="minor"/>
      </rPr>
      <t>1.MRKU5001195-40HQ</t>
    </r>
    <r>
      <rPr>
        <sz val="11"/>
        <color theme="1"/>
        <rFont val="Calibri"/>
        <family val="2"/>
        <scheme val="minor"/>
      </rPr>
      <t xml:space="preserve">
</t>
    </r>
    <r>
      <rPr>
        <sz val="11"/>
        <color rgb="FFFF0000"/>
        <rFont val="Calibri"/>
        <family val="2"/>
        <scheme val="minor"/>
      </rPr>
      <t>2.MRKU6032610-40HQ</t>
    </r>
    <r>
      <rPr>
        <sz val="11"/>
        <color theme="1"/>
        <rFont val="Calibri"/>
        <family val="2"/>
        <scheme val="minor"/>
      </rPr>
      <t xml:space="preserve">
</t>
    </r>
    <r>
      <rPr>
        <sz val="11"/>
        <color rgb="FFFF0000"/>
        <rFont val="Calibri"/>
        <family val="2"/>
        <scheme val="minor"/>
      </rPr>
      <t>3.SUDU5825831-40HQ</t>
    </r>
    <r>
      <rPr>
        <sz val="11"/>
        <color theme="1"/>
        <rFont val="Calibri"/>
        <family val="2"/>
        <scheme val="minor"/>
      </rPr>
      <t xml:space="preserve">
</t>
    </r>
    <r>
      <rPr>
        <sz val="11"/>
        <color rgb="FFFF0000"/>
        <rFont val="Calibri"/>
        <family val="2"/>
        <scheme val="minor"/>
      </rPr>
      <t>4.SUDU8590582-40HQ</t>
    </r>
  </si>
  <si>
    <r>
      <rPr>
        <sz val="11"/>
        <color rgb="FFFF0000"/>
        <rFont val="Calibri"/>
        <family val="2"/>
        <scheme val="minor"/>
      </rPr>
      <t>1.BEAU5901903-40HQ</t>
    </r>
    <r>
      <rPr>
        <sz val="11"/>
        <color theme="1"/>
        <rFont val="Calibri"/>
        <family val="2"/>
        <scheme val="minor"/>
      </rPr>
      <t xml:space="preserve">
</t>
    </r>
    <r>
      <rPr>
        <sz val="11"/>
        <color rgb="FFFF0000"/>
        <rFont val="Calibri"/>
        <family val="2"/>
        <scheme val="minor"/>
      </rPr>
      <t>2.GCXU5585550-40HQ</t>
    </r>
    <r>
      <rPr>
        <sz val="11"/>
        <color theme="1"/>
        <rFont val="Calibri"/>
        <family val="2"/>
        <scheme val="minor"/>
      </rPr>
      <t xml:space="preserve">
</t>
    </r>
    <r>
      <rPr>
        <sz val="11"/>
        <color rgb="FFFF0000"/>
        <rFont val="Calibri"/>
        <family val="2"/>
        <scheme val="minor"/>
      </rPr>
      <t>3.MRKU4614464-40HQ</t>
    </r>
    <r>
      <rPr>
        <sz val="11"/>
        <color theme="1"/>
        <rFont val="Calibri"/>
        <family val="2"/>
        <scheme val="minor"/>
      </rPr>
      <t xml:space="preserve">
</t>
    </r>
    <r>
      <rPr>
        <sz val="11"/>
        <color rgb="FFFF0000"/>
        <rFont val="Calibri"/>
        <family val="2"/>
        <scheme val="minor"/>
      </rPr>
      <t>4.MRKU4831259-40HQ</t>
    </r>
    <r>
      <rPr>
        <sz val="11"/>
        <color theme="1"/>
        <rFont val="Calibri"/>
        <family val="2"/>
        <scheme val="minor"/>
      </rPr>
      <t xml:space="preserve">
</t>
    </r>
    <r>
      <rPr>
        <sz val="11"/>
        <color rgb="FFFF0000"/>
        <rFont val="Calibri"/>
        <family val="2"/>
        <scheme val="minor"/>
      </rPr>
      <t>5.MSKU1543733-40HQ</t>
    </r>
  </si>
  <si>
    <r>
      <rPr>
        <sz val="11"/>
        <color rgb="FFFF0000"/>
        <rFont val="Calibri"/>
        <family val="2"/>
        <scheme val="minor"/>
      </rPr>
      <t>1.HASU5052636-40HQ</t>
    </r>
    <r>
      <rPr>
        <sz val="11"/>
        <color theme="1"/>
        <rFont val="Calibri"/>
        <family val="2"/>
        <scheme val="minor"/>
      </rPr>
      <t xml:space="preserve">
</t>
    </r>
    <r>
      <rPr>
        <sz val="11"/>
        <color rgb="FFFF0000"/>
        <rFont val="Calibri"/>
        <family val="2"/>
        <scheme val="minor"/>
      </rPr>
      <t>2.MRSU3930753-40HQ</t>
    </r>
    <r>
      <rPr>
        <sz val="11"/>
        <color theme="1"/>
        <rFont val="Calibri"/>
        <family val="2"/>
        <scheme val="minor"/>
      </rPr>
      <t xml:space="preserve">
3.MRSU4245306-40HQ
</t>
    </r>
    <r>
      <rPr>
        <sz val="11"/>
        <color rgb="FFFF0000"/>
        <rFont val="Calibri"/>
        <family val="2"/>
        <scheme val="minor"/>
      </rPr>
      <t>4.MSKU1883163-40HQ
5.PONU7916407-40HQ</t>
    </r>
  </si>
  <si>
    <t>ប្រតិទិនចន្ទគតិ១</t>
  </si>
  <si>
    <t>ប្រតិទិនចន្ទគតិ២</t>
  </si>
  <si>
    <t>ប្រតិទិនចន្ទគតិ៣</t>
  </si>
  <si>
    <t>ប្រតិទិនចន្ទគតិ៤</t>
  </si>
  <si>
    <t>លេខរៀងខែ/ស័ក</t>
  </si>
  <si>
    <t>ចន្ទគតិ</t>
  </si>
  <si>
    <t>សុរិយាគតិ</t>
  </si>
  <si>
    <t>ស័ក</t>
  </si>
  <si>
    <t>មិគសិរ</t>
  </si>
  <si>
    <t>បុស្ស</t>
  </si>
  <si>
    <t>មាឃ</t>
  </si>
  <si>
    <t>ផល្គុន</t>
  </si>
  <si>
    <t>ចេត្រ</t>
  </si>
  <si>
    <t>ពិសាខ</t>
  </si>
  <si>
    <t>ជេស្ឋ</t>
  </si>
  <si>
    <t>អាសាធ</t>
  </si>
  <si>
    <t>ស្រាពណ៍</t>
  </si>
  <si>
    <t>ភទ្របទ</t>
  </si>
  <si>
    <t>អស្សុជ</t>
  </si>
  <si>
    <t>កត្តិក</t>
  </si>
  <si>
    <t>មករា</t>
  </si>
  <si>
    <t>កុម្ភៈ</t>
  </si>
  <si>
    <t>មីនា</t>
  </si>
  <si>
    <t>មេសា</t>
  </si>
  <si>
    <t>ឧសភា</t>
  </si>
  <si>
    <t>មិថុនា</t>
  </si>
  <si>
    <t>កក្កដា</t>
  </si>
  <si>
    <t>សីហា</t>
  </si>
  <si>
    <t>កញ្ញា</t>
  </si>
  <si>
    <t>តុលា</t>
  </si>
  <si>
    <t>វិច្ឆិកា</t>
  </si>
  <si>
    <t>ធ្នូ</t>
  </si>
  <si>
    <t>ឯកស័ក</t>
  </si>
  <si>
    <t>ទោស័ក</t>
  </si>
  <si>
    <t>ត្រីស័ក</t>
  </si>
  <si>
    <t>ចត្វាស័ក</t>
  </si>
  <si>
    <t>ឆស័ក</t>
  </si>
  <si>
    <t>អដ្ឋស័ក</t>
  </si>
  <si>
    <t>នព្វស័ក</t>
  </si>
  <si>
    <t>សំរឹទ្វិស័ក</t>
  </si>
  <si>
    <t>24043</t>
  </si>
  <si>
    <r>
      <rPr>
        <sz val="11"/>
        <color rgb="FFFF0000"/>
        <rFont val="Calibri"/>
        <family val="2"/>
        <scheme val="minor"/>
      </rPr>
      <t>1.BEAU6355330-40HQ</t>
    </r>
    <r>
      <rPr>
        <sz val="11"/>
        <color theme="1"/>
        <rFont val="Calibri"/>
        <family val="2"/>
        <scheme val="minor"/>
      </rPr>
      <t xml:space="preserve">
</t>
    </r>
    <r>
      <rPr>
        <sz val="11"/>
        <color rgb="FFFF0000"/>
        <rFont val="Calibri"/>
        <family val="2"/>
        <scheme val="minor"/>
      </rPr>
      <t>2.MRKU2487329-40HQ</t>
    </r>
    <r>
      <rPr>
        <sz val="11"/>
        <color theme="1"/>
        <rFont val="Calibri"/>
        <family val="2"/>
        <scheme val="minor"/>
      </rPr>
      <t xml:space="preserve">
</t>
    </r>
    <r>
      <rPr>
        <sz val="11"/>
        <color rgb="FFFF0000"/>
        <rFont val="Calibri"/>
        <family val="2"/>
        <scheme val="minor"/>
      </rPr>
      <t>3.MRKU2799899-40HQ</t>
    </r>
    <r>
      <rPr>
        <sz val="11"/>
        <color theme="1"/>
        <rFont val="Calibri"/>
        <family val="2"/>
        <scheme val="minor"/>
      </rPr>
      <t xml:space="preserve">
</t>
    </r>
    <r>
      <rPr>
        <sz val="11"/>
        <color rgb="FFFF0000"/>
        <rFont val="Calibri"/>
        <family val="2"/>
        <scheme val="minor"/>
      </rPr>
      <t>4.MRKU2926545-40HQ</t>
    </r>
    <r>
      <rPr>
        <sz val="11"/>
        <color theme="1"/>
        <rFont val="Calibri"/>
        <family val="2"/>
        <scheme val="minor"/>
      </rPr>
      <t xml:space="preserve">
</t>
    </r>
    <r>
      <rPr>
        <sz val="11"/>
        <rFont val="Calibri"/>
        <family val="2"/>
        <scheme val="minor"/>
      </rPr>
      <t>5.MRKU3470125-40HQ</t>
    </r>
    <r>
      <rPr>
        <sz val="11"/>
        <color theme="1"/>
        <rFont val="Calibri"/>
        <family val="2"/>
        <scheme val="minor"/>
      </rPr>
      <t xml:space="preserve">
</t>
    </r>
    <r>
      <rPr>
        <sz val="11"/>
        <color rgb="FFFF0000"/>
        <rFont val="Calibri"/>
        <family val="2"/>
        <scheme val="minor"/>
      </rPr>
      <t>6.MRSU6565280-40HQ</t>
    </r>
    <r>
      <rPr>
        <sz val="11"/>
        <color theme="1"/>
        <rFont val="Calibri"/>
        <family val="2"/>
        <scheme val="minor"/>
      </rPr>
      <t xml:space="preserve">
</t>
    </r>
    <r>
      <rPr>
        <sz val="11"/>
        <color rgb="FFFF0000"/>
        <rFont val="Calibri"/>
        <family val="2"/>
        <scheme val="minor"/>
      </rPr>
      <t>7.MSKU0335756-40HQ</t>
    </r>
    <r>
      <rPr>
        <sz val="11"/>
        <color theme="1"/>
        <rFont val="Calibri"/>
        <family val="2"/>
        <scheme val="minor"/>
      </rPr>
      <t xml:space="preserve">
</t>
    </r>
    <r>
      <rPr>
        <sz val="11"/>
        <color rgb="FFFF0000"/>
        <rFont val="Calibri"/>
        <family val="2"/>
        <scheme val="minor"/>
      </rPr>
      <t>8.MSKU0553207-40HQ</t>
    </r>
    <r>
      <rPr>
        <sz val="11"/>
        <color theme="1"/>
        <rFont val="Calibri"/>
        <family val="2"/>
        <scheme val="minor"/>
      </rPr>
      <t xml:space="preserve">
</t>
    </r>
    <r>
      <rPr>
        <sz val="11"/>
        <color rgb="FFFF0000"/>
        <rFont val="Calibri"/>
        <family val="2"/>
        <scheme val="minor"/>
      </rPr>
      <t>9.MSKU1439544-40HQ</t>
    </r>
    <r>
      <rPr>
        <sz val="11"/>
        <color theme="1"/>
        <rFont val="Calibri"/>
        <family val="2"/>
        <scheme val="minor"/>
      </rPr>
      <t xml:space="preserve">
</t>
    </r>
    <r>
      <rPr>
        <sz val="11"/>
        <color rgb="FFFF0000"/>
        <rFont val="Calibri"/>
        <family val="2"/>
        <scheme val="minor"/>
      </rPr>
      <t>10.TCLU8673222-40HQ</t>
    </r>
  </si>
  <si>
    <t>55018129, 55018080</t>
  </si>
  <si>
    <t>22-02-2024, 20-02-2024</t>
  </si>
  <si>
    <t>EIC/2024/013/0170083A/00181421,
EIC/2024/013/0157612A/00181401</t>
  </si>
  <si>
    <t>1.FFAU1404988 / IN1433134
2.DRYU6036322 / IN1433127</t>
  </si>
  <si>
    <t>24044</t>
  </si>
  <si>
    <t>GLSN074113714</t>
  </si>
  <si>
    <t>20240304/VP-BJC-KH</t>
  </si>
  <si>
    <t>VN-KH 24/01/011005</t>
  </si>
  <si>
    <t>GLS 16 V.411N</t>
  </si>
  <si>
    <t>1.SEKU5572682-40HC, 2.SEKU5576184-40HC</t>
  </si>
  <si>
    <t>[$-12000453]dd ខែ mmmm ឆ្នាំ yyyy")</t>
  </si>
  <si>
    <t>[$-km-KH,1200] dddd</t>
  </si>
  <si>
    <t>ប្រតិទិនចន្ទគតិ៥</t>
  </si>
  <si>
    <t>ថ្ងៃចន្ទ</t>
  </si>
  <si>
    <t xml:space="preserve"> ៥ រោច</t>
  </si>
  <si>
    <t xml:space="preserve"> ខែមិគសិរ</t>
  </si>
  <si>
    <t xml:space="preserve"> ឆ្នាំថោះ</t>
  </si>
  <si>
    <t xml:space="preserve"> បញ្ចស័ក ពស. ២៥៦៧</t>
  </si>
  <si>
    <t>ថ្ងៃអង្គារ</t>
  </si>
  <si>
    <t xml:space="preserve"> ៦ រោច</t>
  </si>
  <si>
    <t>ថ្ងៃពុធ</t>
  </si>
  <si>
    <t xml:space="preserve"> ៧ រោច</t>
  </si>
  <si>
    <t>ថ្ងៃព្រហស្បតិ៍</t>
  </si>
  <si>
    <t xml:space="preserve"> ៨ រោច</t>
  </si>
  <si>
    <t>ថ្ងៃសុក្រ</t>
  </si>
  <si>
    <t xml:space="preserve"> ៩ រោច</t>
  </si>
  <si>
    <t>ថ្ងៃសៅរ៍</t>
  </si>
  <si>
    <t xml:space="preserve"> ១០ រោច</t>
  </si>
  <si>
    <t>ថ្ងៃអាទិត្យ</t>
  </si>
  <si>
    <t xml:space="preserve"> ១១ រោច</t>
  </si>
  <si>
    <t xml:space="preserve"> ១២ រោច</t>
  </si>
  <si>
    <t xml:space="preserve"> ១៣ រោច</t>
  </si>
  <si>
    <t xml:space="preserve"> ១៤ រោច</t>
  </si>
  <si>
    <t xml:space="preserve"> ១ កើត</t>
  </si>
  <si>
    <t xml:space="preserve"> ខែបុស្ស</t>
  </si>
  <si>
    <t xml:space="preserve"> ២ កើត</t>
  </si>
  <si>
    <t xml:space="preserve"> ៣ កើត</t>
  </si>
  <si>
    <t xml:space="preserve"> ៤ កើត</t>
  </si>
  <si>
    <t>១ រោច</t>
  </si>
  <si>
    <t>១ កើត</t>
  </si>
  <si>
    <t xml:space="preserve"> ៥ កើត</t>
  </si>
  <si>
    <t>២ រោច</t>
  </si>
  <si>
    <t>២ កើត</t>
  </si>
  <si>
    <t xml:space="preserve"> ៦ កើត</t>
  </si>
  <si>
    <t>៣ រោច</t>
  </si>
  <si>
    <t>៣ កើត</t>
  </si>
  <si>
    <t xml:space="preserve"> ៧ កើត</t>
  </si>
  <si>
    <t>៤ រោច</t>
  </si>
  <si>
    <t>៤ កើត</t>
  </si>
  <si>
    <t xml:space="preserve"> ៨ កើត</t>
  </si>
  <si>
    <t>៥ រោច</t>
  </si>
  <si>
    <t>៥ កើត</t>
  </si>
  <si>
    <t xml:space="preserve"> ៩ កើត</t>
  </si>
  <si>
    <t>៦ រោច</t>
  </si>
  <si>
    <t>៦ កើត</t>
  </si>
  <si>
    <t xml:space="preserve"> ១០ កើត</t>
  </si>
  <si>
    <t>៧ រោច</t>
  </si>
  <si>
    <t>៧ កើត</t>
  </si>
  <si>
    <t xml:space="preserve"> ១១ កើត</t>
  </si>
  <si>
    <t>៨ រោច</t>
  </si>
  <si>
    <t>៨ កើត</t>
  </si>
  <si>
    <t xml:space="preserve"> ១២ កើត</t>
  </si>
  <si>
    <t>៩ រោច</t>
  </si>
  <si>
    <t>៩ កើត</t>
  </si>
  <si>
    <t xml:space="preserve"> ១៣ កើត</t>
  </si>
  <si>
    <t>១០ រោច</t>
  </si>
  <si>
    <t>១០ កើត</t>
  </si>
  <si>
    <t xml:space="preserve"> ១៤ កើត</t>
  </si>
  <si>
    <t>១១ រោច</t>
  </si>
  <si>
    <t>១១ កើត</t>
  </si>
  <si>
    <t xml:space="preserve"> ១៥ កើត</t>
  </si>
  <si>
    <t>១២ រោច</t>
  </si>
  <si>
    <t>១២ កើត</t>
  </si>
  <si>
    <t xml:space="preserve"> ១ រោច</t>
  </si>
  <si>
    <t>១៣ រោច</t>
  </si>
  <si>
    <t>១៣ កើត</t>
  </si>
  <si>
    <t xml:space="preserve"> ២ រោច</t>
  </si>
  <si>
    <t>១៤ រោច</t>
  </si>
  <si>
    <t>១៤ កើត</t>
  </si>
  <si>
    <t xml:space="preserve"> ៣ រោច</t>
  </si>
  <si>
    <t>១៥ រោច</t>
  </si>
  <si>
    <t>១៥ កើត</t>
  </si>
  <si>
    <t xml:space="preserve"> ៤ រោច</t>
  </si>
  <si>
    <t xml:space="preserve"> ១៥ រោច</t>
  </si>
  <si>
    <t xml:space="preserve"> ខែមាឃ</t>
  </si>
  <si>
    <t xml:space="preserve"> ខែផល្គុន</t>
  </si>
  <si>
    <t xml:space="preserve"> ខែចេត្រ</t>
  </si>
  <si>
    <t xml:space="preserve"> ឆ្នាំរោង</t>
  </si>
  <si>
    <t xml:space="preserve"> ឆស័ក ពស. ២៥៦៧</t>
  </si>
  <si>
    <t xml:space="preserve"> ខែពិសាខ</t>
  </si>
  <si>
    <t xml:space="preserve"> ឆស័ក ពស. ២៥៦៨</t>
  </si>
  <si>
    <t xml:space="preserve"> ខែជេស្ឋ</t>
  </si>
  <si>
    <t xml:space="preserve"> ខែអាសាឍ</t>
  </si>
  <si>
    <t xml:space="preserve"> ខែស្រាពណ៍</t>
  </si>
  <si>
    <t xml:space="preserve"> ខែភទ្របទ</t>
  </si>
  <si>
    <t xml:space="preserve"> ខែអស្សុជ</t>
  </si>
  <si>
    <t xml:space="preserve"> ខែកត្តិក</t>
  </si>
  <si>
    <t>VLP/FE/24/02/B/0109</t>
  </si>
  <si>
    <t>24045</t>
  </si>
  <si>
    <t>SHAWD072337</t>
  </si>
  <si>
    <t>20527762ETC</t>
  </si>
  <si>
    <t>NEW CAR MG HS, 2024</t>
  </si>
  <si>
    <t>24046</t>
  </si>
  <si>
    <t>SHAWD072415</t>
  </si>
  <si>
    <t>24047</t>
  </si>
  <si>
    <t>SHAWD072416</t>
  </si>
  <si>
    <t>20527615ETC</t>
  </si>
  <si>
    <t>24048</t>
  </si>
  <si>
    <t>SHAWD072417</t>
  </si>
  <si>
    <t>24049</t>
  </si>
  <si>
    <t>SITMNSVG000029</t>
  </si>
  <si>
    <t>SR-000029</t>
  </si>
  <si>
    <t>LEXUS LM350H, 2024</t>
  </si>
  <si>
    <t>1.BEAU4342009-40HC
2.TCNU2118174-40HC
3.TRHU8441655-40HC</t>
  </si>
  <si>
    <t>ANGELS3</t>
  </si>
  <si>
    <t>24050</t>
  </si>
  <si>
    <t>SITMNSVG000036</t>
  </si>
  <si>
    <t>SR-000036</t>
  </si>
  <si>
    <t>1.BMOU6488804-40HC</t>
  </si>
  <si>
    <t>RAYNA CAR</t>
  </si>
  <si>
    <t>E240781997180133</t>
  </si>
  <si>
    <t>E240781997180132</t>
  </si>
  <si>
    <t>E240781997180131</t>
  </si>
  <si>
    <t>E240781997180130</t>
  </si>
  <si>
    <t>24051</t>
  </si>
  <si>
    <t>CHQ00TRP24022645</t>
  </si>
  <si>
    <t>CHQ00TRP24022771</t>
  </si>
  <si>
    <t>CHQ00TRP24022723</t>
  </si>
  <si>
    <t>CHQ00TRP24022763</t>
  </si>
  <si>
    <t>CHQ00TRP24022440</t>
  </si>
  <si>
    <t>CHQ00TRP24023123</t>
  </si>
  <si>
    <t>CHQ00TRP24033438</t>
  </si>
  <si>
    <t>LATPNH2403443</t>
  </si>
  <si>
    <t>132-0324-01/NTS-BJC</t>
  </si>
  <si>
    <t>132-0324/NTS-BJC</t>
  </si>
  <si>
    <t>26-03-2024</t>
  </si>
  <si>
    <t>PLASTICS WRAPPER</t>
  </si>
  <si>
    <t>NAM THAI SON EXPORT IMPORT</t>
  </si>
  <si>
    <t>24052</t>
  </si>
  <si>
    <t>SHAWD072409</t>
  </si>
  <si>
    <t>E240781997180180</t>
  </si>
  <si>
    <t>1.IAAU1694451-40HQ
2.IAAU1717198-40HQ
3.IAAU1759613-40HQ
4.IAAU1785295-40HQ
5.IAAU1833243-40HQ
6.IAAU1891321-40HQ
7.IAAU1905127-40HQ
8.IAAU1914860-40HQ
9.IAAU1921555-40HQ
10.IAAU2797222-20GP</t>
  </si>
  <si>
    <t>24053</t>
  </si>
  <si>
    <t>SITMNSVG000039</t>
  </si>
  <si>
    <t>SR-00039</t>
  </si>
  <si>
    <t>27-03-2024</t>
  </si>
  <si>
    <t>NEW CAR LEXUS LM350H,2024</t>
  </si>
  <si>
    <t>1.TRHU6974064-40HC</t>
  </si>
  <si>
    <t>24054</t>
  </si>
  <si>
    <t>SITMNSVG000040</t>
  </si>
  <si>
    <t>SR-00040</t>
  </si>
  <si>
    <t>1.FFAU1140566-40HC</t>
  </si>
  <si>
    <t>XCLUSIV AUTO FZE</t>
  </si>
  <si>
    <t>MEKONG 10 V.148W</t>
  </si>
  <si>
    <t>22-03-2024</t>
  </si>
  <si>
    <t>SVR11</t>
  </si>
  <si>
    <t>95 PACKAGES</t>
  </si>
  <si>
    <t>24055</t>
  </si>
  <si>
    <t>24056</t>
  </si>
  <si>
    <t>MEDUEI428784</t>
  </si>
  <si>
    <t>SR-28784</t>
  </si>
  <si>
    <t>29-03-2024</t>
  </si>
  <si>
    <t>NEW CAR MERCEDES BENZ, 2024</t>
  </si>
  <si>
    <t>1.CAAU2058335-20DV</t>
  </si>
  <si>
    <t>HOLLMANN INTERNATIONAL</t>
  </si>
  <si>
    <t>SHAWD072421</t>
  </si>
  <si>
    <t>KH-TF2301-1</t>
  </si>
  <si>
    <t>24057</t>
  </si>
  <si>
    <t>SHAWD072418</t>
  </si>
  <si>
    <t>NEW ELECTRIC CAR MG ZS EV DEL, 2024</t>
  </si>
  <si>
    <t>1.MRKU5236461-40HQ</t>
  </si>
  <si>
    <t>24058</t>
  </si>
  <si>
    <t>JNKG24000066</t>
  </si>
  <si>
    <t>24-Y-EV67-011</t>
  </si>
  <si>
    <t>NEW CAR DONGFENG FENGON LANDIAN E5 PLUG-IN , 2024</t>
  </si>
  <si>
    <t>JMC</t>
  </si>
  <si>
    <t>https://goo.gl/maps/C4z9v8FtuqgFFec99</t>
  </si>
  <si>
    <t>E240781997180187</t>
  </si>
  <si>
    <t>24059</t>
  </si>
  <si>
    <t>COAU7885355080</t>
  </si>
  <si>
    <t>SGMWKH2024007-03</t>
  </si>
  <si>
    <t>NEW CAR WULING HONGGUANG (LZW6449GBU),2024</t>
  </si>
  <si>
    <t>1.CSNU7676701-40HQ</t>
  </si>
  <si>
    <r>
      <rPr>
        <sz val="11"/>
        <color rgb="FFFF0000"/>
        <rFont val="Calibri"/>
        <family val="2"/>
        <scheme val="minor"/>
      </rPr>
      <t>1.IAAU1832210-40HQ</t>
    </r>
    <r>
      <rPr>
        <sz val="11"/>
        <color theme="1"/>
        <rFont val="Calibri"/>
        <family val="2"/>
        <scheme val="minor"/>
      </rPr>
      <t xml:space="preserve">
</t>
    </r>
    <r>
      <rPr>
        <sz val="11"/>
        <color rgb="FFFF0000"/>
        <rFont val="Calibri"/>
        <family val="2"/>
        <scheme val="minor"/>
      </rPr>
      <t>2.WHSU5510894-40HQ</t>
    </r>
  </si>
  <si>
    <r>
      <rPr>
        <sz val="11"/>
        <color rgb="FFFF0000"/>
        <rFont val="Calibri"/>
        <family val="2"/>
        <scheme val="minor"/>
      </rPr>
      <t>1.IAAU1724371-40HQ</t>
    </r>
    <r>
      <rPr>
        <sz val="11"/>
        <color theme="1"/>
        <rFont val="Calibri"/>
        <family val="2"/>
        <scheme val="minor"/>
      </rPr>
      <t xml:space="preserve">
</t>
    </r>
    <r>
      <rPr>
        <sz val="11"/>
        <color rgb="FFFF0000"/>
        <rFont val="Calibri"/>
        <family val="2"/>
        <scheme val="minor"/>
      </rPr>
      <t>2.IAAU1743052-40HQ</t>
    </r>
    <r>
      <rPr>
        <sz val="11"/>
        <color theme="1"/>
        <rFont val="Calibri"/>
        <family val="2"/>
        <scheme val="minor"/>
      </rPr>
      <t xml:space="preserve">
</t>
    </r>
    <r>
      <rPr>
        <sz val="11"/>
        <color rgb="FFFF0000"/>
        <rFont val="Calibri"/>
        <family val="2"/>
        <scheme val="minor"/>
      </rPr>
      <t>3.IAAU1761689-40HQ</t>
    </r>
    <r>
      <rPr>
        <sz val="11"/>
        <color theme="1"/>
        <rFont val="Calibri"/>
        <family val="2"/>
        <scheme val="minor"/>
      </rPr>
      <t xml:space="preserve">
</t>
    </r>
    <r>
      <rPr>
        <sz val="11"/>
        <color rgb="FFFF0000"/>
        <rFont val="Calibri"/>
        <family val="2"/>
        <scheme val="minor"/>
      </rPr>
      <t>4.IAAU1821031-40HQ</t>
    </r>
    <r>
      <rPr>
        <sz val="11"/>
        <color theme="1"/>
        <rFont val="Calibri"/>
        <family val="2"/>
        <scheme val="minor"/>
      </rPr>
      <t xml:space="preserve">
</t>
    </r>
    <r>
      <rPr>
        <sz val="11"/>
        <color rgb="FFFF0000"/>
        <rFont val="Calibri"/>
        <family val="2"/>
        <scheme val="minor"/>
      </rPr>
      <t>5.IAAU1907557-40HQ</t>
    </r>
    <r>
      <rPr>
        <sz val="11"/>
        <color theme="1"/>
        <rFont val="Calibri"/>
        <family val="2"/>
        <scheme val="minor"/>
      </rPr>
      <t xml:space="preserve">
</t>
    </r>
    <r>
      <rPr>
        <sz val="11"/>
        <color rgb="FFFF0000"/>
        <rFont val="Calibri"/>
        <family val="2"/>
        <scheme val="minor"/>
      </rPr>
      <t>6.IAAU1948598-40HQ</t>
    </r>
    <r>
      <rPr>
        <sz val="11"/>
        <color theme="1"/>
        <rFont val="Calibri"/>
        <family val="2"/>
        <scheme val="minor"/>
      </rPr>
      <t xml:space="preserve">
</t>
    </r>
    <r>
      <rPr>
        <sz val="11"/>
        <color rgb="FFFF0000"/>
        <rFont val="Calibri"/>
        <family val="2"/>
        <scheme val="minor"/>
      </rPr>
      <t>7.SEKU4110289-40HQ</t>
    </r>
    <r>
      <rPr>
        <sz val="11"/>
        <color theme="1"/>
        <rFont val="Calibri"/>
        <family val="2"/>
        <scheme val="minor"/>
      </rPr>
      <t xml:space="preserve">
</t>
    </r>
    <r>
      <rPr>
        <sz val="11"/>
        <color rgb="FFFF0000"/>
        <rFont val="Calibri"/>
        <family val="2"/>
        <scheme val="minor"/>
      </rPr>
      <t>8.TCNU4997350-40HQ</t>
    </r>
  </si>
  <si>
    <r>
      <rPr>
        <sz val="11"/>
        <color rgb="FFFF0000"/>
        <rFont val="Calibri"/>
        <family val="2"/>
        <scheme val="minor"/>
      </rPr>
      <t>1.IAAU1747145-40HQ</t>
    </r>
    <r>
      <rPr>
        <sz val="11"/>
        <color theme="1"/>
        <rFont val="Calibri"/>
        <family val="2"/>
        <scheme val="minor"/>
      </rPr>
      <t xml:space="preserve">
</t>
    </r>
    <r>
      <rPr>
        <sz val="11"/>
        <color rgb="FFFF0000"/>
        <rFont val="Calibri"/>
        <family val="2"/>
        <scheme val="minor"/>
      </rPr>
      <t>2.IAAU1770150-40HQ</t>
    </r>
    <r>
      <rPr>
        <sz val="11"/>
        <color theme="1"/>
        <rFont val="Calibri"/>
        <family val="2"/>
        <scheme val="minor"/>
      </rPr>
      <t xml:space="preserve">
</t>
    </r>
    <r>
      <rPr>
        <sz val="11"/>
        <color rgb="FFFF0000"/>
        <rFont val="Calibri"/>
        <family val="2"/>
        <scheme val="minor"/>
      </rPr>
      <t>3.IAAU1817073-40HQ</t>
    </r>
    <r>
      <rPr>
        <sz val="11"/>
        <color theme="1"/>
        <rFont val="Calibri"/>
        <family val="2"/>
        <scheme val="minor"/>
      </rPr>
      <t xml:space="preserve">
</t>
    </r>
    <r>
      <rPr>
        <sz val="11"/>
        <color rgb="FFFF0000"/>
        <rFont val="Calibri"/>
        <family val="2"/>
        <scheme val="minor"/>
      </rPr>
      <t>4.IAAU1817535-40HQ</t>
    </r>
    <r>
      <rPr>
        <sz val="11"/>
        <color theme="1"/>
        <rFont val="Calibri"/>
        <family val="2"/>
        <scheme val="minor"/>
      </rPr>
      <t xml:space="preserve">
</t>
    </r>
    <r>
      <rPr>
        <sz val="11"/>
        <color rgb="FFFF0000"/>
        <rFont val="Calibri"/>
        <family val="2"/>
        <scheme val="minor"/>
      </rPr>
      <t>5.IAAU1896719-40HQ</t>
    </r>
    <r>
      <rPr>
        <sz val="11"/>
        <color theme="1"/>
        <rFont val="Calibri"/>
        <family val="2"/>
        <scheme val="minor"/>
      </rPr>
      <t xml:space="preserve">
</t>
    </r>
    <r>
      <rPr>
        <sz val="11"/>
        <color rgb="FFFF0000"/>
        <rFont val="Calibri"/>
        <family val="2"/>
        <scheme val="minor"/>
      </rPr>
      <t>6.IAAU1936046-40HQ</t>
    </r>
    <r>
      <rPr>
        <sz val="11"/>
        <color theme="1"/>
        <rFont val="Calibri"/>
        <family val="2"/>
        <scheme val="minor"/>
      </rPr>
      <t xml:space="preserve">
</t>
    </r>
    <r>
      <rPr>
        <sz val="11"/>
        <color rgb="FFFF0000"/>
        <rFont val="Calibri"/>
        <family val="2"/>
        <scheme val="minor"/>
      </rPr>
      <t>7.WHSU6782475-40HQ</t>
    </r>
    <r>
      <rPr>
        <sz val="11"/>
        <color theme="1"/>
        <rFont val="Calibri"/>
        <family val="2"/>
        <scheme val="minor"/>
      </rPr>
      <t xml:space="preserve">
</t>
    </r>
    <r>
      <rPr>
        <sz val="11"/>
        <color rgb="FFFF0000"/>
        <rFont val="Calibri"/>
        <family val="2"/>
        <scheme val="minor"/>
      </rPr>
      <t>8.XINU8070535-40HQ</t>
    </r>
  </si>
  <si>
    <r>
      <rPr>
        <sz val="11"/>
        <color rgb="FFFF0000"/>
        <rFont val="Calibri"/>
        <family val="2"/>
        <scheme val="minor"/>
      </rPr>
      <t>1.IAAU1754400-40HQ</t>
    </r>
    <r>
      <rPr>
        <sz val="11"/>
        <color theme="1"/>
        <rFont val="Calibri"/>
        <family val="2"/>
        <scheme val="minor"/>
      </rPr>
      <t xml:space="preserve">
</t>
    </r>
    <r>
      <rPr>
        <sz val="11"/>
        <color rgb="FFFF0000"/>
        <rFont val="Calibri"/>
        <family val="2"/>
        <scheme val="minor"/>
      </rPr>
      <t>2.IAAU1776360-40HQ</t>
    </r>
    <r>
      <rPr>
        <sz val="11"/>
        <color theme="1"/>
        <rFont val="Calibri"/>
        <family val="2"/>
        <scheme val="minor"/>
      </rPr>
      <t xml:space="preserve">
</t>
    </r>
    <r>
      <rPr>
        <sz val="11"/>
        <color rgb="FFFF0000"/>
        <rFont val="Calibri"/>
        <family val="2"/>
        <scheme val="minor"/>
      </rPr>
      <t>3.IAAU1845054-40HQ</t>
    </r>
    <r>
      <rPr>
        <sz val="11"/>
        <color theme="1"/>
        <rFont val="Calibri"/>
        <family val="2"/>
        <scheme val="minor"/>
      </rPr>
      <t xml:space="preserve">
</t>
    </r>
    <r>
      <rPr>
        <sz val="11"/>
        <color rgb="FFFF0000"/>
        <rFont val="Calibri"/>
        <family val="2"/>
        <scheme val="minor"/>
      </rPr>
      <t>4.IAAU1893031-40HQ</t>
    </r>
    <r>
      <rPr>
        <sz val="11"/>
        <color theme="1"/>
        <rFont val="Calibri"/>
        <family val="2"/>
        <scheme val="minor"/>
      </rPr>
      <t xml:space="preserve">
</t>
    </r>
    <r>
      <rPr>
        <sz val="11"/>
        <color rgb="FFFF0000"/>
        <rFont val="Calibri"/>
        <family val="2"/>
        <scheme val="minor"/>
      </rPr>
      <t>5.SEKU4107618-40HQ</t>
    </r>
  </si>
  <si>
    <t>1.MRSU3755630-40HQ</t>
  </si>
  <si>
    <t>50 CARTONS</t>
  </si>
  <si>
    <t>24060</t>
  </si>
  <si>
    <t>SITMNSVG000043</t>
  </si>
  <si>
    <t>CHSR202403-008</t>
  </si>
  <si>
    <t>1.CAAU6316799-40HC</t>
  </si>
  <si>
    <t>FAME FAITH</t>
  </si>
  <si>
    <t>ANKEN</t>
  </si>
  <si>
    <t>https://maps.app.goo.gl/XwfSQjLuqGuvYayo7</t>
  </si>
  <si>
    <t>24061</t>
  </si>
  <si>
    <t>24062</t>
  </si>
  <si>
    <t>24063</t>
  </si>
  <si>
    <t>34 ROLLS</t>
  </si>
  <si>
    <t>DF23CV-374KH002-B</t>
  </si>
  <si>
    <t>DF23CV-374KH002-A</t>
  </si>
  <si>
    <t>104815SH030037B</t>
  </si>
  <si>
    <t>104815SH030037A</t>
  </si>
  <si>
    <t>NEW DUMP TRUCK DONGFENG DFH3250A, 2024</t>
  </si>
  <si>
    <t>NEW TRACTOR HEAD DONGFENG DFH4251AX4AV, 2024
NEW DUMP TRUCK DONGFENG DFH3250A,2024</t>
  </si>
  <si>
    <t>TH24040281</t>
  </si>
  <si>
    <t>JUTHA MALEE V104815</t>
  </si>
  <si>
    <t>04-04-2024</t>
  </si>
  <si>
    <t>24064</t>
  </si>
  <si>
    <t>SHAWD072453</t>
  </si>
  <si>
    <t>20530783ETC</t>
  </si>
  <si>
    <t>PHUO LONG 6 V.275W</t>
  </si>
  <si>
    <t>06-04-2024</t>
  </si>
  <si>
    <t>-NEW ELECTRIC SCOOTER VMOTO SOCO CUX, 1600W, MODEL YEAR 2023
-NEW ELECTRIC SCOOTER VMOTO SOCO CU MINI, 600W, MODEL YEAR 2023
-NEW MOTORCYCLE SCOOTER VMOTO SOCO TC, 1900W, MODEL YEAR 2023</t>
  </si>
  <si>
    <t>005/2024</t>
  </si>
  <si>
    <t>1.TCNU9577468-40HC</t>
  </si>
  <si>
    <r>
      <rPr>
        <sz val="11"/>
        <color rgb="FFFF0000"/>
        <rFont val="Calibri"/>
        <family val="2"/>
        <scheme val="minor"/>
      </rPr>
      <t>1.CSLU6179508-40HQ</t>
    </r>
    <r>
      <rPr>
        <sz val="11"/>
        <color theme="1"/>
        <rFont val="Calibri"/>
        <family val="2"/>
        <scheme val="minor"/>
      </rPr>
      <t xml:space="preserve">
</t>
    </r>
    <r>
      <rPr>
        <sz val="11"/>
        <color rgb="FFFF0000"/>
        <rFont val="Calibri"/>
        <family val="2"/>
        <scheme val="minor"/>
      </rPr>
      <t>2.TGBU9198490-40HQ</t>
    </r>
    <r>
      <rPr>
        <sz val="11"/>
        <color theme="1"/>
        <rFont val="Calibri"/>
        <family val="2"/>
        <scheme val="minor"/>
      </rPr>
      <t xml:space="preserve">
</t>
    </r>
    <r>
      <rPr>
        <sz val="11"/>
        <color rgb="FFFF0000"/>
        <rFont val="Calibri"/>
        <family val="2"/>
        <scheme val="minor"/>
      </rPr>
      <t>3.BMOU5671662-40HQ</t>
    </r>
  </si>
  <si>
    <t>E240781997180204</t>
  </si>
  <si>
    <t>24065</t>
  </si>
  <si>
    <t>24066</t>
  </si>
  <si>
    <t>24067</t>
  </si>
  <si>
    <t>SHAWD072582</t>
  </si>
  <si>
    <t>20531793ETC</t>
  </si>
  <si>
    <t>SHAWD072480</t>
  </si>
  <si>
    <t>SHAWD072578</t>
  </si>
  <si>
    <t>20531791ETC</t>
  </si>
  <si>
    <t>24068</t>
  </si>
  <si>
    <t>GLSN074153847</t>
  </si>
  <si>
    <t>20240404/VP-BJC-KH</t>
  </si>
  <si>
    <t>VN-KH 24/01/016816</t>
  </si>
  <si>
    <t>LONG SON 01 V.417N</t>
  </si>
  <si>
    <t>17-04-2024</t>
  </si>
  <si>
    <t>1.SEKU6304365-40HC</t>
  </si>
  <si>
    <t>21 ROLLS</t>
  </si>
  <si>
    <t>E240781997180203</t>
  </si>
  <si>
    <t>24069</t>
  </si>
  <si>
    <t>SITMNSVG000049</t>
  </si>
  <si>
    <t>CHSR202404-010</t>
  </si>
  <si>
    <t>NEW LEFT HAND DRIVE CAR LEXUS LM350H, 2024</t>
  </si>
  <si>
    <t>1.TCKU7157414-40HC</t>
  </si>
  <si>
    <t>SHV11</t>
  </si>
  <si>
    <t>WUXD2324SHV113</t>
  </si>
  <si>
    <t>E240781997180213</t>
  </si>
  <si>
    <t>E240781997180227</t>
  </si>
  <si>
    <t>24070</t>
  </si>
  <si>
    <t>SR-63151</t>
  </si>
  <si>
    <t>LEXUS LX600, 2024</t>
  </si>
  <si>
    <t>1.HASU4111328-40DRY</t>
  </si>
  <si>
    <t>24071</t>
  </si>
  <si>
    <t>SHAWD072531</t>
  </si>
  <si>
    <t>E240781997180232</t>
  </si>
  <si>
    <t>24072</t>
  </si>
  <si>
    <t>SHAWD072485</t>
  </si>
  <si>
    <t>WUXD2324SHV021</t>
  </si>
  <si>
    <t>22-04-2024</t>
  </si>
  <si>
    <t>MEKONG 10 V.W153</t>
  </si>
  <si>
    <t>D2024-0095957</t>
  </si>
  <si>
    <t>24073</t>
  </si>
  <si>
    <t>SHAWD072613</t>
  </si>
  <si>
    <t>24074</t>
  </si>
  <si>
    <t>SHAWD072612</t>
  </si>
  <si>
    <t>20535272ETC</t>
  </si>
  <si>
    <r>
      <rPr>
        <sz val="11"/>
        <color rgb="FFFF0000"/>
        <rFont val="Calibri"/>
        <family val="2"/>
        <scheme val="minor"/>
      </rPr>
      <t>1.IAAU1691719-40HQ</t>
    </r>
    <r>
      <rPr>
        <sz val="11"/>
        <color theme="1"/>
        <rFont val="Calibri"/>
        <family val="2"/>
        <scheme val="minor"/>
      </rPr>
      <t xml:space="preserve">
</t>
    </r>
    <r>
      <rPr>
        <sz val="11"/>
        <color rgb="FFFF0000"/>
        <rFont val="Calibri"/>
        <family val="2"/>
        <scheme val="minor"/>
      </rPr>
      <t>2.IAAU1710629-40HQ</t>
    </r>
    <r>
      <rPr>
        <sz val="11"/>
        <color theme="1"/>
        <rFont val="Calibri"/>
        <family val="2"/>
        <scheme val="minor"/>
      </rPr>
      <t xml:space="preserve">
</t>
    </r>
    <r>
      <rPr>
        <sz val="11"/>
        <color rgb="FFFF0000"/>
        <rFont val="Calibri"/>
        <family val="2"/>
        <scheme val="minor"/>
      </rPr>
      <t>3.IAAU1761056-40HQ</t>
    </r>
    <r>
      <rPr>
        <sz val="11"/>
        <color theme="1"/>
        <rFont val="Calibri"/>
        <family val="2"/>
        <scheme val="minor"/>
      </rPr>
      <t xml:space="preserve">
</t>
    </r>
    <r>
      <rPr>
        <sz val="11"/>
        <color rgb="FFFF0000"/>
        <rFont val="Calibri"/>
        <family val="2"/>
        <scheme val="minor"/>
      </rPr>
      <t>4.IAAU1777535-40HQ</t>
    </r>
    <r>
      <rPr>
        <sz val="11"/>
        <color theme="1"/>
        <rFont val="Calibri"/>
        <family val="2"/>
        <scheme val="minor"/>
      </rPr>
      <t xml:space="preserve">
</t>
    </r>
    <r>
      <rPr>
        <sz val="11"/>
        <color rgb="FFFF0000"/>
        <rFont val="Calibri"/>
        <family val="2"/>
        <scheme val="minor"/>
      </rPr>
      <t>5.IAAU1857986-40HQ</t>
    </r>
    <r>
      <rPr>
        <sz val="11"/>
        <color theme="1"/>
        <rFont val="Calibri"/>
        <family val="2"/>
        <scheme val="minor"/>
      </rPr>
      <t xml:space="preserve">
</t>
    </r>
    <r>
      <rPr>
        <sz val="11"/>
        <color rgb="FFFF0000"/>
        <rFont val="Calibri"/>
        <family val="2"/>
        <scheme val="minor"/>
      </rPr>
      <t>6.IAAU1907747-40HQ</t>
    </r>
  </si>
  <si>
    <r>
      <rPr>
        <sz val="11"/>
        <color rgb="FFFF0000"/>
        <rFont val="Calibri"/>
        <family val="2"/>
        <scheme val="minor"/>
      </rPr>
      <t>1.IAAU1718614-40HQ</t>
    </r>
    <r>
      <rPr>
        <sz val="11"/>
        <color theme="1"/>
        <rFont val="Calibri"/>
        <family val="2"/>
        <scheme val="minor"/>
      </rPr>
      <t xml:space="preserve">
</t>
    </r>
    <r>
      <rPr>
        <sz val="11"/>
        <color rgb="FFFF0000"/>
        <rFont val="Calibri"/>
        <family val="2"/>
        <scheme val="minor"/>
      </rPr>
      <t>2.IAAU1739469-40HQ</t>
    </r>
    <r>
      <rPr>
        <sz val="11"/>
        <color theme="1"/>
        <rFont val="Calibri"/>
        <family val="2"/>
        <scheme val="minor"/>
      </rPr>
      <t xml:space="preserve">
</t>
    </r>
    <r>
      <rPr>
        <sz val="11"/>
        <color rgb="FFFF0000"/>
        <rFont val="Calibri"/>
        <family val="2"/>
        <scheme val="minor"/>
      </rPr>
      <t>3.IAAU2834012-20GP</t>
    </r>
  </si>
  <si>
    <r>
      <rPr>
        <sz val="11"/>
        <color rgb="FFFF0000"/>
        <rFont val="Calibri"/>
        <family val="2"/>
        <scheme val="minor"/>
      </rPr>
      <t>1.IAAU1742246-40HQ</t>
    </r>
    <r>
      <rPr>
        <sz val="11"/>
        <color theme="1"/>
        <rFont val="Calibri"/>
        <family val="2"/>
        <scheme val="minor"/>
      </rPr>
      <t xml:space="preserve">
</t>
    </r>
    <r>
      <rPr>
        <sz val="11"/>
        <color rgb="FFFF0000"/>
        <rFont val="Calibri"/>
        <family val="2"/>
        <scheme val="minor"/>
      </rPr>
      <t>2.IAAU1900655-40HQ</t>
    </r>
    <r>
      <rPr>
        <sz val="11"/>
        <color theme="1"/>
        <rFont val="Calibri"/>
        <family val="2"/>
        <scheme val="minor"/>
      </rPr>
      <t xml:space="preserve">
</t>
    </r>
    <r>
      <rPr>
        <sz val="11"/>
        <color rgb="FFFF0000"/>
        <rFont val="Calibri"/>
        <family val="2"/>
        <scheme val="minor"/>
      </rPr>
      <t>3.IAAU1924805-40HQ</t>
    </r>
    <r>
      <rPr>
        <sz val="11"/>
        <color theme="1"/>
        <rFont val="Calibri"/>
        <family val="2"/>
        <scheme val="minor"/>
      </rPr>
      <t xml:space="preserve">
</t>
    </r>
    <r>
      <rPr>
        <sz val="11"/>
        <color rgb="FFFF0000"/>
        <rFont val="Calibri"/>
        <family val="2"/>
        <scheme val="minor"/>
      </rPr>
      <t>4.IAAU1935841-40HQ
5.IAAU2877591-20GP</t>
    </r>
  </si>
  <si>
    <r>
      <rPr>
        <sz val="11"/>
        <color rgb="FFFF0000"/>
        <rFont val="Calibri"/>
        <family val="2"/>
        <scheme val="minor"/>
      </rPr>
      <t>1.CAIU7875963-40HQ</t>
    </r>
    <r>
      <rPr>
        <sz val="11"/>
        <color theme="1"/>
        <rFont val="Calibri"/>
        <family val="2"/>
        <scheme val="minor"/>
      </rPr>
      <t xml:space="preserve">
</t>
    </r>
    <r>
      <rPr>
        <sz val="11"/>
        <color rgb="FFFF0000"/>
        <rFont val="Calibri"/>
        <family val="2"/>
        <scheme val="minor"/>
      </rPr>
      <t>2.IAAU1728989-40HQ</t>
    </r>
    <r>
      <rPr>
        <sz val="11"/>
        <color theme="1"/>
        <rFont val="Calibri"/>
        <family val="2"/>
        <scheme val="minor"/>
      </rPr>
      <t xml:space="preserve">
</t>
    </r>
    <r>
      <rPr>
        <sz val="11"/>
        <color rgb="FFFF0000"/>
        <rFont val="Calibri"/>
        <family val="2"/>
        <scheme val="minor"/>
      </rPr>
      <t>3.IAAU1747206-40HQ</t>
    </r>
    <r>
      <rPr>
        <sz val="11"/>
        <color theme="1"/>
        <rFont val="Calibri"/>
        <family val="2"/>
        <scheme val="minor"/>
      </rPr>
      <t xml:space="preserve">
</t>
    </r>
    <r>
      <rPr>
        <sz val="11"/>
        <color rgb="FFFF0000"/>
        <rFont val="Calibri"/>
        <family val="2"/>
        <scheme val="minor"/>
      </rPr>
      <t>4.IAAU1749739-40HQ</t>
    </r>
    <r>
      <rPr>
        <sz val="11"/>
        <color theme="1"/>
        <rFont val="Calibri"/>
        <family val="2"/>
        <scheme val="minor"/>
      </rPr>
      <t xml:space="preserve">
</t>
    </r>
    <r>
      <rPr>
        <sz val="11"/>
        <color rgb="FFFF0000"/>
        <rFont val="Calibri"/>
        <family val="2"/>
        <scheme val="minor"/>
      </rPr>
      <t>5.IAAU1776170-40HQ</t>
    </r>
    <r>
      <rPr>
        <sz val="11"/>
        <color theme="1"/>
        <rFont val="Calibri"/>
        <family val="2"/>
        <scheme val="minor"/>
      </rPr>
      <t xml:space="preserve">
</t>
    </r>
    <r>
      <rPr>
        <sz val="11"/>
        <color rgb="FFFF0000"/>
        <rFont val="Calibri"/>
        <family val="2"/>
        <scheme val="minor"/>
      </rPr>
      <t>6.IAAU1785438-40HQ</t>
    </r>
    <r>
      <rPr>
        <sz val="11"/>
        <color theme="1"/>
        <rFont val="Calibri"/>
        <family val="2"/>
        <scheme val="minor"/>
      </rPr>
      <t xml:space="preserve">
</t>
    </r>
    <r>
      <rPr>
        <sz val="11"/>
        <color rgb="FFFF0000"/>
        <rFont val="Calibri"/>
        <family val="2"/>
        <scheme val="minor"/>
      </rPr>
      <t>7.IAAU1792890-40HQ
8.IAAU1818906-40HQ</t>
    </r>
    <r>
      <rPr>
        <sz val="11"/>
        <color theme="1"/>
        <rFont val="Calibri"/>
        <family val="2"/>
        <scheme val="minor"/>
      </rPr>
      <t xml:space="preserve">
</t>
    </r>
    <r>
      <rPr>
        <sz val="11"/>
        <color rgb="FFFF0000"/>
        <rFont val="Calibri"/>
        <family val="2"/>
        <scheme val="minor"/>
      </rPr>
      <t>9.IAAU1856423-40HQ</t>
    </r>
    <r>
      <rPr>
        <sz val="11"/>
        <color theme="1"/>
        <rFont val="Calibri"/>
        <family val="2"/>
        <scheme val="minor"/>
      </rPr>
      <t xml:space="preserve">
</t>
    </r>
    <r>
      <rPr>
        <sz val="11"/>
        <color rgb="FFFF0000"/>
        <rFont val="Calibri"/>
        <family val="2"/>
        <scheme val="minor"/>
      </rPr>
      <t>10.IAAU1919964-40HQ</t>
    </r>
    <r>
      <rPr>
        <sz val="11"/>
        <color theme="1"/>
        <rFont val="Calibri"/>
        <family val="2"/>
        <scheme val="minor"/>
      </rPr>
      <t xml:space="preserve">
</t>
    </r>
    <r>
      <rPr>
        <sz val="11"/>
        <color rgb="FFFF0000"/>
        <rFont val="Calibri"/>
        <family val="2"/>
        <scheme val="minor"/>
      </rPr>
      <t>11.IAAU1931337-40HQ</t>
    </r>
  </si>
  <si>
    <r>
      <rPr>
        <sz val="11"/>
        <color rgb="FFFF0000"/>
        <rFont val="Calibri"/>
        <family val="2"/>
        <scheme val="minor"/>
      </rPr>
      <t>1.IAAU1734214-40HQ</t>
    </r>
    <r>
      <rPr>
        <sz val="11"/>
        <color theme="1"/>
        <rFont val="Calibri"/>
        <family val="2"/>
        <scheme val="minor"/>
      </rPr>
      <t xml:space="preserve">
</t>
    </r>
    <r>
      <rPr>
        <sz val="11"/>
        <color rgb="FFFF0000"/>
        <rFont val="Calibri"/>
        <family val="2"/>
        <scheme val="minor"/>
      </rPr>
      <t>2.IAAU1742591-40HQ</t>
    </r>
    <r>
      <rPr>
        <sz val="11"/>
        <color theme="1"/>
        <rFont val="Calibri"/>
        <family val="2"/>
        <scheme val="minor"/>
      </rPr>
      <t xml:space="preserve">
</t>
    </r>
    <r>
      <rPr>
        <sz val="11"/>
        <color rgb="FFFF0000"/>
        <rFont val="Calibri"/>
        <family val="2"/>
        <scheme val="minor"/>
      </rPr>
      <t>3.IAAU1747269-40HQ</t>
    </r>
    <r>
      <rPr>
        <sz val="11"/>
        <color theme="1"/>
        <rFont val="Calibri"/>
        <family val="2"/>
        <scheme val="minor"/>
      </rPr>
      <t xml:space="preserve">
</t>
    </r>
    <r>
      <rPr>
        <sz val="11"/>
        <color rgb="FFFF0000"/>
        <rFont val="Calibri"/>
        <family val="2"/>
        <scheme val="minor"/>
      </rPr>
      <t>4.IAAU1780380-40HQ</t>
    </r>
    <r>
      <rPr>
        <sz val="11"/>
        <color theme="1"/>
        <rFont val="Calibri"/>
        <family val="2"/>
        <scheme val="minor"/>
      </rPr>
      <t xml:space="preserve">
</t>
    </r>
    <r>
      <rPr>
        <sz val="11"/>
        <color rgb="FFFF0000"/>
        <rFont val="Calibri"/>
        <family val="2"/>
        <scheme val="minor"/>
      </rPr>
      <t>5.IAAU1788000-40HQ</t>
    </r>
    <r>
      <rPr>
        <sz val="11"/>
        <color theme="1"/>
        <rFont val="Calibri"/>
        <family val="2"/>
        <scheme val="minor"/>
      </rPr>
      <t xml:space="preserve">
</t>
    </r>
    <r>
      <rPr>
        <sz val="11"/>
        <color rgb="FFFF0000"/>
        <rFont val="Calibri"/>
        <family val="2"/>
        <scheme val="minor"/>
      </rPr>
      <t>6.IAAU1832078-40HQ</t>
    </r>
    <r>
      <rPr>
        <sz val="11"/>
        <color theme="1"/>
        <rFont val="Calibri"/>
        <family val="2"/>
        <scheme val="minor"/>
      </rPr>
      <t xml:space="preserve">
</t>
    </r>
    <r>
      <rPr>
        <sz val="11"/>
        <color rgb="FFFF0000"/>
        <rFont val="Calibri"/>
        <family val="2"/>
        <scheme val="minor"/>
      </rPr>
      <t>7.IAAU1857991-40HQ</t>
    </r>
    <r>
      <rPr>
        <sz val="11"/>
        <color theme="1"/>
        <rFont val="Calibri"/>
        <family val="2"/>
        <scheme val="minor"/>
      </rPr>
      <t xml:space="preserve">
</t>
    </r>
    <r>
      <rPr>
        <sz val="11"/>
        <color rgb="FFFF0000"/>
        <rFont val="Calibri"/>
        <family val="2"/>
        <scheme val="minor"/>
      </rPr>
      <t>8.IAAU1956166-40HQ</t>
    </r>
    <r>
      <rPr>
        <sz val="11"/>
        <color theme="1"/>
        <rFont val="Calibri"/>
        <family val="2"/>
        <scheme val="minor"/>
      </rPr>
      <t xml:space="preserve">
</t>
    </r>
    <r>
      <rPr>
        <sz val="11"/>
        <color rgb="FFFF0000"/>
        <rFont val="Calibri"/>
        <family val="2"/>
        <scheme val="minor"/>
      </rPr>
      <t>9.SEGU6681723-40HQ</t>
    </r>
    <r>
      <rPr>
        <sz val="11"/>
        <color theme="1"/>
        <rFont val="Calibri"/>
        <family val="2"/>
        <scheme val="minor"/>
      </rPr>
      <t xml:space="preserve">
</t>
    </r>
    <r>
      <rPr>
        <sz val="11"/>
        <color rgb="FFFF0000"/>
        <rFont val="Calibri"/>
        <family val="2"/>
        <scheme val="minor"/>
      </rPr>
      <t>10.SEGU6701326-40HQ</t>
    </r>
    <r>
      <rPr>
        <sz val="11"/>
        <color theme="1"/>
        <rFont val="Calibri"/>
        <family val="2"/>
        <scheme val="minor"/>
      </rPr>
      <t xml:space="preserve">
</t>
    </r>
    <r>
      <rPr>
        <sz val="11"/>
        <color rgb="FFFF0000"/>
        <rFont val="Calibri"/>
        <family val="2"/>
        <scheme val="minor"/>
      </rPr>
      <t>11.TLLU8251550-40HQ</t>
    </r>
  </si>
  <si>
    <r>
      <rPr>
        <sz val="11"/>
        <color rgb="FFFF0000"/>
        <rFont val="Calibri"/>
        <family val="2"/>
        <scheme val="minor"/>
      </rPr>
      <t>1.CAXU8176113-40HQ</t>
    </r>
    <r>
      <rPr>
        <sz val="11"/>
        <color theme="1"/>
        <rFont val="Calibri"/>
        <family val="2"/>
        <scheme val="minor"/>
      </rPr>
      <t xml:space="preserve">
</t>
    </r>
    <r>
      <rPr>
        <sz val="11"/>
        <color rgb="FFFF0000"/>
        <rFont val="Calibri"/>
        <family val="2"/>
        <scheme val="minor"/>
      </rPr>
      <t>2.HASU5088789-40HQ</t>
    </r>
    <r>
      <rPr>
        <sz val="11"/>
        <color theme="1"/>
        <rFont val="Calibri"/>
        <family val="2"/>
        <scheme val="minor"/>
      </rPr>
      <t xml:space="preserve">
</t>
    </r>
    <r>
      <rPr>
        <sz val="11"/>
        <color rgb="FFFF0000"/>
        <rFont val="Calibri"/>
        <family val="2"/>
        <scheme val="minor"/>
      </rPr>
      <t>3.MRKU2495350-40HQ</t>
    </r>
    <r>
      <rPr>
        <sz val="11"/>
        <color theme="1"/>
        <rFont val="Calibri"/>
        <family val="2"/>
        <scheme val="minor"/>
      </rPr>
      <t xml:space="preserve">
</t>
    </r>
    <r>
      <rPr>
        <sz val="11"/>
        <color rgb="FFFF0000"/>
        <rFont val="Calibri"/>
        <family val="2"/>
        <scheme val="minor"/>
      </rPr>
      <t>4.MRKU4793143-40HQ</t>
    </r>
    <r>
      <rPr>
        <sz val="11"/>
        <color theme="1"/>
        <rFont val="Calibri"/>
        <family val="2"/>
        <scheme val="minor"/>
      </rPr>
      <t xml:space="preserve">
</t>
    </r>
    <r>
      <rPr>
        <sz val="11"/>
        <color rgb="FFFF0000"/>
        <rFont val="Calibri"/>
        <family val="2"/>
        <scheme val="minor"/>
      </rPr>
      <t>5.MRKU6454302-40HQ</t>
    </r>
    <r>
      <rPr>
        <sz val="11"/>
        <color theme="1"/>
        <rFont val="Calibri"/>
        <family val="2"/>
        <scheme val="minor"/>
      </rPr>
      <t xml:space="preserve">
</t>
    </r>
    <r>
      <rPr>
        <sz val="11"/>
        <color rgb="FFFF0000"/>
        <rFont val="Calibri"/>
        <family val="2"/>
        <scheme val="minor"/>
      </rPr>
      <t>6.MSKU0306022-40HQ</t>
    </r>
    <r>
      <rPr>
        <sz val="11"/>
        <color theme="1"/>
        <rFont val="Calibri"/>
        <family val="2"/>
        <scheme val="minor"/>
      </rPr>
      <t xml:space="preserve">
</t>
    </r>
    <r>
      <rPr>
        <sz val="11"/>
        <color rgb="FFFF0000"/>
        <rFont val="Calibri"/>
        <family val="2"/>
        <scheme val="minor"/>
      </rPr>
      <t>7.MSKU0356682-40HQ</t>
    </r>
    <r>
      <rPr>
        <sz val="11"/>
        <color theme="1"/>
        <rFont val="Calibri"/>
        <family val="2"/>
        <scheme val="minor"/>
      </rPr>
      <t xml:space="preserve">
</t>
    </r>
    <r>
      <rPr>
        <sz val="11"/>
        <color rgb="FFFF0000"/>
        <rFont val="Calibri"/>
        <family val="2"/>
        <scheme val="minor"/>
      </rPr>
      <t>8.MSKU1817860-40HQ</t>
    </r>
    <r>
      <rPr>
        <sz val="11"/>
        <color theme="1"/>
        <rFont val="Calibri"/>
        <family val="2"/>
        <scheme val="minor"/>
      </rPr>
      <t xml:space="preserve">
</t>
    </r>
    <r>
      <rPr>
        <sz val="11"/>
        <color rgb="FFFF0000"/>
        <rFont val="Calibri"/>
        <family val="2"/>
        <scheme val="minor"/>
      </rPr>
      <t>9.PONU7998853-40HQ
10.SUDU8714472-40HQ</t>
    </r>
    <r>
      <rPr>
        <sz val="11"/>
        <color theme="1"/>
        <rFont val="Calibri"/>
        <family val="2"/>
        <scheme val="minor"/>
      </rPr>
      <t xml:space="preserve">
</t>
    </r>
    <r>
      <rPr>
        <sz val="11"/>
        <color rgb="FFFF0000"/>
        <rFont val="Calibri"/>
        <family val="2"/>
        <scheme val="minor"/>
      </rPr>
      <t>11.SUDU8815610-40HQ</t>
    </r>
    <r>
      <rPr>
        <sz val="11"/>
        <color theme="1"/>
        <rFont val="Calibri"/>
        <family val="2"/>
        <scheme val="minor"/>
      </rPr>
      <t xml:space="preserve">
</t>
    </r>
    <r>
      <rPr>
        <sz val="11"/>
        <color rgb="FFFF0000"/>
        <rFont val="Calibri"/>
        <family val="2"/>
        <scheme val="minor"/>
      </rPr>
      <t>12.TCNU8569940-40HQ</t>
    </r>
    <r>
      <rPr>
        <sz val="11"/>
        <color theme="1"/>
        <rFont val="Calibri"/>
        <family val="2"/>
        <scheme val="minor"/>
      </rPr>
      <t xml:space="preserve">
</t>
    </r>
    <r>
      <rPr>
        <sz val="11"/>
        <color rgb="FFFF0000"/>
        <rFont val="Calibri"/>
        <family val="2"/>
        <scheme val="minor"/>
      </rPr>
      <t>13.TRHU5628832-40HQ</t>
    </r>
  </si>
  <si>
    <t>E240781997180268</t>
  </si>
  <si>
    <t>E240781997180277</t>
  </si>
  <si>
    <t>24075</t>
  </si>
  <si>
    <t>OMPLCHS240028</t>
  </si>
  <si>
    <t>007/2024</t>
  </si>
  <si>
    <t>PINNCHAREON 2 V.24006E</t>
  </si>
  <si>
    <t>CARTON BOX, PLASTIC WRAPPER, BOX PAPER, KRAFT PAPER</t>
  </si>
  <si>
    <t>1.OMPL9826075-40HC</t>
  </si>
  <si>
    <t>24076</t>
  </si>
  <si>
    <t>WURU2408SHV066</t>
  </si>
  <si>
    <t>2024JL2303B</t>
  </si>
  <si>
    <t>PICK-UP JMC GRAND AVENUE,2024</t>
  </si>
  <si>
    <t>JIANGXI JIANGLING MOTORS</t>
  </si>
  <si>
    <t>D2024-0118781</t>
  </si>
  <si>
    <t>24077</t>
  </si>
  <si>
    <t>SHAWD072735</t>
  </si>
  <si>
    <t>E240781997180328</t>
  </si>
  <si>
    <t>24078</t>
  </si>
  <si>
    <t>SHAWD072631</t>
  </si>
  <si>
    <t>E240781997180323</t>
  </si>
  <si>
    <t>24079</t>
  </si>
  <si>
    <t>SHAWD072632</t>
  </si>
  <si>
    <t>20537243ETC</t>
  </si>
  <si>
    <t>E240781997180329</t>
  </si>
  <si>
    <t>24080</t>
  </si>
  <si>
    <t>104916SH209</t>
  </si>
  <si>
    <t>DF23CV-374KH002-C</t>
  </si>
  <si>
    <t>24081</t>
  </si>
  <si>
    <t>WUJT2410SHV074</t>
  </si>
  <si>
    <t>2024JL2301B</t>
  </si>
  <si>
    <t>1.SEGU6680162-40HC</t>
  </si>
  <si>
    <t>24082</t>
  </si>
  <si>
    <t>WUJT2410SHV078</t>
  </si>
  <si>
    <t>2024JL2302-3B</t>
  </si>
  <si>
    <t>1.TCKU7376109-40HC</t>
  </si>
  <si>
    <t>11-05-2024</t>
  </si>
  <si>
    <t>GOLDEN EAGLE V104916</t>
  </si>
  <si>
    <t>24083</t>
  </si>
  <si>
    <t>ONE PLUS AUTO TRADING (CAMBODIA) CO., LTD</t>
  </si>
  <si>
    <t>20240510A</t>
  </si>
  <si>
    <t>NEW CAR AITO M7 PLUG-IN, 2024</t>
  </si>
  <si>
    <t>1.TCLU1604214-40DRY</t>
  </si>
  <si>
    <t xml:space="preserve">SICHUAN EGOINT </t>
  </si>
  <si>
    <t>DFSK2</t>
  </si>
  <si>
    <t>XU TAOHONG</t>
  </si>
  <si>
    <t>https://maps.app.goo.gl/dkmB55bm1iVRYJq18</t>
  </si>
  <si>
    <t>ឈ្មោះ DFSK ដែលមានទីតាំង# 319,Hanoi Friendship Blvd（1019）សង្កាត់ភ្នំពេញថ្មី , ខណ្ឌសែនសុខ ,រាជធានីភ្នំពេញ ទីតាំងបង្ហាញរថយន្ត (Showroom) របស់ក្រុមហ៊ុន ONE PLUS AUTO TRADING (CAMBODIA) CO., LTD ទូរស័ព្ទលេខ 096910000 , 096710000 ។</t>
  </si>
  <si>
    <t>L001-902302529</t>
  </si>
  <si>
    <t>098 891 618</t>
  </si>
  <si>
    <t>#បុរីរុងរឿង ផ្ទះលេខG៣៧០០-១៩ ជាន់ទី២ បន្ទប់ R១៩០៣ ផ្លូវ Gប្លុកR៣ ភូមិ គៀនឃ្លាំង សង្កាត់ ព្រែកលៀប ខណ្ឌជ្រោយចង្វារ រាជធានីភ្ណំពេញ 
VAT: K008-902303036</t>
  </si>
  <si>
    <t>#​ ផ្លូវ ៥១ ភូមិ រោងដំរី ឃុំ ភ្នំតូច ស្រុក ឧដុង្គ ខេត្ត កំពង់ស្ពឺ 
VAT: B105-902203319</t>
  </si>
  <si>
    <t xml:space="preserve"> #២៧៨H ផ្លូវជាតិលេខ៦អា ភូមិគៀនឃ្លាំង សង្កាត់ព្រែកលៀប ខណ្ឌជ្រោយចង្វារ រាជធានីភ្នំពេញ 
VAT: B105-902203319</t>
  </si>
  <si>
    <t>#ឃ្លាំងលេខ ៥១A ផ្លូវ ហាណូយ ភូមិ បាយ៉ាប សង្កាត់ ភ្នំពេញថ្មី ខណ្ឌ សែនសុខ រាជធានីភ្នំពេញ 
VAT: K009-902202715</t>
  </si>
  <si>
    <t>#៨៥៦ ផ្លូវ សហព័ប្ធរុស្ស៊ី (១១០), ក្រុមទី៥ ភូមិ ទឹកថ្លា សង្កាត់ ទឹកថ្លា ខណ្ឌ សែនសុខ រាជធានីភ្នំពេញ 
VAT: K009-902303928</t>
  </si>
  <si>
    <t>#២០ ផ្លូវ ២០៩ CW ភូមិព្រែកតាគង់ សង្កាត់ព្រែកតាសេក ខណ្ឌជ្រោយចង្វារ រាជធានីភ្នំពេញ 
VAT: K008-902302426</t>
  </si>
  <si>
    <t>24084</t>
  </si>
  <si>
    <t>24085</t>
  </si>
  <si>
    <t>SHAWD072734</t>
  </si>
  <si>
    <t>SHAWD072816</t>
  </si>
  <si>
    <t>E240781997180349</t>
  </si>
  <si>
    <r>
      <rPr>
        <sz val="11"/>
        <color rgb="FFFF0000"/>
        <rFont val="Calibri"/>
        <family val="2"/>
        <scheme val="minor"/>
      </rPr>
      <t>1.BEAU4355480-40HC</t>
    </r>
    <r>
      <rPr>
        <sz val="11"/>
        <color theme="1"/>
        <rFont val="Calibri"/>
        <family val="2"/>
        <scheme val="minor"/>
      </rPr>
      <t xml:space="preserve">
</t>
    </r>
    <r>
      <rPr>
        <sz val="11"/>
        <color rgb="FFFF0000"/>
        <rFont val="Calibri"/>
        <family val="2"/>
        <scheme val="minor"/>
      </rPr>
      <t>2.UETU5432462-40HC</t>
    </r>
    <r>
      <rPr>
        <sz val="11"/>
        <color theme="1"/>
        <rFont val="Calibri"/>
        <family val="2"/>
        <scheme val="minor"/>
      </rPr>
      <t xml:space="preserve">
</t>
    </r>
    <r>
      <rPr>
        <sz val="11"/>
        <color rgb="FFFF0000"/>
        <rFont val="Calibri"/>
        <family val="2"/>
        <scheme val="minor"/>
      </rPr>
      <t>3.UETU5432992-40HC</t>
    </r>
    <r>
      <rPr>
        <sz val="11"/>
        <color theme="1"/>
        <rFont val="Calibri"/>
        <family val="2"/>
        <scheme val="minor"/>
      </rPr>
      <t xml:space="preserve">
</t>
    </r>
    <r>
      <rPr>
        <sz val="11"/>
        <color rgb="FFFF0000"/>
        <rFont val="Calibri"/>
        <family val="2"/>
        <scheme val="minor"/>
      </rPr>
      <t>4.UETU5768565-40HC</t>
    </r>
  </si>
  <si>
    <r>
      <rPr>
        <sz val="11"/>
        <color rgb="FFFF0000"/>
        <rFont val="Calibri"/>
        <family val="2"/>
        <scheme val="minor"/>
      </rPr>
      <t>1.BHCU5010915-40HQ</t>
    </r>
    <r>
      <rPr>
        <sz val="11"/>
        <color theme="1"/>
        <rFont val="Calibri"/>
        <family val="2"/>
        <scheme val="minor"/>
      </rPr>
      <t xml:space="preserve">
</t>
    </r>
    <r>
      <rPr>
        <sz val="11"/>
        <color rgb="FFFF0000"/>
        <rFont val="Calibri"/>
        <family val="2"/>
        <scheme val="minor"/>
      </rPr>
      <t>2.IAAU1768852-40HQ</t>
    </r>
    <r>
      <rPr>
        <sz val="11"/>
        <color theme="1"/>
        <rFont val="Calibri"/>
        <family val="2"/>
        <scheme val="minor"/>
      </rPr>
      <t xml:space="preserve">
</t>
    </r>
    <r>
      <rPr>
        <sz val="11"/>
        <color rgb="FFFF0000"/>
        <rFont val="Calibri"/>
        <family val="2"/>
        <scheme val="minor"/>
      </rPr>
      <t>3.IAAU1857902-40HQ</t>
    </r>
    <r>
      <rPr>
        <sz val="11"/>
        <color theme="1"/>
        <rFont val="Calibri"/>
        <family val="2"/>
        <scheme val="minor"/>
      </rPr>
      <t xml:space="preserve">
</t>
    </r>
    <r>
      <rPr>
        <sz val="11"/>
        <color rgb="FFFF0000"/>
        <rFont val="Calibri"/>
        <family val="2"/>
        <scheme val="minor"/>
      </rPr>
      <t>4.IAAU1902180-40HQ</t>
    </r>
    <r>
      <rPr>
        <sz val="11"/>
        <color theme="1"/>
        <rFont val="Calibri"/>
        <family val="2"/>
        <scheme val="minor"/>
      </rPr>
      <t xml:space="preserve">
</t>
    </r>
    <r>
      <rPr>
        <sz val="11"/>
        <color rgb="FFFF0000"/>
        <rFont val="Calibri"/>
        <family val="2"/>
        <scheme val="minor"/>
      </rPr>
      <t>5.IAAU1946189-40HQ</t>
    </r>
    <r>
      <rPr>
        <sz val="11"/>
        <color theme="1"/>
        <rFont val="Calibri"/>
        <family val="2"/>
        <scheme val="minor"/>
      </rPr>
      <t xml:space="preserve">
</t>
    </r>
    <r>
      <rPr>
        <sz val="11"/>
        <color rgb="FFFF0000"/>
        <rFont val="Calibri"/>
        <family val="2"/>
        <scheme val="minor"/>
      </rPr>
      <t>6.WHSU5928740-40HQ</t>
    </r>
  </si>
  <si>
    <r>
      <rPr>
        <sz val="11"/>
        <color rgb="FFFF0000"/>
        <rFont val="Calibri"/>
        <family val="2"/>
        <scheme val="minor"/>
      </rPr>
      <t>1.FSCU8194940-40HQ</t>
    </r>
    <r>
      <rPr>
        <sz val="11"/>
        <color theme="1"/>
        <rFont val="Calibri"/>
        <family val="2"/>
        <scheme val="minor"/>
      </rPr>
      <t xml:space="preserve">
</t>
    </r>
    <r>
      <rPr>
        <sz val="11"/>
        <color rgb="FFFF0000"/>
        <rFont val="Calibri"/>
        <family val="2"/>
        <scheme val="minor"/>
      </rPr>
      <t>2.IAAU1697131-40HQ</t>
    </r>
    <r>
      <rPr>
        <sz val="11"/>
        <color theme="1"/>
        <rFont val="Calibri"/>
        <family val="2"/>
        <scheme val="minor"/>
      </rPr>
      <t xml:space="preserve">
</t>
    </r>
    <r>
      <rPr>
        <sz val="11"/>
        <color rgb="FFFF0000"/>
        <rFont val="Calibri"/>
        <family val="2"/>
        <scheme val="minor"/>
      </rPr>
      <t>3.IAAU1718126-40HQ</t>
    </r>
    <r>
      <rPr>
        <sz val="11"/>
        <color theme="1"/>
        <rFont val="Calibri"/>
        <family val="2"/>
        <scheme val="minor"/>
      </rPr>
      <t xml:space="preserve">
</t>
    </r>
    <r>
      <rPr>
        <sz val="11"/>
        <color rgb="FFFF0000"/>
        <rFont val="Calibri"/>
        <family val="2"/>
        <scheme val="minor"/>
      </rPr>
      <t>4.IAAU1762514-40HQ</t>
    </r>
    <r>
      <rPr>
        <sz val="11"/>
        <color theme="1"/>
        <rFont val="Calibri"/>
        <family val="2"/>
        <scheme val="minor"/>
      </rPr>
      <t xml:space="preserve">
</t>
    </r>
    <r>
      <rPr>
        <sz val="11"/>
        <color rgb="FFFF0000"/>
        <rFont val="Calibri"/>
        <family val="2"/>
        <scheme val="minor"/>
      </rPr>
      <t>5.IAAU1762535-40HQ</t>
    </r>
    <r>
      <rPr>
        <sz val="11"/>
        <color theme="1"/>
        <rFont val="Calibri"/>
        <family val="2"/>
        <scheme val="minor"/>
      </rPr>
      <t xml:space="preserve">
</t>
    </r>
    <r>
      <rPr>
        <sz val="11"/>
        <color rgb="FFFF0000"/>
        <rFont val="Calibri"/>
        <family val="2"/>
        <scheme val="minor"/>
      </rPr>
      <t>6.IAAU1771990-40HQ</t>
    </r>
    <r>
      <rPr>
        <sz val="11"/>
        <color theme="1"/>
        <rFont val="Calibri"/>
        <family val="2"/>
        <scheme val="minor"/>
      </rPr>
      <t xml:space="preserve">
</t>
    </r>
    <r>
      <rPr>
        <sz val="11"/>
        <color rgb="FFFF0000"/>
        <rFont val="Calibri"/>
        <family val="2"/>
        <scheme val="minor"/>
      </rPr>
      <t>7.IAAU1797948-40HQ</t>
    </r>
    <r>
      <rPr>
        <sz val="11"/>
        <color theme="1"/>
        <rFont val="Calibri"/>
        <family val="2"/>
        <scheme val="minor"/>
      </rPr>
      <t xml:space="preserve">
</t>
    </r>
    <r>
      <rPr>
        <sz val="11"/>
        <color theme="9"/>
        <rFont val="Calibri"/>
        <family val="2"/>
        <scheme val="minor"/>
      </rPr>
      <t>8.IAAU1816267-40HQ</t>
    </r>
    <r>
      <rPr>
        <sz val="11"/>
        <color theme="1"/>
        <rFont val="Calibri"/>
        <family val="2"/>
        <scheme val="minor"/>
      </rPr>
      <t xml:space="preserve">
</t>
    </r>
    <r>
      <rPr>
        <sz val="11"/>
        <color theme="9"/>
        <rFont val="Calibri"/>
        <family val="2"/>
        <scheme val="minor"/>
      </rPr>
      <t>9.IAAU1820842-40HQ</t>
    </r>
    <r>
      <rPr>
        <sz val="11"/>
        <color theme="1"/>
        <rFont val="Calibri"/>
        <family val="2"/>
        <scheme val="minor"/>
      </rPr>
      <t xml:space="preserve">
</t>
    </r>
    <r>
      <rPr>
        <sz val="11"/>
        <color theme="9"/>
        <rFont val="Calibri"/>
        <family val="2"/>
        <scheme val="minor"/>
      </rPr>
      <t>10.IAAU1859654-40HQ</t>
    </r>
    <r>
      <rPr>
        <sz val="11"/>
        <color theme="1"/>
        <rFont val="Calibri"/>
        <family val="2"/>
        <scheme val="minor"/>
      </rPr>
      <t xml:space="preserve">
</t>
    </r>
    <r>
      <rPr>
        <sz val="11"/>
        <color theme="9"/>
        <rFont val="Calibri"/>
        <family val="2"/>
        <scheme val="minor"/>
      </rPr>
      <t>11.IAAU1886407-40HQ</t>
    </r>
    <r>
      <rPr>
        <sz val="11"/>
        <color theme="1"/>
        <rFont val="Calibri"/>
        <family val="2"/>
        <scheme val="minor"/>
      </rPr>
      <t xml:space="preserve">
</t>
    </r>
    <r>
      <rPr>
        <sz val="11"/>
        <color theme="9"/>
        <rFont val="Calibri"/>
        <family val="2"/>
        <scheme val="minor"/>
      </rPr>
      <t>12.IAAU1932138-40HQ</t>
    </r>
    <r>
      <rPr>
        <sz val="11"/>
        <color theme="1"/>
        <rFont val="Calibri"/>
        <family val="2"/>
        <scheme val="minor"/>
      </rPr>
      <t xml:space="preserve">
</t>
    </r>
    <r>
      <rPr>
        <sz val="11"/>
        <color theme="9"/>
        <rFont val="Calibri"/>
        <family val="2"/>
        <scheme val="minor"/>
      </rPr>
      <t>13.SEKU4120800-40HQ</t>
    </r>
    <r>
      <rPr>
        <sz val="11"/>
        <color theme="1"/>
        <rFont val="Calibri"/>
        <family val="2"/>
        <scheme val="minor"/>
      </rPr>
      <t xml:space="preserve">
</t>
    </r>
    <r>
      <rPr>
        <sz val="11"/>
        <color theme="9"/>
        <rFont val="Calibri"/>
        <family val="2"/>
        <scheme val="minor"/>
      </rPr>
      <t>14.TCNU7634281-40HQ</t>
    </r>
  </si>
  <si>
    <t>E240781997180322</t>
  </si>
  <si>
    <t>24086</t>
  </si>
  <si>
    <t>JNKG24000089</t>
  </si>
  <si>
    <t>24-Y-EV67-013</t>
  </si>
  <si>
    <t>20-05-2024</t>
  </si>
  <si>
    <t>24087</t>
  </si>
  <si>
    <t>SITSKSVD507059</t>
  </si>
  <si>
    <t>2023FAW0312HQE005</t>
  </si>
  <si>
    <t>NEW HONGQI CAR E-QM5, 2024</t>
  </si>
  <si>
    <t>1.TCKU6649580-40HC</t>
  </si>
  <si>
    <t>24088</t>
  </si>
  <si>
    <t>SHAWD072821</t>
  </si>
  <si>
    <t>E240781997180395</t>
  </si>
  <si>
    <t>NEW CAR MG ZS,1.5 COM 4AT, 2024</t>
  </si>
  <si>
    <t>24089</t>
  </si>
  <si>
    <t>24090</t>
  </si>
  <si>
    <t>24091</t>
  </si>
  <si>
    <t>24092</t>
  </si>
  <si>
    <t>24093</t>
  </si>
  <si>
    <t>SITGNCSVQ03912</t>
  </si>
  <si>
    <t>2024JL2302-2B</t>
  </si>
  <si>
    <t>SITC KEELUNG V.2410S</t>
  </si>
  <si>
    <t>NEW TRUCK JMC T822, 2771CC, 2024</t>
  </si>
  <si>
    <t>CHE24HS003</t>
  </si>
  <si>
    <t>EIC/2024/013/0409633A/00390303</t>
  </si>
  <si>
    <t>CHE24HS004</t>
  </si>
  <si>
    <t>EIC/2024/013/0420846A/00390554</t>
  </si>
  <si>
    <t>1.ONEU0099190 / IN1611723</t>
  </si>
  <si>
    <t>1.TRHU7112629 / IN1611726</t>
  </si>
  <si>
    <t>32 BOXES</t>
  </si>
  <si>
    <t>CHE24HS005</t>
  </si>
  <si>
    <t>EIC/2024/013/0405957A/00390136</t>
  </si>
  <si>
    <t>1.TCLU9613336 / IN1611725</t>
  </si>
  <si>
    <t>CHE24HS002</t>
  </si>
  <si>
    <t>EIC/2024/013/0405909A/00390571</t>
  </si>
  <si>
    <t>1.TRHU6169846 / IN1611722</t>
  </si>
  <si>
    <t>26 BOXES</t>
  </si>
  <si>
    <t>EJ6181097</t>
  </si>
  <si>
    <t>SHAWD072777</t>
  </si>
  <si>
    <t>24094</t>
  </si>
  <si>
    <t>E240781997180361</t>
  </si>
  <si>
    <t>1.IAAU1701838-40HQ
2.IAAU1982484-40HQ
3.IAAU1984229-40HQ
4.IAAU1984656-40HQ
5.IAAU1985098-40HQ
6.IAAU1985117-40HQ</t>
  </si>
  <si>
    <t>24095</t>
  </si>
  <si>
    <t>SHAWD072807</t>
  </si>
  <si>
    <t>E240781997180362</t>
  </si>
  <si>
    <t>24096</t>
  </si>
  <si>
    <t>SHAWD072776</t>
  </si>
  <si>
    <t>E240781997180360</t>
  </si>
  <si>
    <t>1.IAAU1984698-40HQ</t>
  </si>
  <si>
    <r>
      <rPr>
        <sz val="11"/>
        <color rgb="FFFF0000"/>
        <rFont val="Calibri"/>
        <family val="2"/>
        <scheme val="minor"/>
      </rPr>
      <t>1.IAAU1708241-40HQ</t>
    </r>
    <r>
      <rPr>
        <sz val="11"/>
        <color theme="1"/>
        <rFont val="Calibri"/>
        <family val="2"/>
        <scheme val="minor"/>
      </rPr>
      <t xml:space="preserve">
</t>
    </r>
    <r>
      <rPr>
        <sz val="11"/>
        <color rgb="FFFF0000"/>
        <rFont val="Calibri"/>
        <family val="2"/>
        <scheme val="minor"/>
      </rPr>
      <t>2.IAAU1916604-40HQ</t>
    </r>
    <r>
      <rPr>
        <sz val="11"/>
        <color theme="1"/>
        <rFont val="Calibri"/>
        <family val="2"/>
        <scheme val="minor"/>
      </rPr>
      <t xml:space="preserve">
</t>
    </r>
    <r>
      <rPr>
        <sz val="11"/>
        <color rgb="FFFF0000"/>
        <rFont val="Calibri"/>
        <family val="2"/>
        <scheme val="minor"/>
      </rPr>
      <t>3.IAAU1954435-40HQ</t>
    </r>
    <r>
      <rPr>
        <sz val="11"/>
        <color theme="1"/>
        <rFont val="Calibri"/>
        <family val="2"/>
        <scheme val="minor"/>
      </rPr>
      <t xml:space="preserve">
</t>
    </r>
    <r>
      <rPr>
        <sz val="11"/>
        <color rgb="FFFF0000"/>
        <rFont val="Calibri"/>
        <family val="2"/>
        <scheme val="minor"/>
      </rPr>
      <t>4.SEKU4121998-40HQ
5.WHSU6381003-40HQ</t>
    </r>
  </si>
  <si>
    <r>
      <rPr>
        <sz val="11"/>
        <color rgb="FFFF0000"/>
        <rFont val="Calibri"/>
        <family val="2"/>
        <scheme val="minor"/>
      </rPr>
      <t>1.IAAU1700507-40HQ</t>
    </r>
    <r>
      <rPr>
        <sz val="11"/>
        <color theme="1"/>
        <rFont val="Calibri"/>
        <family val="2"/>
        <scheme val="minor"/>
      </rPr>
      <t xml:space="preserve">
</t>
    </r>
    <r>
      <rPr>
        <sz val="11"/>
        <color rgb="FFFF0000"/>
        <rFont val="Calibri"/>
        <family val="2"/>
        <scheme val="minor"/>
      </rPr>
      <t>2.IAAU1730348-40HQ</t>
    </r>
    <r>
      <rPr>
        <sz val="11"/>
        <color theme="1"/>
        <rFont val="Calibri"/>
        <family val="2"/>
        <scheme val="minor"/>
      </rPr>
      <t xml:space="preserve">
</t>
    </r>
    <r>
      <rPr>
        <sz val="11"/>
        <color rgb="FFFF0000"/>
        <rFont val="Calibri"/>
        <family val="2"/>
        <scheme val="minor"/>
      </rPr>
      <t>3.IAAU1730477-40HQ</t>
    </r>
    <r>
      <rPr>
        <sz val="11"/>
        <color theme="1"/>
        <rFont val="Calibri"/>
        <family val="2"/>
        <scheme val="minor"/>
      </rPr>
      <t xml:space="preserve">
</t>
    </r>
    <r>
      <rPr>
        <sz val="11"/>
        <color rgb="FFFF0000"/>
        <rFont val="Calibri"/>
        <family val="2"/>
        <scheme val="minor"/>
      </rPr>
      <t>4.IAAU1739962-40HQ</t>
    </r>
    <r>
      <rPr>
        <sz val="11"/>
        <color theme="1"/>
        <rFont val="Calibri"/>
        <family val="2"/>
        <scheme val="minor"/>
      </rPr>
      <t xml:space="preserve">
</t>
    </r>
    <r>
      <rPr>
        <sz val="11"/>
        <color rgb="FFFF0000"/>
        <rFont val="Calibri"/>
        <family val="2"/>
        <scheme val="minor"/>
      </rPr>
      <t>5.IAAU1749301-40HQ</t>
    </r>
    <r>
      <rPr>
        <sz val="11"/>
        <color theme="1"/>
        <rFont val="Calibri"/>
        <family val="2"/>
        <scheme val="minor"/>
      </rPr>
      <t xml:space="preserve">
</t>
    </r>
    <r>
      <rPr>
        <sz val="11"/>
        <color rgb="FFFF0000"/>
        <rFont val="Calibri"/>
        <family val="2"/>
        <scheme val="minor"/>
      </rPr>
      <t>6.IAAU1758005-40HQ</t>
    </r>
    <r>
      <rPr>
        <sz val="11"/>
        <color theme="1"/>
        <rFont val="Calibri"/>
        <family val="2"/>
        <scheme val="minor"/>
      </rPr>
      <t xml:space="preserve">
</t>
    </r>
    <r>
      <rPr>
        <sz val="11"/>
        <color rgb="FFFF0000"/>
        <rFont val="Calibri"/>
        <family val="2"/>
        <scheme val="minor"/>
      </rPr>
      <t>7.IAAU1790250-40HQ</t>
    </r>
    <r>
      <rPr>
        <sz val="11"/>
        <color theme="1"/>
        <rFont val="Calibri"/>
        <family val="2"/>
        <scheme val="minor"/>
      </rPr>
      <t xml:space="preserve">
</t>
    </r>
    <r>
      <rPr>
        <sz val="11"/>
        <color rgb="FFFF0000"/>
        <rFont val="Calibri"/>
        <family val="2"/>
        <scheme val="minor"/>
      </rPr>
      <t>8.IAAU1793670-40HQ</t>
    </r>
    <r>
      <rPr>
        <sz val="11"/>
        <color theme="1"/>
        <rFont val="Calibri"/>
        <family val="2"/>
        <scheme val="minor"/>
      </rPr>
      <t xml:space="preserve">
</t>
    </r>
    <r>
      <rPr>
        <sz val="11"/>
        <color rgb="FFFF0000"/>
        <rFont val="Calibri"/>
        <family val="2"/>
        <scheme val="minor"/>
      </rPr>
      <t>9.IAAU1852372-40HQ</t>
    </r>
    <r>
      <rPr>
        <sz val="11"/>
        <color theme="1"/>
        <rFont val="Calibri"/>
        <family val="2"/>
        <scheme val="minor"/>
      </rPr>
      <t xml:space="preserve">
</t>
    </r>
    <r>
      <rPr>
        <sz val="11"/>
        <color rgb="FFFF0000"/>
        <rFont val="Calibri"/>
        <family val="2"/>
        <scheme val="minor"/>
      </rPr>
      <t>10.IAAU1867006-40HQ</t>
    </r>
    <r>
      <rPr>
        <sz val="11"/>
        <color theme="1"/>
        <rFont val="Calibri"/>
        <family val="2"/>
        <scheme val="minor"/>
      </rPr>
      <t xml:space="preserve">
</t>
    </r>
    <r>
      <rPr>
        <sz val="11"/>
        <color rgb="FFFF0000"/>
        <rFont val="Calibri"/>
        <family val="2"/>
        <scheme val="minor"/>
      </rPr>
      <t>11.IAAU1876456-40HQ
12.IAAU1881030-40HQ</t>
    </r>
    <r>
      <rPr>
        <sz val="11"/>
        <color theme="1"/>
        <rFont val="Calibri"/>
        <family val="2"/>
        <scheme val="minor"/>
      </rPr>
      <t xml:space="preserve">
</t>
    </r>
    <r>
      <rPr>
        <sz val="11"/>
        <color rgb="FFFF0000"/>
        <rFont val="Calibri"/>
        <family val="2"/>
        <scheme val="minor"/>
      </rPr>
      <t>13.IAAU1902093-40HQ
14.TCKU6107506-40HQ</t>
    </r>
  </si>
  <si>
    <r>
      <rPr>
        <sz val="11"/>
        <color rgb="FFFF0000"/>
        <rFont val="Calibri"/>
        <family val="2"/>
        <scheme val="minor"/>
      </rPr>
      <t>1.IAAU1816631-40HC</t>
    </r>
    <r>
      <rPr>
        <sz val="11"/>
        <color theme="1"/>
        <rFont val="Calibri"/>
        <family val="2"/>
        <scheme val="minor"/>
      </rPr>
      <t xml:space="preserve">
</t>
    </r>
    <r>
      <rPr>
        <sz val="11"/>
        <color rgb="FFFF0000"/>
        <rFont val="Calibri"/>
        <family val="2"/>
        <scheme val="minor"/>
      </rPr>
      <t>2.IAAU1834804-40HC</t>
    </r>
    <r>
      <rPr>
        <sz val="11"/>
        <color theme="1"/>
        <rFont val="Calibri"/>
        <family val="2"/>
        <scheme val="minor"/>
      </rPr>
      <t xml:space="preserve">
</t>
    </r>
    <r>
      <rPr>
        <sz val="11"/>
        <color rgb="FFFF0000"/>
        <rFont val="Calibri"/>
        <family val="2"/>
        <scheme val="minor"/>
      </rPr>
      <t>3.IAAU1861610-40HC</t>
    </r>
    <r>
      <rPr>
        <sz val="11"/>
        <color theme="1"/>
        <rFont val="Calibri"/>
        <family val="2"/>
        <scheme val="minor"/>
      </rPr>
      <t xml:space="preserve">
</t>
    </r>
    <r>
      <rPr>
        <sz val="11"/>
        <color rgb="FFFF0000"/>
        <rFont val="Calibri"/>
        <family val="2"/>
        <scheme val="minor"/>
      </rPr>
      <t>4.IAAU1866268-40HC</t>
    </r>
    <r>
      <rPr>
        <sz val="11"/>
        <color theme="1"/>
        <rFont val="Calibri"/>
        <family val="2"/>
        <scheme val="minor"/>
      </rPr>
      <t xml:space="preserve">
</t>
    </r>
    <r>
      <rPr>
        <sz val="11"/>
        <color rgb="FFFF0000"/>
        <rFont val="Calibri"/>
        <family val="2"/>
        <scheme val="minor"/>
      </rPr>
      <t>5.IAAU1866416-40HC</t>
    </r>
    <r>
      <rPr>
        <sz val="11"/>
        <color theme="1"/>
        <rFont val="Calibri"/>
        <family val="2"/>
        <scheme val="minor"/>
      </rPr>
      <t xml:space="preserve">
</t>
    </r>
    <r>
      <rPr>
        <sz val="11"/>
        <color rgb="FFFF0000"/>
        <rFont val="Calibri"/>
        <family val="2"/>
        <scheme val="minor"/>
      </rPr>
      <t>6.TCKU6111358-40HC</t>
    </r>
    <r>
      <rPr>
        <sz val="11"/>
        <color theme="1"/>
        <rFont val="Calibri"/>
        <family val="2"/>
        <scheme val="minor"/>
      </rPr>
      <t xml:space="preserve">
</t>
    </r>
    <r>
      <rPr>
        <sz val="11"/>
        <color rgb="FFFF0000"/>
        <rFont val="Calibri"/>
        <family val="2"/>
        <scheme val="minor"/>
      </rPr>
      <t>7.TGBU7713230-40HC</t>
    </r>
  </si>
  <si>
    <r>
      <rPr>
        <sz val="11"/>
        <color rgb="FFFF0000"/>
        <rFont val="Calibri"/>
        <family val="2"/>
        <scheme val="minor"/>
      </rPr>
      <t>1.IAAU1719966-40HQ</t>
    </r>
    <r>
      <rPr>
        <sz val="11"/>
        <color theme="1"/>
        <rFont val="Calibri"/>
        <family val="2"/>
        <scheme val="minor"/>
      </rPr>
      <t xml:space="preserve">
</t>
    </r>
    <r>
      <rPr>
        <sz val="11"/>
        <color rgb="FFFF0000"/>
        <rFont val="Calibri"/>
        <family val="2"/>
        <scheme val="minor"/>
      </rPr>
      <t>2.IAAU1745287-40HQ</t>
    </r>
    <r>
      <rPr>
        <sz val="11"/>
        <color theme="1"/>
        <rFont val="Calibri"/>
        <family val="2"/>
        <scheme val="minor"/>
      </rPr>
      <t xml:space="preserve">
</t>
    </r>
    <r>
      <rPr>
        <sz val="11"/>
        <color rgb="FFFF0000"/>
        <rFont val="Calibri"/>
        <family val="2"/>
        <scheme val="minor"/>
      </rPr>
      <t>3.IAAU1865214-40HQ</t>
    </r>
    <r>
      <rPr>
        <sz val="11"/>
        <color theme="1"/>
        <rFont val="Calibri"/>
        <family val="2"/>
        <scheme val="minor"/>
      </rPr>
      <t xml:space="preserve">
</t>
    </r>
    <r>
      <rPr>
        <sz val="11"/>
        <color rgb="FFFF0000"/>
        <rFont val="Calibri"/>
        <family val="2"/>
        <scheme val="minor"/>
      </rPr>
      <t>4.IAAU1911285-40HQ</t>
    </r>
    <r>
      <rPr>
        <sz val="11"/>
        <color theme="1"/>
        <rFont val="Calibri"/>
        <family val="2"/>
        <scheme val="minor"/>
      </rPr>
      <t xml:space="preserve">
</t>
    </r>
    <r>
      <rPr>
        <sz val="11"/>
        <color rgb="FFFF0000"/>
        <rFont val="Calibri"/>
        <family val="2"/>
        <scheme val="minor"/>
      </rPr>
      <t>5.SEGU6689489-40HQ</t>
    </r>
    <r>
      <rPr>
        <sz val="11"/>
        <color theme="1"/>
        <rFont val="Calibri"/>
        <family val="2"/>
        <scheme val="minor"/>
      </rPr>
      <t xml:space="preserve">
</t>
    </r>
    <r>
      <rPr>
        <sz val="11"/>
        <color rgb="FFFF0000"/>
        <rFont val="Calibri"/>
        <family val="2"/>
        <scheme val="minor"/>
      </rPr>
      <t>6.SEKU4106674-40HQ</t>
    </r>
    <r>
      <rPr>
        <sz val="11"/>
        <color theme="1"/>
        <rFont val="Calibri"/>
        <family val="2"/>
        <scheme val="minor"/>
      </rPr>
      <t xml:space="preserve">
</t>
    </r>
    <r>
      <rPr>
        <sz val="11"/>
        <color rgb="FFFF0000"/>
        <rFont val="Calibri"/>
        <family val="2"/>
        <scheme val="minor"/>
      </rPr>
      <t>7.TCKU6110942-40HQ</t>
    </r>
  </si>
  <si>
    <t>24097</t>
  </si>
  <si>
    <t>NSASHVD153024</t>
  </si>
  <si>
    <t>24098</t>
  </si>
  <si>
    <t>1.SITU9114892-40HC</t>
  </si>
  <si>
    <t>HAINAN YONGSHENGHE</t>
  </si>
  <si>
    <t>GLSN074224017</t>
  </si>
  <si>
    <t>20240518/VP-BJC-KH</t>
  </si>
  <si>
    <t>VN-KH 24/01/024262</t>
  </si>
  <si>
    <t>LONG SON 01 V423N</t>
  </si>
  <si>
    <t>1.SEKU5535349-40HC, 2.SEKU6307908-40HC</t>
  </si>
  <si>
    <t>60 ROLLS</t>
  </si>
  <si>
    <t>YSH2024-1005</t>
  </si>
  <si>
    <t>NEW ELECTRIC CAR TESLA MODEL 3, 2024</t>
  </si>
  <si>
    <t>1.IAAU1700575-40HQ
2.IAAU1936848-40HQ
3.IAAU1984682-40HQ
4.IAAU1985267-40HQ
5.IAAU1985272-40HQ
6.IAAU1985328-40HQ
7.IAAU1985729-40HQ
8.IAAU1985879-40HQ
9.TCLU5239676-40HQ</t>
  </si>
  <si>
    <r>
      <rPr>
        <sz val="11"/>
        <color rgb="FFFF0000"/>
        <rFont val="Calibri"/>
        <family val="2"/>
        <scheme val="minor"/>
      </rPr>
      <t>1.CSNU6188702-40HC</t>
    </r>
    <r>
      <rPr>
        <sz val="11"/>
        <color theme="1"/>
        <rFont val="Calibri"/>
        <family val="2"/>
        <scheme val="minor"/>
      </rPr>
      <t xml:space="preserve">
</t>
    </r>
    <r>
      <rPr>
        <sz val="11"/>
        <color rgb="FFFF0000"/>
        <rFont val="Calibri"/>
        <family val="2"/>
        <scheme val="minor"/>
      </rPr>
      <t>2.GCXU5610544-40HC</t>
    </r>
    <r>
      <rPr>
        <sz val="11"/>
        <color theme="1"/>
        <rFont val="Calibri"/>
        <family val="2"/>
        <scheme val="minor"/>
      </rPr>
      <t xml:space="preserve">
</t>
    </r>
    <r>
      <rPr>
        <sz val="11"/>
        <color rgb="FFFF0000"/>
        <rFont val="Calibri"/>
        <family val="2"/>
        <scheme val="minor"/>
      </rPr>
      <t>3.TEMU8178165-40HC</t>
    </r>
    <r>
      <rPr>
        <sz val="11"/>
        <color theme="1"/>
        <rFont val="Calibri"/>
        <family val="2"/>
        <scheme val="minor"/>
      </rPr>
      <t xml:space="preserve">
</t>
    </r>
    <r>
      <rPr>
        <sz val="11"/>
        <color rgb="FFFF0000"/>
        <rFont val="Calibri"/>
        <family val="2"/>
        <scheme val="minor"/>
      </rPr>
      <t>4.OOCU7515138-40HC</t>
    </r>
    <r>
      <rPr>
        <sz val="11"/>
        <color theme="1"/>
        <rFont val="Calibri"/>
        <family val="2"/>
        <scheme val="minor"/>
      </rPr>
      <t xml:space="preserve">
</t>
    </r>
    <r>
      <rPr>
        <sz val="11"/>
        <color rgb="FFFF0000"/>
        <rFont val="Calibri"/>
        <family val="2"/>
        <scheme val="minor"/>
      </rPr>
      <t>5.CBHU9042605-40HC</t>
    </r>
  </si>
  <si>
    <t>24099</t>
  </si>
  <si>
    <t>WUXD2412SHV088</t>
  </si>
  <si>
    <t>2024JL2305B</t>
  </si>
  <si>
    <t>1.BMOU6513595-40HC</t>
  </si>
  <si>
    <t>JANGXI</t>
  </si>
  <si>
    <t>24100</t>
  </si>
  <si>
    <t>24HCWY0425BZ4X</t>
  </si>
  <si>
    <t>NEW ELECTRIC CAR TOYOTA BZ4X,66.7KWH, 2024</t>
  </si>
  <si>
    <t>1.MRKU2587781-40HC</t>
  </si>
  <si>
    <t>NHAUTO</t>
  </si>
  <si>
    <t>https://maps.app.goo.gl/hCthUNhcGJ2oueUo9</t>
  </si>
  <si>
    <t>ហ៊ល​ សំណាង</t>
  </si>
  <si>
    <t>ភេទប្រុស ដែលមានអត្តសញ្ញាណបណ្ណលេខៈ 020524916(01) ជាប្រធានក្រុមហ៊ុន TWO RCP ASIA CO., LTD អត្តសញ្ញាណកម្មសារពើពន្ធ (VAT)លេខៈ B108-902003919 ទូរសព្ទ័លេខៈ 066 888551</t>
  </si>
  <si>
    <t>#09 ផ្លូវលំ ភូមិព្រែករាំង សង្កាត់កំពង់សំណាញ់ ក្រុងតាខ្មៅ ខេត្តកណ្តាល 
VAT: B108-902003919</t>
  </si>
  <si>
    <t>020524916(01)</t>
  </si>
  <si>
    <t>B108-902003919</t>
  </si>
  <si>
    <t>016988234</t>
  </si>
  <si>
    <t>#09 ផ្លូវលំ ភូមិព្រែករាំង សង្កាត់កំពង់សំណាញ់ ក្រុងតាខ្មៅ ខេត្តកណ្តាល
VAT: B108-902003919</t>
  </si>
  <si>
    <t>ឈ្មោះ NH Auto ដែលមានទីតាំង#   ផ្ទះលេខ៣៣ ផ្លូវ៦០៨ ភូមិ១២ សង្កាត់បឹងកក់ទី២ ខណ្ឌទួលគោក រាជធានីភ្នំពេញ ទីតាំងបង្ហាញរថយន្ត (Showroom) របស់ក្រុមហ៊ុន TWO RCP ASIA CO., LTD ទូរស័ព្ទលេខ 016988234 ។</t>
  </si>
  <si>
    <r>
      <rPr>
        <sz val="11"/>
        <color rgb="FFFF0000"/>
        <rFont val="Calibri"/>
        <family val="2"/>
        <scheme val="minor"/>
      </rPr>
      <t>1.TCKU6167022-40HC</t>
    </r>
    <r>
      <rPr>
        <sz val="11"/>
        <color theme="1"/>
        <rFont val="Calibri"/>
        <family val="2"/>
        <scheme val="minor"/>
      </rPr>
      <t xml:space="preserve">
</t>
    </r>
    <r>
      <rPr>
        <sz val="11"/>
        <color rgb="FFFF0000"/>
        <rFont val="Calibri"/>
        <family val="2"/>
        <scheme val="minor"/>
      </rPr>
      <t>2.TRHU4741660-40HC</t>
    </r>
  </si>
  <si>
    <r>
      <rPr>
        <sz val="11"/>
        <color rgb="FFFF0000"/>
        <rFont val="Calibri"/>
        <family val="2"/>
        <scheme val="minor"/>
      </rPr>
      <t>1.IAAU1756595-40HC</t>
    </r>
    <r>
      <rPr>
        <sz val="11"/>
        <color theme="1"/>
        <rFont val="Calibri"/>
        <family val="2"/>
        <scheme val="minor"/>
      </rPr>
      <t xml:space="preserve">
</t>
    </r>
    <r>
      <rPr>
        <sz val="11"/>
        <color rgb="FFFF0000"/>
        <rFont val="Calibri"/>
        <family val="2"/>
        <scheme val="minor"/>
      </rPr>
      <t>2.IAAU1818260-40HC</t>
    </r>
    <r>
      <rPr>
        <sz val="11"/>
        <color theme="1"/>
        <rFont val="Calibri"/>
        <family val="2"/>
        <scheme val="minor"/>
      </rPr>
      <t xml:space="preserve">
</t>
    </r>
    <r>
      <rPr>
        <sz val="11"/>
        <color rgb="FFFF0000"/>
        <rFont val="Calibri"/>
        <family val="2"/>
        <scheme val="minor"/>
      </rPr>
      <t>3.IAAU1844870-40HC</t>
    </r>
    <r>
      <rPr>
        <sz val="11"/>
        <color theme="1"/>
        <rFont val="Calibri"/>
        <family val="2"/>
        <scheme val="minor"/>
      </rPr>
      <t xml:space="preserve">
</t>
    </r>
    <r>
      <rPr>
        <sz val="11"/>
        <color rgb="FFFF0000"/>
        <rFont val="Calibri"/>
        <family val="2"/>
        <scheme val="minor"/>
      </rPr>
      <t>4.IAAU2701370-20GP</t>
    </r>
    <r>
      <rPr>
        <sz val="11"/>
        <color theme="1"/>
        <rFont val="Calibri"/>
        <family val="2"/>
        <scheme val="minor"/>
      </rPr>
      <t xml:space="preserve">
</t>
    </r>
    <r>
      <rPr>
        <sz val="11"/>
        <color rgb="FFFF0000"/>
        <rFont val="Calibri"/>
        <family val="2"/>
        <scheme val="minor"/>
      </rPr>
      <t>5.SEGU6721723-40HC</t>
    </r>
    <r>
      <rPr>
        <sz val="11"/>
        <color theme="1"/>
        <rFont val="Calibri"/>
        <family val="2"/>
        <scheme val="minor"/>
      </rPr>
      <t xml:space="preserve">
</t>
    </r>
    <r>
      <rPr>
        <sz val="11"/>
        <color rgb="FFFF0000"/>
        <rFont val="Calibri"/>
        <family val="2"/>
        <scheme val="minor"/>
      </rPr>
      <t>6.WHSU5442383-40HC</t>
    </r>
    <r>
      <rPr>
        <sz val="11"/>
        <color theme="1"/>
        <rFont val="Calibri"/>
        <family val="2"/>
        <scheme val="minor"/>
      </rPr>
      <t xml:space="preserve">
</t>
    </r>
    <r>
      <rPr>
        <sz val="11"/>
        <color rgb="FFFF0000"/>
        <rFont val="Calibri"/>
        <family val="2"/>
        <scheme val="minor"/>
      </rPr>
      <t>7.WHSU6861240-40HC</t>
    </r>
  </si>
  <si>
    <r>
      <rPr>
        <sz val="11"/>
        <color rgb="FFFF0000"/>
        <rFont val="Calibri"/>
        <family val="2"/>
        <scheme val="minor"/>
      </rPr>
      <t>1.FFAU5076716-40HQ</t>
    </r>
    <r>
      <rPr>
        <sz val="11"/>
        <color theme="1"/>
        <rFont val="Calibri"/>
        <family val="2"/>
        <scheme val="minor"/>
      </rPr>
      <t xml:space="preserve">
</t>
    </r>
    <r>
      <rPr>
        <sz val="11"/>
        <color rgb="FFFF0000"/>
        <rFont val="Calibri"/>
        <family val="2"/>
        <scheme val="minor"/>
      </rPr>
      <t>2.GCXU5549871-40HQ</t>
    </r>
    <r>
      <rPr>
        <sz val="11"/>
        <color theme="1"/>
        <rFont val="Calibri"/>
        <family val="2"/>
        <scheme val="minor"/>
      </rPr>
      <t xml:space="preserve">
</t>
    </r>
    <r>
      <rPr>
        <sz val="11"/>
        <color rgb="FFFF0000"/>
        <rFont val="Calibri"/>
        <family val="2"/>
        <scheme val="minor"/>
      </rPr>
      <t>3.MRKU3625675-40HQ</t>
    </r>
    <r>
      <rPr>
        <sz val="11"/>
        <color theme="1"/>
        <rFont val="Calibri"/>
        <family val="2"/>
        <scheme val="minor"/>
      </rPr>
      <t xml:space="preserve">
</t>
    </r>
    <r>
      <rPr>
        <sz val="11"/>
        <color rgb="FFFF0000"/>
        <rFont val="Calibri"/>
        <family val="2"/>
        <scheme val="minor"/>
      </rPr>
      <t>4.MRKU6275523-40HQ</t>
    </r>
    <r>
      <rPr>
        <sz val="11"/>
        <color theme="1"/>
        <rFont val="Calibri"/>
        <family val="2"/>
        <scheme val="minor"/>
      </rPr>
      <t xml:space="preserve">
</t>
    </r>
    <r>
      <rPr>
        <sz val="11"/>
        <color rgb="FFFF0000"/>
        <rFont val="Calibri"/>
        <family val="2"/>
        <scheme val="minor"/>
      </rPr>
      <t>5.MRSU5100930-40HQ</t>
    </r>
    <r>
      <rPr>
        <sz val="11"/>
        <color theme="1"/>
        <rFont val="Calibri"/>
        <family val="2"/>
        <scheme val="minor"/>
      </rPr>
      <t xml:space="preserve">
</t>
    </r>
    <r>
      <rPr>
        <sz val="11"/>
        <color rgb="FFFF0000"/>
        <rFont val="Calibri"/>
        <family val="2"/>
        <scheme val="minor"/>
      </rPr>
      <t>6.MSKU9604100-40HQ</t>
    </r>
    <r>
      <rPr>
        <sz val="11"/>
        <color theme="1"/>
        <rFont val="Calibri"/>
        <family val="2"/>
        <scheme val="minor"/>
      </rPr>
      <t xml:space="preserve">
</t>
    </r>
    <r>
      <rPr>
        <sz val="11"/>
        <color rgb="FFFF0000"/>
        <rFont val="Calibri"/>
        <family val="2"/>
        <scheme val="minor"/>
      </rPr>
      <t>7.MSKU9986363-40HQ</t>
    </r>
    <r>
      <rPr>
        <sz val="11"/>
        <color theme="1"/>
        <rFont val="Calibri"/>
        <family val="2"/>
        <scheme val="minor"/>
      </rPr>
      <t xml:space="preserve">
</t>
    </r>
    <r>
      <rPr>
        <sz val="11"/>
        <color rgb="FFFF0000"/>
        <rFont val="Calibri"/>
        <family val="2"/>
        <scheme val="minor"/>
      </rPr>
      <t>8.SEKU4605518-40HQ</t>
    </r>
    <r>
      <rPr>
        <sz val="11"/>
        <color theme="1"/>
        <rFont val="Calibri"/>
        <family val="2"/>
        <scheme val="minor"/>
      </rPr>
      <t xml:space="preserve">
</t>
    </r>
    <r>
      <rPr>
        <sz val="11"/>
        <color rgb="FFFF0000"/>
        <rFont val="Calibri"/>
        <family val="2"/>
        <scheme val="minor"/>
      </rPr>
      <t>9.TCKU7595175-40HQ</t>
    </r>
    <r>
      <rPr>
        <sz val="11"/>
        <color theme="1"/>
        <rFont val="Calibri"/>
        <family val="2"/>
        <scheme val="minor"/>
      </rPr>
      <t xml:space="preserve">
</t>
    </r>
    <r>
      <rPr>
        <sz val="11"/>
        <color rgb="FFFF0000"/>
        <rFont val="Calibri"/>
        <family val="2"/>
        <scheme val="minor"/>
      </rPr>
      <t>10.TRHU5899747-40HQ</t>
    </r>
  </si>
  <si>
    <t>24101</t>
  </si>
  <si>
    <t>ONEYDXBE03019900</t>
  </si>
  <si>
    <t>SR-19900</t>
  </si>
  <si>
    <t>10-06-2024</t>
  </si>
  <si>
    <t>MCLAREN 720S, 2021</t>
  </si>
  <si>
    <t>1.NYKU3553903-20ST</t>
  </si>
  <si>
    <t>SEASPAN OSAKA V.015E</t>
  </si>
  <si>
    <t>05-06-2024</t>
  </si>
  <si>
    <t>24102</t>
  </si>
  <si>
    <t>YSH2024-1006</t>
  </si>
  <si>
    <t>NEW ELECTRIC CAR ORA CAT, 2024
NEW ELECTRIC CAR ORA CAT GT, 2024</t>
  </si>
  <si>
    <t>1.SEKU6967054-40DRY</t>
  </si>
  <si>
    <t>24103</t>
  </si>
  <si>
    <t>GJ-TJCD2024050801</t>
  </si>
  <si>
    <t>NEW ELECTRIC CAR ORA CAT, 2024</t>
  </si>
  <si>
    <t>SEKU6967054-40DRY (PART OF)</t>
  </si>
  <si>
    <t>OCH/EAC</t>
  </si>
  <si>
    <t>https://maps.app.goo.gl/to7J1sGd39dUyS2S6?g_st=atm</t>
  </si>
  <si>
    <t>AUTOHOME  ដែលមានអាសយដ្ឋាន #៨៥៦ ផ្លូវ សហព័ន្ធរុស្សី (១១០), ក្រុមទី៥ ភូមិ ទឹកថ្លា សង្កាត់ ទឹកថ្លា ខណ្ឌ សែនសុខ , ភ្នំពេញ ជាទីតាំងបង្ហាញ (SHOWROOM)របស់ក្រុមហ៊ុន AUTOHOME(CAMBODIA) IMPORT EXPORT CO.,LTD។</t>
  </si>
  <si>
    <t>ឈ្មោះ ខេអូតូ(K AUTO) ដែលមានទីតាំង អាគារ 168  មហាវិថីព្រះមុន្នីវង្ស (93),សង្កាត់ ស្រះចក,ខណ្ឌដូនពេញ រាជធានីភ្នំពេញ ទូរស័ព្ទលេខ 012 985 555។</t>
  </si>
  <si>
    <t>ឈ្មោះ​ JMC ដែលមានទីតាំង #643 មហាវិថីមិត្តភាពហាណូយ (1019), សង្កាត់ភ្នំពេញថ្មី, ខណ្ឌសែនសុខ, រាជធានីភ្នំពេញ ជាទីតាំងបង្ហាញរថយន្ត (Showroom) របស់ក្រុមហ៊ុន XST AUTO (CAMBODIA) INTERNATIONAL TRADE CO., LTD។</t>
  </si>
  <si>
    <t>MORRIS GARAGES  ដែលមានទីតាំង #179-185 ផ្លូវ ឧកញ្ញ៉ាមហាភក្ដី ហ៊ុននាង, សង្កាត់ចាក់អង្រែក្រោម, ភ្នំពេញ ជាទីតាំងបង្ហាញ (SHOWROOM)របស់ក្រុមហ៊ុន TF MOTORS (CAMBODIA) CO., LTD។</t>
  </si>
  <si>
    <t>MORRIS GARAGES  ដែលមានទីតាំង #ផ្លូវ ភូមិ គោកត្នោត ឃុំ កណ្ដែក ស្រុក ប្រាសាទបាគង ខេត្តសៀមរាប ជាទីតាំងបង្ហាញ (SHOWROOM)របស់ក្រុមហ៊ុន TF MOTORS (CAMBODIA) CO., LTD។</t>
  </si>
  <si>
    <t>ឈ្មោះ FAW TRUCKS ដែលមានអាស័យដ្ឋាន: No.51A ផ្លូវ ហាណូយ, ខណ្ឌសែនសុខ , រាជធានីភ្នំពេញ ទីតាំងបង្ហាញរថយន្ត (Showroom) របស់ក្រុមហ៊ុន JF MOTOR CO., LTD។</t>
  </si>
  <si>
    <t>ឈ្មោះ WULING ដែលមានទីតាំងលេខ ២៧៨H ផ្លូវជាតិលេខ៦អា ភូមិគៀនឃ្លាំង សង្កាត់ព្រែកលៀប ខណ្ឌជ្រោយចង្វារ រាជធានីភ្នំពេញ លេខទំនាក់ទំនង៖ 096 34 95 302 ជាទីតាំងបង្ហាញរថយន្ត (SHOWROOM) របស់ក្រុមហ៊ុន FD AUTO (CAMBODIA) INTERNATIONAL TRADE CO., LTD។</t>
  </si>
  <si>
    <t>ឈ្មោះ GTV MOTOR ដែលមានអាស័យដ្ឋាន: National Road 2, Srok Thom Village, Cheung Keb Commune, Kandal Steung District, Kandal Province. Cambodia. ទីតាំងបង្ហាញរថយន្ត (Showroom) របស់ក្រុមហ៊ុន HS MOTOR CO.,LTD ទូរស័ព្ទលេខ:095 999 82។</t>
  </si>
  <si>
    <t>ឈ្មោះ FAW-VOLKSWAGEN ដែលមានទីតាំងNo.98 Street 110 , Toek Lok 1 Commune , Toul Kork District , Phnom Penh ទីតាំងបង្ហាញរថយន្ត (Showroom) របស់ក្រុមហ៊ុន របស់ក្រុមហ៊ុន HS MOTOR CO.,LTD ទូរស័ព្ទលេខ:095 999 82។</t>
  </si>
  <si>
    <t>ឈ្មោះ គឹមស្រ៊ុនព្រីមៀមអូតូ (KIM SRUN PREMIUM AUTO) ដែលមានទីតាំង អាគារ 168  មហាវិថីព្រះមុន្នីវង្ស (93),សង្កាត់ ស្រះចក,ខណ្ឌដូនពេញ រាជធានីភ្នំពេញ ទូរស័ព្ទលេខ 012 985 555។</t>
  </si>
  <si>
    <t>ឈ្មោះ AUTO TUNING ដែលមានទីតាំង NO 84-90, Street 214 Beoung Proluet, Khan 7 Meakara ទីតាំងបង្ហាញរថយន្ត (Showroom) របស់ក្រុមហ៊ុន O C D M TRADING CO., LTD ទូរស័ព្ទលេខ: 093 82 23 23។</t>
  </si>
  <si>
    <t>ឈ្មោះ JETOUR ដែលមានទីតាំង#315,ផ្លូវជាតិ 6A,សង្កាត់ ព្រែកលៀប, ខណ្ឌ ជ្រោយចង្វារ, រាជធានីភ្នំពេញ ទីតាំងបង្ហាញរថយន្ត (Showroom) របស់ក្រុមហ៊ុន CHINA GOOD CAR INVESTMENT (CAMBODIA) CO.,LTD។</t>
  </si>
  <si>
    <t>ឈ្មោះ ឆាយណាខា ដែលមានទីតាំងឃ្លាំងលេខ ៩-១០ ផ្លូវ ភូមិ ៧ សង្កាត់ ទឹកល្អក់ទី១ ខណ្ឌ ទួលគោក រាជធានីភ្នំពេញ ទីតាំងបង្ហាញរថយន្ត (Showroom) របស់ក្រុមហ៊ុន CHINA GOOD CAR INVESTMENT (CAMBODIA) CO.,LTD។</t>
  </si>
  <si>
    <t>ឈ្មោះ Audi Phnom Penh ដែលមានអាសយដ្ឋាន#15Z ផ្លូវព្រះមុនីវង្ស កែងផ្លូវ 422 សង្កាត់ទន្លេបាសាក់ ខណ្ឌចំការមន រាជធានីភ្នំពេញ ទីតាំងបង្ហាញរថយន្ត (Showroom) របស់ក្រុមហ៊ុន AUTOMOTIVE ASIA (CAMBODIA) LIMITED។</t>
  </si>
  <si>
    <t>ឈ្មោះ SOUEAST DONGFENG ដែលមានទីតាំងផ្ទះលេខ1076 ផ្លូវ2004 ភូមិទឹកថ្លា សង្កាត់ទឹកថ្លា ខណ្ឌសែនសុខ រាជធានីភ្នំពេញ ទីតាំងបង្ហាញរថយន្ត (Showroom) របស់ក្រុមហ៊ុន A N D Y (CAMBODIA) INTERNATIONAL AUTO TRADE CO., LTD។</t>
  </si>
  <si>
    <t>ឈ្មោះ FORTHING ដែលមានទីតាំង #166 ផ្លូវជាតិលេខ 6 ភូមិគៀនឃ្លាំង សង្កាត់ជ្រោយចង្វារ ខណ្ឌជ្រោយចង្វារ រាជធានីភ្នំពេញ ជាទីតាំងបង្ហាញរថយន្ត (Showroom) របស់ក្រុមហ៊ុន YUEKA ONE-STOP AUTO SERVICE CO. LTD ទូរស័ព្ទលេខ: 087 866 762 ។</t>
  </si>
  <si>
    <t>MATADOR UMG CAMBODIA ដែលមានអាស័យដ្ឋាន ស្ទឹងព្រែកត្នោត, ផ្លូវជាតិលេខ 4, ភូមិស្ទឹង ឃុំត្រពាំងគង ស្រុកសំរោងទង ខេត្តកំពង់ស្ពឺ។</t>
  </si>
  <si>
    <t>ឈ្មោះ JMC AUTO ដែលមានអាស័យដ្ឋានផ្ទះលេខ #521, ផ្លូវជាតិលេខ 6A, ភូមិគៀនឃ្លាំង សង្កាត់ជ្រោយចង្វារ ខណ្ឌជ្រោយជង្វារ រាជធានីភ្នំពេញ ជាទីតាំងបង្ហាញរថយន្ត (Showroom) របស់ក្រុមហ៊ុន XST AUTO (CAMBODIA) INTERNATIONAL TRADE CO., LTD។</t>
  </si>
  <si>
    <t>ឈ្មោះ SOUEAST DONGFENG ដែលមានទីតាំងផ្ទះលេខ1076 ផ្លូវ2004 ភូមិទឹកថ្លា សង្កាត់ទឹកថ្លា ខណ្ឌសែនសុខ រាជធានីភ្នំពេញ ទីតាំងបង្ហាញរថយន្ត (Showroom) របស់ក្រុមហ៊ុន HUAY (CAMBODIA) INTERNATIONAL AUTO TRADE CO., LTD។</t>
  </si>
  <si>
    <t>ឈ្មោះ FAW ដែលមានអាស័យដ្ឋាន: No.98 Street 110 , Toek Lok 1 Commune , Toul Kork District , Phnom Penh ទីតាំងបង្ហាញរថយន្ត (Showroom) របស់ក្រុមហ៊ុន VICTOR MOTOR CO.,LTD។</t>
  </si>
  <si>
    <t>ឈ្មោះ យូណាយធីត មើឃ្យូរី គ្រុប ដែលមានទីតាំង No.287 ផ្លូវជាតិលេខ3 សង្កាត់ចោមចៅ1 ខណ្ឌពោធិ៍សែនជ័យ រាជធានីភ្នំពេញ របស់ក្រុមហ៊ុន UNITED MERCURY GROUP CO., LTD។</t>
  </si>
  <si>
    <t>SOUEAST (សោតអៀសអូតូខា) ដែលមានអាស័យដ្ឋាន No.21-23 street 214,Phnum 2,Sangkat Boeng Rang,Khan Daun Penh,Phnom Penh,Cambodia។</t>
  </si>
  <si>
    <t>ឈ្មោះ មីងយ៉ាងគួជីត្រេឌីង ឯ.ក ដែលមានទីតាំងអាគារ 174K សង្កាត់ទួលសង្កែ ខណ្ឌប្ញស្សីកែវ រាជធានីភ្នំពេញ របស់ក្រុមហ៊ុន MINGYANG GUOJI TRADING CO., LTD។</t>
  </si>
  <si>
    <t>ONE ROAD GROUP ​ដែលមានអាស័យដ្ឋាន No.288K,Street 598,Sangkat Toul Sangke 2,Khan Reusey Keo,Phnom Penh, Cambodia។</t>
  </si>
  <si>
    <t>រតនៈ ឡាក់សិរី ខា ត្រេដ័រ (RATANAK LUXURY CAR TRADER) ដែលមានអាស័យដ្ឋានផ្ទះលេខ #639KR ផ្លូវ 93 មហាវិថីព្រះមុន្នីវង្ស ភូមិ 7 សង្កាត់បឹងកេងកងទី 3 ខណ្ឌចំការមន រាជធានីភ្នំពេញ ។</t>
  </si>
  <si>
    <t>24104</t>
  </si>
  <si>
    <t>VANA34648600</t>
  </si>
  <si>
    <t>SR-48600</t>
  </si>
  <si>
    <t>11-06-2024</t>
  </si>
  <si>
    <t>NEW LEXUS TX350, 2024</t>
  </si>
  <si>
    <t>1.HMMU6045980-40H</t>
  </si>
  <si>
    <t>GREAT CANADA</t>
  </si>
  <si>
    <t>LGBSCH24040193</t>
  </si>
  <si>
    <t>SR-40193</t>
  </si>
  <si>
    <t>NEW CAR MERCEDES BENZ MAYBACH GLS600, 2024</t>
  </si>
  <si>
    <t>1.OOLU0257845-20HC</t>
  </si>
  <si>
    <t>GLOBAL MOTOR TRADE</t>
  </si>
  <si>
    <t>24105</t>
  </si>
  <si>
    <t>24106</t>
  </si>
  <si>
    <t>COAU7250361160</t>
  </si>
  <si>
    <t>24-Y-EV67-015</t>
  </si>
  <si>
    <t>1.DFSU7403980-40HQ
2.OOCU7421023-40HQ
3.OOLU9552841-40HQ
4.FCIU9601050-40HQ
5.CBHU9151611-40HQ</t>
  </si>
  <si>
    <t>DEVEL</t>
  </si>
  <si>
    <t>24107</t>
  </si>
  <si>
    <t>24108</t>
  </si>
  <si>
    <t>VANA87011100</t>
  </si>
  <si>
    <t>SR-11100</t>
  </si>
  <si>
    <t>GREAT CANADA AUTO</t>
  </si>
  <si>
    <t>011/2024</t>
  </si>
  <si>
    <t>GLS 16 V.424N</t>
  </si>
  <si>
    <t>16-06-2024</t>
  </si>
  <si>
    <t>CARTON BOX, PLASTIC WRAPPER, STICKER, KRAFT PAPER, PAPER CORE, SPARE PART</t>
  </si>
  <si>
    <t>1.MRKU8101304-20DV</t>
  </si>
  <si>
    <t>11 PALLETS</t>
  </si>
  <si>
    <t>24109</t>
  </si>
  <si>
    <t>SHAWD072948</t>
  </si>
  <si>
    <t>NEW CAR MAXUS D60, 2024
NEW CAR MAXUS G50, 2023</t>
  </si>
  <si>
    <t>1.IAAU1691030-40HQ</t>
  </si>
  <si>
    <t>SAIC MAXUS</t>
  </si>
  <si>
    <t>24110</t>
  </si>
  <si>
    <t>SHAWD072970</t>
  </si>
  <si>
    <t>24111</t>
  </si>
  <si>
    <t>SHAWD072957</t>
  </si>
  <si>
    <t>NEW CAR MG7, 1496CC, 2025
NEW CAR MG7, 1986CC, 2025</t>
  </si>
  <si>
    <t>0021345020</t>
  </si>
  <si>
    <t>1.KOCU4605001-40DC</t>
  </si>
  <si>
    <t>24112</t>
  </si>
  <si>
    <t>CHE24HS007</t>
  </si>
  <si>
    <t>20544854ETC</t>
  </si>
  <si>
    <t>1.TCNU6429699 / IN1620893</t>
  </si>
  <si>
    <t>E240781997180482</t>
  </si>
  <si>
    <t>E240781997180474</t>
  </si>
  <si>
    <t>EIC/2024/013/0514905A/00480798</t>
  </si>
  <si>
    <t>24113</t>
  </si>
  <si>
    <t>MISTINE</t>
  </si>
  <si>
    <t>MISTINE (CAMBODIA) CO.,LTD</t>
  </si>
  <si>
    <t>WARHOUSE</t>
  </si>
  <si>
    <t>BETTER WAY</t>
  </si>
  <si>
    <t>24114</t>
  </si>
  <si>
    <t>SHAWD072994</t>
  </si>
  <si>
    <t>E240781997180500</t>
  </si>
  <si>
    <t>24115</t>
  </si>
  <si>
    <t>GLSN074274169</t>
  </si>
  <si>
    <t>20240620/VP-BJC-KH</t>
  </si>
  <si>
    <t>VN-KH 24/01/030570</t>
  </si>
  <si>
    <t>GLS07 V427N</t>
  </si>
  <si>
    <t>1.SEKU6302423-40HC, 2.SEKU5534580-40HC, 3.SEKU6301221-40HC</t>
  </si>
  <si>
    <t>149 ROLLS</t>
  </si>
  <si>
    <t>0224107260030965</t>
  </si>
  <si>
    <t>YZ202406061290-P-U-2</t>
  </si>
  <si>
    <t>RACHA BHUM V.180E</t>
  </si>
  <si>
    <t>29-06-2024</t>
  </si>
  <si>
    <t>24116</t>
  </si>
  <si>
    <t>2024-HS19</t>
  </si>
  <si>
    <t>SR-PP019/24</t>
  </si>
  <si>
    <t>NON</t>
  </si>
  <si>
    <t>BMC11</t>
  </si>
  <si>
    <r>
      <rPr>
        <sz val="11"/>
        <color rgb="FFFF0000"/>
        <rFont val="Calibri"/>
        <family val="2"/>
        <scheme val="minor"/>
      </rPr>
      <t>1.IAAU1981451-40HQ</t>
    </r>
    <r>
      <rPr>
        <sz val="11"/>
        <color theme="1"/>
        <rFont val="Calibri"/>
        <family val="2"/>
        <scheme val="minor"/>
      </rPr>
      <t xml:space="preserve">
</t>
    </r>
    <r>
      <rPr>
        <sz val="11"/>
        <color rgb="FFFF0000"/>
        <rFont val="Calibri"/>
        <family val="2"/>
        <scheme val="minor"/>
      </rPr>
      <t>2.IAAU1981770-40HQ</t>
    </r>
    <r>
      <rPr>
        <sz val="11"/>
        <color theme="1"/>
        <rFont val="Calibri"/>
        <family val="2"/>
        <scheme val="minor"/>
      </rPr>
      <t xml:space="preserve">
</t>
    </r>
    <r>
      <rPr>
        <sz val="11"/>
        <color rgb="FFFF0000"/>
        <rFont val="Calibri"/>
        <family val="2"/>
        <scheme val="minor"/>
      </rPr>
      <t>3.IAAU1982632-40HQ</t>
    </r>
    <r>
      <rPr>
        <sz val="11"/>
        <color theme="1"/>
        <rFont val="Calibri"/>
        <family val="2"/>
        <scheme val="minor"/>
      </rPr>
      <t xml:space="preserve">
</t>
    </r>
    <r>
      <rPr>
        <sz val="11"/>
        <color rgb="FFFF0000"/>
        <rFont val="Calibri"/>
        <family val="2"/>
        <scheme val="minor"/>
      </rPr>
      <t>4.IAAU1982756-40HQ</t>
    </r>
    <r>
      <rPr>
        <sz val="11"/>
        <color theme="1"/>
        <rFont val="Calibri"/>
        <family val="2"/>
        <scheme val="minor"/>
      </rPr>
      <t xml:space="preserve">
</t>
    </r>
    <r>
      <rPr>
        <sz val="11"/>
        <color rgb="FFFF0000"/>
        <rFont val="Calibri"/>
        <family val="2"/>
        <scheme val="minor"/>
      </rPr>
      <t>5.IAAU1982925-40HQ</t>
    </r>
    <r>
      <rPr>
        <sz val="11"/>
        <color theme="1"/>
        <rFont val="Calibri"/>
        <family val="2"/>
        <scheme val="minor"/>
      </rPr>
      <t xml:space="preserve">
</t>
    </r>
    <r>
      <rPr>
        <sz val="11"/>
        <color rgb="FFFF0000"/>
        <rFont val="Calibri"/>
        <family val="2"/>
        <scheme val="minor"/>
      </rPr>
      <t>6.IAAU1983109-40HQ
7.IAAU1983691-40HQ
8.IAAU1986999-40HQ</t>
    </r>
  </si>
  <si>
    <r>
      <rPr>
        <sz val="11"/>
        <color rgb="FFFF0000"/>
        <rFont val="Calibri"/>
        <family val="2"/>
        <scheme val="minor"/>
      </rPr>
      <t>1.IAAU1981493-40HQ</t>
    </r>
    <r>
      <rPr>
        <sz val="11"/>
        <color theme="1"/>
        <rFont val="Calibri"/>
        <family val="2"/>
        <scheme val="minor"/>
      </rPr>
      <t xml:space="preserve">
</t>
    </r>
    <r>
      <rPr>
        <sz val="11"/>
        <color rgb="FFFF0000"/>
        <rFont val="Calibri"/>
        <family val="2"/>
        <scheme val="minor"/>
      </rPr>
      <t>2.IAAU2791097-20GP</t>
    </r>
  </si>
  <si>
    <t>24117</t>
  </si>
  <si>
    <t>SHAWD073085</t>
  </si>
  <si>
    <t>20547517ETC</t>
  </si>
  <si>
    <t>E240781997180509</t>
  </si>
  <si>
    <t>NEW CAR LAND ROVER RANGE ROVER ATB, 2024
NEW CAR MERCEDES BENZ AMG G63, 2023</t>
  </si>
  <si>
    <t>NEW CAR MG 7, 2025
NEW CAR MG ZS, 2024</t>
  </si>
  <si>
    <t>24118</t>
  </si>
  <si>
    <t>ឈ្មោះ ONE CAR HOME / EV AUTO CLUB ដែលមានទីតាំង#   ផ្ទះលេខ 12AB ផ្លូវ 2004 ខណ្ឌសែនសុខ រាជធានីភ្នំពេញ ទូរស័ព្ទលេខ 0968975776 ។</t>
  </si>
  <si>
    <r>
      <t xml:space="preserve">ភេទស្រី ដែលមានលិខិតឆ្លងដែនលេខៈ C5097432 ជាប្រធានក្រុមហ៊ុន ONE CAR HOME CO., LTD អត្តសញ្ញាណកម្មសារពើពន្ធ (VAT)លេខៈ K010-902304374 ទូរសព្ទ័លេខៈ </t>
    </r>
    <r>
      <rPr>
        <sz val="9"/>
        <color rgb="FF00B050"/>
        <rFont val="Khmer OS Siemreap"/>
      </rPr>
      <t>096 8975776</t>
    </r>
  </si>
  <si>
    <t>ONE CAR HOME CO., LTD</t>
  </si>
  <si>
    <t>DANG THI HUYEN</t>
  </si>
  <si>
    <t>C5097432</t>
  </si>
  <si>
    <t>K010-902304374</t>
  </si>
  <si>
    <t>096 8975776</t>
  </si>
  <si>
    <t>#១៦ ផ្លូវ ២០០៤ ភូមិ តាងួន១ សង្កាត់ កាកាបទី១ ខណ្ឌ ពោធិសែនជ័យ រាជធានីភ្នំពេញ
VAT: K010-902304374</t>
  </si>
  <si>
    <t>025E656005</t>
  </si>
  <si>
    <t>YSH2024-7004</t>
  </si>
  <si>
    <t>1.WHSU2658574-20SD</t>
  </si>
  <si>
    <t>HAINAN YONGSHENGHE SUPPLY</t>
  </si>
  <si>
    <t>24119</t>
  </si>
  <si>
    <t>SITSKSVG521982</t>
  </si>
  <si>
    <t>2024FAW0016HQE003&amp;2023FAW0361HQE004</t>
  </si>
  <si>
    <t>NEW CAR HONGQI HQ9, 2023
NEW CAR HONGQI HS3, 2023
NEW CAR HONGQI HS3, 2024</t>
  </si>
  <si>
    <t>1.GAOU6826120-40HC
2.TCKU7163119-40HC
3.TRHU4741660-40HC
4.SITU9142132-40HC</t>
  </si>
  <si>
    <t>24120</t>
  </si>
  <si>
    <t>IN-030014-1</t>
  </si>
  <si>
    <t>NEW CAR GAC GN8, 2024</t>
  </si>
  <si>
    <t>DALIAN TIANJIU</t>
  </si>
  <si>
    <t>24121</t>
  </si>
  <si>
    <t>WUKN2414SHV094</t>
  </si>
  <si>
    <t>2024JL2306-1B</t>
  </si>
  <si>
    <t>TRUCK JMC T822 JX1054TG2, CHASSIS WITHOUT CARRIAGE (CARRYING PLUS), 2024</t>
  </si>
  <si>
    <t>24122</t>
  </si>
  <si>
    <t>SHAWD073165</t>
  </si>
  <si>
    <t>YZ202406171301-P-U</t>
  </si>
  <si>
    <t>ONE CAR HOME</t>
  </si>
  <si>
    <t>NEW ELECTRIC CAR MAXUS MIFA 9 PREMIUM, 2024</t>
  </si>
  <si>
    <t>1.MRKU6833522-20GP</t>
  </si>
  <si>
    <t>24123</t>
  </si>
  <si>
    <t>SHAWD073198</t>
  </si>
  <si>
    <t>0224107260032122</t>
  </si>
  <si>
    <t>24124</t>
  </si>
  <si>
    <t>SHAWD073199</t>
  </si>
  <si>
    <t>24125</t>
  </si>
  <si>
    <t>HQCYC240613</t>
  </si>
  <si>
    <t>NEW CAR CHERY ICAR 03, 2024</t>
  </si>
  <si>
    <t>1.MRKU4103042-40DRY</t>
  </si>
  <si>
    <t>24126</t>
  </si>
  <si>
    <t>SHAWD073157</t>
  </si>
  <si>
    <r>
      <rPr>
        <sz val="11"/>
        <color rgb="FFFF0000"/>
        <rFont val="Calibri"/>
        <family val="2"/>
        <scheme val="minor"/>
      </rPr>
      <t>1.CAAU7031105-40HQ</t>
    </r>
    <r>
      <rPr>
        <sz val="11"/>
        <color theme="1"/>
        <rFont val="Calibri"/>
        <family val="2"/>
        <scheme val="minor"/>
      </rPr>
      <t xml:space="preserve">
</t>
    </r>
    <r>
      <rPr>
        <sz val="11"/>
        <color rgb="FFFF0000"/>
        <rFont val="Calibri"/>
        <family val="2"/>
        <scheme val="minor"/>
      </rPr>
      <t>2.CAAU7036365-40HQ
3.CAAU7037356-40HQ</t>
    </r>
    <r>
      <rPr>
        <sz val="11"/>
        <color theme="1"/>
        <rFont val="Calibri"/>
        <family val="2"/>
        <scheme val="minor"/>
      </rPr>
      <t xml:space="preserve">
</t>
    </r>
    <r>
      <rPr>
        <sz val="11"/>
        <color rgb="FFFF0000"/>
        <rFont val="Calibri"/>
        <family val="2"/>
        <scheme val="minor"/>
      </rPr>
      <t>4.FFAU5496010-40HQ</t>
    </r>
    <r>
      <rPr>
        <sz val="11"/>
        <color theme="1"/>
        <rFont val="Calibri"/>
        <family val="2"/>
        <scheme val="minor"/>
      </rPr>
      <t xml:space="preserve">
</t>
    </r>
    <r>
      <rPr>
        <sz val="11"/>
        <color rgb="FFFF0000"/>
        <rFont val="Calibri"/>
        <family val="2"/>
        <scheme val="minor"/>
      </rPr>
      <t>5.GCXU6254978-40HQ</t>
    </r>
    <r>
      <rPr>
        <sz val="11"/>
        <color theme="1"/>
        <rFont val="Calibri"/>
        <family val="2"/>
        <scheme val="minor"/>
      </rPr>
      <t xml:space="preserve">
6.TIIU4889729-40HQ
</t>
    </r>
    <r>
      <rPr>
        <sz val="11"/>
        <color rgb="FFFF0000"/>
        <rFont val="Calibri"/>
        <family val="2"/>
        <scheme val="minor"/>
      </rPr>
      <t>7.TIIU4891201-40HQ</t>
    </r>
    <r>
      <rPr>
        <sz val="11"/>
        <color theme="1"/>
        <rFont val="Calibri"/>
        <family val="2"/>
        <scheme val="minor"/>
      </rPr>
      <t xml:space="preserve">
</t>
    </r>
    <r>
      <rPr>
        <sz val="11"/>
        <color rgb="FFFF0000"/>
        <rFont val="Calibri"/>
        <family val="2"/>
        <scheme val="minor"/>
      </rPr>
      <t>8.TIIU4893122-40HQ
9.TIIU5553847-40HQ</t>
    </r>
    <r>
      <rPr>
        <sz val="11"/>
        <color theme="1"/>
        <rFont val="Calibri"/>
        <family val="2"/>
        <scheme val="minor"/>
      </rPr>
      <t xml:space="preserve">
</t>
    </r>
    <r>
      <rPr>
        <sz val="11"/>
        <color rgb="FFFF0000"/>
        <rFont val="Calibri"/>
        <family val="2"/>
        <scheme val="minor"/>
      </rPr>
      <t>10.TIIU5555515-40HQ</t>
    </r>
    <r>
      <rPr>
        <sz val="11"/>
        <color theme="1"/>
        <rFont val="Calibri"/>
        <family val="2"/>
        <scheme val="minor"/>
      </rPr>
      <t xml:space="preserve">
</t>
    </r>
    <r>
      <rPr>
        <sz val="11"/>
        <color rgb="FFFF0000"/>
        <rFont val="Calibri"/>
        <family val="2"/>
        <scheme val="minor"/>
      </rPr>
      <t>11.TIIU5564950-40HQ</t>
    </r>
  </si>
  <si>
    <r>
      <rPr>
        <sz val="11"/>
        <color rgb="FFFF0000"/>
        <rFont val="Calibri"/>
        <family val="2"/>
        <scheme val="minor"/>
      </rPr>
      <t>1.DFSU6983543-40HQ</t>
    </r>
    <r>
      <rPr>
        <sz val="11"/>
        <color theme="1"/>
        <rFont val="Calibri"/>
        <family val="2"/>
        <scheme val="minor"/>
      </rPr>
      <t xml:space="preserve">
</t>
    </r>
    <r>
      <rPr>
        <sz val="11"/>
        <color rgb="FFFF0000"/>
        <rFont val="Calibri"/>
        <family val="2"/>
        <scheme val="minor"/>
      </rPr>
      <t>2.IAAU1688741-40HQ</t>
    </r>
    <r>
      <rPr>
        <sz val="11"/>
        <color theme="1"/>
        <rFont val="Calibri"/>
        <family val="2"/>
        <scheme val="minor"/>
      </rPr>
      <t xml:space="preserve">
</t>
    </r>
    <r>
      <rPr>
        <sz val="11"/>
        <color rgb="FFFF0000"/>
        <rFont val="Calibri"/>
        <family val="2"/>
        <scheme val="minor"/>
      </rPr>
      <t>3.IAAU1689054-40HQ</t>
    </r>
    <r>
      <rPr>
        <sz val="11"/>
        <color theme="1"/>
        <rFont val="Calibri"/>
        <family val="2"/>
        <scheme val="minor"/>
      </rPr>
      <t xml:space="preserve">
</t>
    </r>
    <r>
      <rPr>
        <sz val="11"/>
        <color rgb="FFFF0000"/>
        <rFont val="Calibri"/>
        <family val="2"/>
        <scheme val="minor"/>
      </rPr>
      <t>4.IAAU1804970-40HQ</t>
    </r>
    <r>
      <rPr>
        <sz val="11"/>
        <color theme="1"/>
        <rFont val="Calibri"/>
        <family val="2"/>
        <scheme val="minor"/>
      </rPr>
      <t xml:space="preserve">
</t>
    </r>
    <r>
      <rPr>
        <sz val="11"/>
        <color rgb="FFFF0000"/>
        <rFont val="Calibri"/>
        <family val="2"/>
        <scheme val="minor"/>
      </rPr>
      <t>5.IAAU1807368-40HQ</t>
    </r>
    <r>
      <rPr>
        <sz val="11"/>
        <color theme="1"/>
        <rFont val="Calibri"/>
        <family val="2"/>
        <scheme val="minor"/>
      </rPr>
      <t xml:space="preserve">
</t>
    </r>
    <r>
      <rPr>
        <sz val="11"/>
        <color rgb="FFFF0000"/>
        <rFont val="Calibri"/>
        <family val="2"/>
        <scheme val="minor"/>
      </rPr>
      <t>6.IAAU1850810-40HQ</t>
    </r>
    <r>
      <rPr>
        <sz val="11"/>
        <color theme="1"/>
        <rFont val="Calibri"/>
        <family val="2"/>
        <scheme val="minor"/>
      </rPr>
      <t xml:space="preserve">
</t>
    </r>
    <r>
      <rPr>
        <sz val="11"/>
        <color rgb="FFFF0000"/>
        <rFont val="Calibri"/>
        <family val="2"/>
        <scheme val="minor"/>
      </rPr>
      <t>7.IAAU1857775-40HQ</t>
    </r>
    <r>
      <rPr>
        <sz val="11"/>
        <color theme="1"/>
        <rFont val="Calibri"/>
        <family val="2"/>
        <scheme val="minor"/>
      </rPr>
      <t xml:space="preserve">
</t>
    </r>
    <r>
      <rPr>
        <sz val="11"/>
        <color rgb="FFFF0000"/>
        <rFont val="Calibri"/>
        <family val="2"/>
        <scheme val="minor"/>
      </rPr>
      <t>8.IAAU1919619-40HQ</t>
    </r>
    <r>
      <rPr>
        <sz val="11"/>
        <color theme="1"/>
        <rFont val="Calibri"/>
        <family val="2"/>
        <scheme val="minor"/>
      </rPr>
      <t xml:space="preserve">
</t>
    </r>
    <r>
      <rPr>
        <sz val="11"/>
        <color rgb="FFFF0000"/>
        <rFont val="Calibri"/>
        <family val="2"/>
        <scheme val="minor"/>
      </rPr>
      <t>9.IAAU1934059-40HQ
10.TCNU5800887-40HQ</t>
    </r>
  </si>
  <si>
    <r>
      <rPr>
        <sz val="11"/>
        <color rgb="FFFF0000"/>
        <rFont val="Calibri"/>
        <family val="2"/>
        <scheme val="minor"/>
      </rPr>
      <t>1.SUDU8550450-40DRY</t>
    </r>
    <r>
      <rPr>
        <sz val="11"/>
        <color theme="1"/>
        <rFont val="Calibri"/>
        <family val="2"/>
        <scheme val="minor"/>
      </rPr>
      <t xml:space="preserve">
</t>
    </r>
    <r>
      <rPr>
        <sz val="11"/>
        <color rgb="FFFF0000"/>
        <rFont val="Calibri"/>
        <family val="2"/>
        <scheme val="minor"/>
      </rPr>
      <t>2.MRSU5258144-40DRY</t>
    </r>
    <r>
      <rPr>
        <sz val="11"/>
        <color theme="1"/>
        <rFont val="Calibri"/>
        <family val="2"/>
        <scheme val="minor"/>
      </rPr>
      <t xml:space="preserve">
</t>
    </r>
    <r>
      <rPr>
        <sz val="11"/>
        <color rgb="FFFF0000"/>
        <rFont val="Calibri"/>
        <family val="2"/>
        <scheme val="minor"/>
      </rPr>
      <t>3.MRKU5790046-40DRY
4.MRKU2325098-40DRY</t>
    </r>
    <r>
      <rPr>
        <sz val="11"/>
        <color theme="1"/>
        <rFont val="Calibri"/>
        <family val="2"/>
        <scheme val="minor"/>
      </rPr>
      <t xml:space="preserve">
</t>
    </r>
    <r>
      <rPr>
        <sz val="11"/>
        <color rgb="FFFF0000"/>
        <rFont val="Calibri"/>
        <family val="2"/>
        <scheme val="minor"/>
      </rPr>
      <t>5.MRKU6421654-40DRY</t>
    </r>
  </si>
  <si>
    <r>
      <rPr>
        <sz val="11"/>
        <color rgb="FFFF0000"/>
        <rFont val="Calibri"/>
        <family val="2"/>
        <scheme val="minor"/>
      </rPr>
      <t>1.SEGU6687871-40HC</t>
    </r>
    <r>
      <rPr>
        <sz val="11"/>
        <color theme="1"/>
        <rFont val="Calibri"/>
        <family val="2"/>
        <scheme val="minor"/>
      </rPr>
      <t xml:space="preserve">
</t>
    </r>
    <r>
      <rPr>
        <sz val="11"/>
        <color rgb="FFFF0000"/>
        <rFont val="Calibri"/>
        <family val="2"/>
        <scheme val="minor"/>
      </rPr>
      <t>2.TRHU8787524-40HC</t>
    </r>
  </si>
  <si>
    <t>PHUOC LONG 16 V.213W</t>
  </si>
  <si>
    <t>INTERASIA ADVANCE V.S294</t>
  </si>
  <si>
    <t>E240781997180532</t>
  </si>
  <si>
    <t>E240781997180516</t>
  </si>
  <si>
    <t>E240781997180523</t>
  </si>
  <si>
    <t>24127</t>
  </si>
  <si>
    <t>105082SH217B</t>
  </si>
  <si>
    <t>DF24CV-423KH003</t>
  </si>
  <si>
    <t>24128</t>
  </si>
  <si>
    <t>105082SH217A218</t>
  </si>
  <si>
    <t>DF24CV-423KH002</t>
  </si>
  <si>
    <t>NEW DUMP TRUCK DONGFENG DFH3250A, 2024
NEW DUMP TRUCK DONGFENG DFH3310A12, 2024</t>
  </si>
  <si>
    <t>C7615365</t>
  </si>
  <si>
    <t>24129</t>
  </si>
  <si>
    <t>SITSKSVG525406</t>
  </si>
  <si>
    <t>2024FAW0069HQE001</t>
  </si>
  <si>
    <t>NEW CAR HONGQI MZS 2024</t>
  </si>
  <si>
    <t>1.BEAU6447668-40HC
2.BMOU6462754-40HC
3.BMOU6460258-40HC
4.SITU9121741-40HC
5.TCKU7368438-40HC</t>
  </si>
  <si>
    <t>PHUOC LONG 6 V.W291</t>
  </si>
  <si>
    <t>19-07-2024</t>
  </si>
  <si>
    <t>24130</t>
  </si>
  <si>
    <t>SHAWD073294</t>
  </si>
  <si>
    <t>NEW CAR MG RX5 2025</t>
  </si>
  <si>
    <t>24131</t>
  </si>
  <si>
    <t>SHAWD073384</t>
  </si>
  <si>
    <t>NEW CAR MG RX5 2024</t>
  </si>
  <si>
    <t>24132</t>
  </si>
  <si>
    <t>24133</t>
  </si>
  <si>
    <t>ONE PLUS</t>
  </si>
  <si>
    <t>L001-108001873</t>
  </si>
  <si>
    <t>#៤៨ ផ្លូវ ជាតិលេខ៤ ភូមិ ព្រៃព្រីងខាងជើង សង្កាត់ ចោមចៅ ខណ្ឌ ពោធិ៍សែនជ័យ រាជធានីភ្នំពេញ  
VAT: L001-108001873</t>
  </si>
  <si>
    <t>#៤៨ ផ្លូវ ជាតិលេខ៤ ភូមិ ព្រៃព្រីងខាងជើង សង្កាត់ ចោមចៅ ខណ្ឌ ពោធិ៍សែនជ័យ រាជធានីភ្នំពេញ  VAT: L001-108001873</t>
  </si>
  <si>
    <t>ភេទប្រុស ដែលមានលិខិតឆ្លងដែនលេខៈ C7615365 ជាប្រធានក្រុមហ៊ុន UNITED MERCURY GROUP CO.,LTD អត្តសញ្ញាណកម្មសារពើពន្ធ (VAT)លេខៈ L001-108001873 ទូរសព្ទ័លេខៈ 070 873235</t>
  </si>
  <si>
    <r>
      <rPr>
        <sz val="11"/>
        <color rgb="FFFF0000"/>
        <rFont val="Calibri"/>
        <family val="2"/>
        <scheme val="minor"/>
      </rPr>
      <t>1.IAAU1751422-40HQ</t>
    </r>
    <r>
      <rPr>
        <sz val="11"/>
        <color theme="1"/>
        <rFont val="Calibri"/>
        <family val="2"/>
        <scheme val="minor"/>
      </rPr>
      <t xml:space="preserve">
</t>
    </r>
    <r>
      <rPr>
        <sz val="11"/>
        <color rgb="FFFF0000"/>
        <rFont val="Calibri"/>
        <family val="2"/>
        <scheme val="minor"/>
      </rPr>
      <t>2.IAAU1794189-40HQ</t>
    </r>
    <r>
      <rPr>
        <sz val="11"/>
        <color theme="1"/>
        <rFont val="Calibri"/>
        <family val="2"/>
        <scheme val="minor"/>
      </rPr>
      <t xml:space="preserve">
</t>
    </r>
    <r>
      <rPr>
        <sz val="11"/>
        <color rgb="FFFF0000"/>
        <rFont val="Calibri"/>
        <family val="2"/>
        <scheme val="minor"/>
      </rPr>
      <t>3.IAAU1805869-40HQ</t>
    </r>
    <r>
      <rPr>
        <sz val="11"/>
        <color theme="1"/>
        <rFont val="Calibri"/>
        <family val="2"/>
        <scheme val="minor"/>
      </rPr>
      <t xml:space="preserve">
</t>
    </r>
    <r>
      <rPr>
        <sz val="11"/>
        <color rgb="FFFF0000"/>
        <rFont val="Calibri"/>
        <family val="2"/>
        <scheme val="minor"/>
      </rPr>
      <t>4.TLLU5937783-40HQ</t>
    </r>
  </si>
  <si>
    <t>SHAWD073393</t>
  </si>
  <si>
    <t>SHAWD073387</t>
  </si>
  <si>
    <t>20550904A</t>
  </si>
  <si>
    <t>1.IAAU1910397-40HQ (PART OF)</t>
  </si>
  <si>
    <t>1.IAAU1796875-40HQ</t>
  </si>
  <si>
    <t>CHE24HS010</t>
  </si>
  <si>
    <t>1.TCNU4328689-40HC</t>
  </si>
  <si>
    <t>24134</t>
  </si>
  <si>
    <t>EIC/2024/013/0580811A/00563503</t>
  </si>
  <si>
    <t>1.IAAU1702032-40HQ
2.IAAU1800996-40HQ
3.IAAU1862560-40HQ
4.IAAU1910397-40HQ
5.SEGU6681600-40HQ
6.TCKU6106958-40HQ
7.WHSU5221886-40HQ</t>
  </si>
  <si>
    <t xml:space="preserve"> E240781997180578</t>
  </si>
  <si>
    <t>E240781997180574</t>
  </si>
  <si>
    <t>E240781997180573</t>
  </si>
  <si>
    <t>E240781997180575</t>
  </si>
  <si>
    <t>PHUOC LONG 6 V.292W</t>
  </si>
  <si>
    <t>26-07-2024</t>
  </si>
  <si>
    <t>24135</t>
  </si>
  <si>
    <t>GLSN074324312</t>
  </si>
  <si>
    <t>20240723/VP-BJC-KH</t>
  </si>
  <si>
    <t>LONG SON 01 V434N</t>
  </si>
  <si>
    <t>158 ROLLS</t>
  </si>
  <si>
    <t>24136</t>
  </si>
  <si>
    <t>SHAWD073341</t>
  </si>
  <si>
    <t>NEW ELECTRIC CAR MG 4 LUX, 2025</t>
  </si>
  <si>
    <t>1.MRKU3122726-40HQ</t>
  </si>
  <si>
    <t>24137</t>
  </si>
  <si>
    <t>SHAWD073362</t>
  </si>
  <si>
    <t>NEW CAR MG GT, 2025</t>
  </si>
  <si>
    <t>24138</t>
  </si>
  <si>
    <t>SHAWD073455</t>
  </si>
  <si>
    <t>1.BSIU9849260-40HQ</t>
  </si>
  <si>
    <t>24139</t>
  </si>
  <si>
    <t>SHAWD073456</t>
  </si>
  <si>
    <t>1.MRSU3711903-40HQ</t>
  </si>
  <si>
    <t>SHAWD073457</t>
  </si>
  <si>
    <t>24140</t>
  </si>
  <si>
    <t>24141</t>
  </si>
  <si>
    <t>SHAWD073414</t>
  </si>
  <si>
    <r>
      <rPr>
        <sz val="11"/>
        <color rgb="FFFF0000"/>
        <rFont val="Calibri"/>
        <family val="2"/>
        <scheme val="minor"/>
      </rPr>
      <t>1.IAAU1864028-40HQ</t>
    </r>
    <r>
      <rPr>
        <sz val="11"/>
        <color theme="1"/>
        <rFont val="Calibri"/>
        <family val="2"/>
        <scheme val="minor"/>
      </rPr>
      <t xml:space="preserve">
</t>
    </r>
    <r>
      <rPr>
        <sz val="11"/>
        <color rgb="FFFF0000"/>
        <rFont val="Calibri"/>
        <family val="2"/>
        <scheme val="minor"/>
      </rPr>
      <t>2.IAAU1980985-40HQ</t>
    </r>
  </si>
  <si>
    <r>
      <rPr>
        <sz val="11"/>
        <color rgb="FFFF0000"/>
        <rFont val="Calibri"/>
        <family val="2"/>
        <scheme val="minor"/>
      </rPr>
      <t>1.IAAU1695397-40HQ</t>
    </r>
    <r>
      <rPr>
        <sz val="11"/>
        <color theme="1"/>
        <rFont val="Calibri"/>
        <family val="2"/>
        <scheme val="minor"/>
      </rPr>
      <t xml:space="preserve">
</t>
    </r>
    <r>
      <rPr>
        <sz val="11"/>
        <color rgb="FFFF0000"/>
        <rFont val="Calibri"/>
        <family val="2"/>
        <scheme val="minor"/>
      </rPr>
      <t>2.IAAU1793182-40HQ</t>
    </r>
    <r>
      <rPr>
        <sz val="11"/>
        <color theme="1"/>
        <rFont val="Calibri"/>
        <family val="2"/>
        <scheme val="minor"/>
      </rPr>
      <t xml:space="preserve">
</t>
    </r>
    <r>
      <rPr>
        <sz val="11"/>
        <color rgb="FFFF0000"/>
        <rFont val="Calibri"/>
        <family val="2"/>
        <scheme val="minor"/>
      </rPr>
      <t>3.IAAU1815743-40HQ</t>
    </r>
    <r>
      <rPr>
        <sz val="11"/>
        <color theme="1"/>
        <rFont val="Calibri"/>
        <family val="2"/>
        <scheme val="minor"/>
      </rPr>
      <t xml:space="preserve">
</t>
    </r>
    <r>
      <rPr>
        <sz val="11"/>
        <color rgb="FFFF0000"/>
        <rFont val="Calibri"/>
        <family val="2"/>
        <scheme val="minor"/>
      </rPr>
      <t>4.IAAU1857008-40HQ</t>
    </r>
  </si>
  <si>
    <r>
      <rPr>
        <sz val="11"/>
        <color rgb="FFFF0000"/>
        <rFont val="Calibri"/>
        <family val="2"/>
        <scheme val="minor"/>
      </rPr>
      <t>1.IAAU1687365-40HQ</t>
    </r>
    <r>
      <rPr>
        <sz val="11"/>
        <color theme="1"/>
        <rFont val="Calibri"/>
        <family val="2"/>
        <scheme val="minor"/>
      </rPr>
      <t xml:space="preserve">
</t>
    </r>
    <r>
      <rPr>
        <sz val="11"/>
        <color rgb="FFFF0000"/>
        <rFont val="Calibri"/>
        <family val="2"/>
        <scheme val="minor"/>
      </rPr>
      <t>2.IAAU1709680-40HQ</t>
    </r>
    <r>
      <rPr>
        <sz val="11"/>
        <color theme="1"/>
        <rFont val="Calibri"/>
        <family val="2"/>
        <scheme val="minor"/>
      </rPr>
      <t xml:space="preserve">
</t>
    </r>
    <r>
      <rPr>
        <sz val="11"/>
        <color rgb="FFFF0000"/>
        <rFont val="Calibri"/>
        <family val="2"/>
        <scheme val="minor"/>
      </rPr>
      <t>3.IAAU1722949-40HQ</t>
    </r>
    <r>
      <rPr>
        <sz val="11"/>
        <color theme="1"/>
        <rFont val="Calibri"/>
        <family val="2"/>
        <scheme val="minor"/>
      </rPr>
      <t xml:space="preserve">
</t>
    </r>
    <r>
      <rPr>
        <sz val="11"/>
        <color rgb="FFFF0000"/>
        <rFont val="Calibri"/>
        <family val="2"/>
        <scheme val="minor"/>
      </rPr>
      <t>4.IAAU1740921-40HQ</t>
    </r>
    <r>
      <rPr>
        <sz val="11"/>
        <color theme="1"/>
        <rFont val="Calibri"/>
        <family val="2"/>
        <scheme val="minor"/>
      </rPr>
      <t xml:space="preserve">
</t>
    </r>
    <r>
      <rPr>
        <sz val="11"/>
        <color rgb="FFFF0000"/>
        <rFont val="Calibri"/>
        <family val="2"/>
        <scheme val="minor"/>
      </rPr>
      <t>5.IAAU1744064-40HQ</t>
    </r>
    <r>
      <rPr>
        <sz val="11"/>
        <color theme="1"/>
        <rFont val="Calibri"/>
        <family val="2"/>
        <scheme val="minor"/>
      </rPr>
      <t xml:space="preserve">
</t>
    </r>
    <r>
      <rPr>
        <sz val="11"/>
        <color rgb="FFFF0000"/>
        <rFont val="Calibri"/>
        <family val="2"/>
        <scheme val="minor"/>
      </rPr>
      <t>6.IAAU1786054-40HQ</t>
    </r>
    <r>
      <rPr>
        <sz val="11"/>
        <color theme="1"/>
        <rFont val="Calibri"/>
        <family val="2"/>
        <scheme val="minor"/>
      </rPr>
      <t xml:space="preserve">
</t>
    </r>
    <r>
      <rPr>
        <sz val="11"/>
        <color rgb="FFFF0000"/>
        <rFont val="Calibri"/>
        <family val="2"/>
        <scheme val="minor"/>
      </rPr>
      <t>7.IAAU1789768-40HQ</t>
    </r>
    <r>
      <rPr>
        <sz val="11"/>
        <color theme="1"/>
        <rFont val="Calibri"/>
        <family val="2"/>
        <scheme val="minor"/>
      </rPr>
      <t xml:space="preserve">
</t>
    </r>
    <r>
      <rPr>
        <sz val="11"/>
        <color rgb="FFFF0000"/>
        <rFont val="Calibri"/>
        <family val="2"/>
        <scheme val="minor"/>
      </rPr>
      <t>8.IAAU1823498-40HQ
9.IAAU1913570-40HQ
10.IAAU1940410-40HQ</t>
    </r>
  </si>
  <si>
    <t>E240781997180601</t>
  </si>
  <si>
    <t>E240781997180602</t>
  </si>
  <si>
    <t>E240781997180596</t>
  </si>
  <si>
    <t>E240781997180603</t>
  </si>
  <si>
    <t>E240781997180589</t>
  </si>
  <si>
    <t>PHUOC LONG 8 V.216W</t>
  </si>
  <si>
    <t>GLS 16 V.431N</t>
  </si>
  <si>
    <t>XIN WEN ZHOU / 162E(CCX)</t>
  </si>
  <si>
    <t>ERASMUS LEO V.429S</t>
  </si>
  <si>
    <t>24142</t>
  </si>
  <si>
    <t>24143</t>
  </si>
  <si>
    <t>GLSN074334347</t>
  </si>
  <si>
    <t>20240731/VP-BJC-KH</t>
  </si>
  <si>
    <t>VN-KH 24/01/038660</t>
  </si>
  <si>
    <t>GLS CUU LONG V436N</t>
  </si>
  <si>
    <t>PHUC THAI 178S</t>
  </si>
  <si>
    <t>1.GAOU6125201-40HC, 2.SEKU5534954-40HC, 3.SEKU5534975-40HC, 4.SEKU5535375-40HC, 5.SEKU5579809-40HC, 6.SEKU5535420-40HC</t>
  </si>
  <si>
    <t>232 ROLLS</t>
  </si>
  <si>
    <t>24144</t>
  </si>
  <si>
    <t>24145</t>
  </si>
  <si>
    <t>24146</t>
  </si>
  <si>
    <t>SHAWD073542</t>
  </si>
  <si>
    <t>20553585</t>
  </si>
  <si>
    <t>E240781997180621</t>
  </si>
  <si>
    <t>1.WHSU5655769-40HC</t>
  </si>
  <si>
    <t xml:space="preserve">SHAWD073435 </t>
  </si>
  <si>
    <t>E240781997180622</t>
  </si>
  <si>
    <t xml:space="preserve">SHAWD073396 </t>
  </si>
  <si>
    <t>E240781997180623</t>
  </si>
  <si>
    <t>MAERSK VERACRUZ V.430S</t>
  </si>
  <si>
    <t>GLS 16 V.432N</t>
  </si>
  <si>
    <t>PHUOC LONG 10 V.275W</t>
  </si>
  <si>
    <t>WAN HAI 289 V.S044</t>
  </si>
  <si>
    <t>WAN HAI 278 V.S030</t>
  </si>
  <si>
    <t>24147</t>
  </si>
  <si>
    <r>
      <rPr>
        <sz val="11"/>
        <color rgb="FFFF0000"/>
        <rFont val="Calibri"/>
        <family val="2"/>
        <scheme val="minor"/>
      </rPr>
      <t>1.MIEU0019186-40HQ</t>
    </r>
    <r>
      <rPr>
        <sz val="11"/>
        <color theme="1"/>
        <rFont val="Calibri"/>
        <family val="2"/>
        <scheme val="minor"/>
      </rPr>
      <t xml:space="preserve">
</t>
    </r>
    <r>
      <rPr>
        <sz val="11"/>
        <color rgb="FFFF0000"/>
        <rFont val="Calibri"/>
        <family val="2"/>
        <scheme val="minor"/>
      </rPr>
      <t>2.MRKU2395032-40HQ</t>
    </r>
    <r>
      <rPr>
        <sz val="11"/>
        <color theme="1"/>
        <rFont val="Calibri"/>
        <family val="2"/>
        <scheme val="minor"/>
      </rPr>
      <t xml:space="preserve">
</t>
    </r>
    <r>
      <rPr>
        <sz val="11"/>
        <color rgb="FFFF0000"/>
        <rFont val="Calibri"/>
        <family val="2"/>
        <scheme val="minor"/>
      </rPr>
      <t>3.MRSU4761534-40HQ</t>
    </r>
    <r>
      <rPr>
        <sz val="11"/>
        <color theme="1"/>
        <rFont val="Calibri"/>
        <family val="2"/>
        <scheme val="minor"/>
      </rPr>
      <t xml:space="preserve">
</t>
    </r>
    <r>
      <rPr>
        <sz val="11"/>
        <color rgb="FFFF0000"/>
        <rFont val="Calibri"/>
        <family val="2"/>
        <scheme val="minor"/>
      </rPr>
      <t>4.SEKU4599082-40HQ</t>
    </r>
  </si>
  <si>
    <r>
      <rPr>
        <sz val="11"/>
        <color rgb="FFFF0000"/>
        <rFont val="Calibri"/>
        <family val="2"/>
        <scheme val="minor"/>
      </rPr>
      <t>1.HASU4322439-40HQ</t>
    </r>
    <r>
      <rPr>
        <sz val="11"/>
        <color theme="1"/>
        <rFont val="Calibri"/>
        <family val="2"/>
        <scheme val="minor"/>
      </rPr>
      <t xml:space="preserve">
</t>
    </r>
    <r>
      <rPr>
        <sz val="11"/>
        <color rgb="FFFF0000"/>
        <rFont val="Calibri"/>
        <family val="2"/>
        <scheme val="minor"/>
      </rPr>
      <t>2.MAGU5207145-40HQ</t>
    </r>
    <r>
      <rPr>
        <sz val="11"/>
        <color theme="1"/>
        <rFont val="Calibri"/>
        <family val="2"/>
        <scheme val="minor"/>
      </rPr>
      <t xml:space="preserve">
</t>
    </r>
    <r>
      <rPr>
        <sz val="11"/>
        <color rgb="FFFF0000"/>
        <rFont val="Calibri"/>
        <family val="2"/>
        <scheme val="minor"/>
      </rPr>
      <t>3.MRKU2256567-40HQ</t>
    </r>
    <r>
      <rPr>
        <sz val="11"/>
        <color theme="1"/>
        <rFont val="Calibri"/>
        <family val="2"/>
        <scheme val="minor"/>
      </rPr>
      <t xml:space="preserve">
</t>
    </r>
    <r>
      <rPr>
        <sz val="11"/>
        <color rgb="FFFF0000"/>
        <rFont val="Calibri"/>
        <family val="2"/>
        <scheme val="minor"/>
      </rPr>
      <t>4.MSKU0068705-40HQ</t>
    </r>
    <r>
      <rPr>
        <sz val="11"/>
        <color theme="1"/>
        <rFont val="Calibri"/>
        <family val="2"/>
        <scheme val="minor"/>
      </rPr>
      <t xml:space="preserve">
</t>
    </r>
    <r>
      <rPr>
        <sz val="11"/>
        <color rgb="FFFF0000"/>
        <rFont val="Calibri"/>
        <family val="2"/>
        <scheme val="minor"/>
      </rPr>
      <t>5.TCNU2866915-40HQ</t>
    </r>
    <r>
      <rPr>
        <sz val="11"/>
        <color theme="1"/>
        <rFont val="Calibri"/>
        <family val="2"/>
        <scheme val="minor"/>
      </rPr>
      <t xml:space="preserve">
</t>
    </r>
    <r>
      <rPr>
        <sz val="11"/>
        <color rgb="FFFF0000"/>
        <rFont val="Calibri"/>
        <family val="2"/>
        <scheme val="minor"/>
      </rPr>
      <t>6.TRHU8342400-40HQ</t>
    </r>
  </si>
  <si>
    <t>CHE24HS012</t>
  </si>
  <si>
    <t>55020606, 55020699</t>
  </si>
  <si>
    <t>EIC/2024/013/0656376A/00625409,
EIC/2024/013/0671307A/00619959</t>
  </si>
  <si>
    <t>56 BOXES</t>
  </si>
  <si>
    <t>22-07-2024,
26-07-2024</t>
  </si>
  <si>
    <t>05-08-2024,
02-08-2024</t>
  </si>
  <si>
    <t>24148</t>
  </si>
  <si>
    <t>SHAWD073492</t>
  </si>
  <si>
    <t>E240781997180652</t>
  </si>
  <si>
    <t>NEW CAR MG RX5, 2025</t>
  </si>
  <si>
    <t>24149</t>
  </si>
  <si>
    <t>SHAWD073565</t>
  </si>
  <si>
    <t>E240781997180654</t>
  </si>
  <si>
    <t>24150</t>
  </si>
  <si>
    <t>SHAWD073566</t>
  </si>
  <si>
    <t>24151</t>
  </si>
  <si>
    <t>SHAWD073568</t>
  </si>
  <si>
    <t>NEW CAR MG 7, 2025</t>
  </si>
  <si>
    <r>
      <rPr>
        <sz val="11"/>
        <color rgb="FFFF0000"/>
        <rFont val="Calibri"/>
        <family val="2"/>
        <scheme val="minor"/>
      </rPr>
      <t>1.MRKU2941642-40HQ</t>
    </r>
    <r>
      <rPr>
        <sz val="11"/>
        <color theme="1"/>
        <rFont val="Calibri"/>
        <family val="2"/>
        <scheme val="minor"/>
      </rPr>
      <t xml:space="preserve">
</t>
    </r>
    <r>
      <rPr>
        <sz val="11"/>
        <color rgb="FFFF0000"/>
        <rFont val="Calibri"/>
        <family val="2"/>
        <scheme val="minor"/>
      </rPr>
      <t>2.MRKU5744499-40HQ</t>
    </r>
    <r>
      <rPr>
        <sz val="11"/>
        <color theme="1"/>
        <rFont val="Calibri"/>
        <family val="2"/>
        <scheme val="minor"/>
      </rPr>
      <t xml:space="preserve">
</t>
    </r>
    <r>
      <rPr>
        <sz val="11"/>
        <color rgb="FFFF0000"/>
        <rFont val="Calibri"/>
        <family val="2"/>
        <scheme val="minor"/>
      </rPr>
      <t>3.MRSU3064279-40HQ</t>
    </r>
    <r>
      <rPr>
        <sz val="11"/>
        <color theme="1"/>
        <rFont val="Calibri"/>
        <family val="2"/>
        <scheme val="minor"/>
      </rPr>
      <t xml:space="preserve">
</t>
    </r>
    <r>
      <rPr>
        <sz val="11"/>
        <color rgb="FFFF0000"/>
        <rFont val="Calibri"/>
        <family val="2"/>
        <scheme val="minor"/>
      </rPr>
      <t>4.MRSU6415778-40HQ</t>
    </r>
    <r>
      <rPr>
        <sz val="11"/>
        <color theme="1"/>
        <rFont val="Calibri"/>
        <family val="2"/>
        <scheme val="minor"/>
      </rPr>
      <t xml:space="preserve">
</t>
    </r>
    <r>
      <rPr>
        <sz val="11"/>
        <color rgb="FFFF0000"/>
        <rFont val="Calibri"/>
        <family val="2"/>
        <scheme val="minor"/>
      </rPr>
      <t>5.SUDU6988833-40HQ</t>
    </r>
    <r>
      <rPr>
        <sz val="11"/>
        <color theme="1"/>
        <rFont val="Calibri"/>
        <family val="2"/>
        <scheme val="minor"/>
      </rPr>
      <t xml:space="preserve">
</t>
    </r>
    <r>
      <rPr>
        <sz val="11"/>
        <color rgb="FFFF0000"/>
        <rFont val="Calibri"/>
        <family val="2"/>
        <scheme val="minor"/>
      </rPr>
      <t>6.TCKU7130096-40HQ</t>
    </r>
    <r>
      <rPr>
        <sz val="11"/>
        <color theme="1"/>
        <rFont val="Calibri"/>
        <family val="2"/>
        <scheme val="minor"/>
      </rPr>
      <t xml:space="preserve">
</t>
    </r>
    <r>
      <rPr>
        <sz val="11"/>
        <color rgb="FFFF0000"/>
        <rFont val="Calibri"/>
        <family val="2"/>
        <scheme val="minor"/>
      </rPr>
      <t>7.TCNU5321360-40HQ</t>
    </r>
  </si>
  <si>
    <r>
      <rPr>
        <sz val="11"/>
        <color rgb="FFFF0000"/>
        <rFont val="Calibri"/>
        <family val="2"/>
        <scheme val="minor"/>
      </rPr>
      <t>1.IAAU1806973-40HC</t>
    </r>
    <r>
      <rPr>
        <sz val="11"/>
        <color theme="1"/>
        <rFont val="Calibri"/>
        <family val="2"/>
        <scheme val="minor"/>
      </rPr>
      <t xml:space="preserve">
</t>
    </r>
    <r>
      <rPr>
        <sz val="11"/>
        <color rgb="FFFF0000"/>
        <rFont val="Calibri"/>
        <family val="2"/>
        <scheme val="minor"/>
      </rPr>
      <t>2.IAAU1818742-40HC</t>
    </r>
    <r>
      <rPr>
        <sz val="11"/>
        <color theme="1"/>
        <rFont val="Calibri"/>
        <family val="2"/>
        <scheme val="minor"/>
      </rPr>
      <t xml:space="preserve">
</t>
    </r>
    <r>
      <rPr>
        <sz val="11"/>
        <color rgb="FFFF0000"/>
        <rFont val="Calibri"/>
        <family val="2"/>
        <scheme val="minor"/>
      </rPr>
      <t>3.IAAU1833686-40HC</t>
    </r>
    <r>
      <rPr>
        <sz val="11"/>
        <color theme="1"/>
        <rFont val="Calibri"/>
        <family val="2"/>
        <scheme val="minor"/>
      </rPr>
      <t xml:space="preserve">
</t>
    </r>
    <r>
      <rPr>
        <sz val="11"/>
        <color rgb="FFFF0000"/>
        <rFont val="Calibri"/>
        <family val="2"/>
        <scheme val="minor"/>
      </rPr>
      <t>4.IAAU1850019-40HC</t>
    </r>
    <r>
      <rPr>
        <sz val="11"/>
        <color theme="1"/>
        <rFont val="Calibri"/>
        <family val="2"/>
        <scheme val="minor"/>
      </rPr>
      <t xml:space="preserve">
</t>
    </r>
    <r>
      <rPr>
        <sz val="11"/>
        <color rgb="FFFF0000"/>
        <rFont val="Calibri"/>
        <family val="2"/>
        <scheme val="minor"/>
      </rPr>
      <t>5.IAAU1873272-40HC</t>
    </r>
  </si>
  <si>
    <r>
      <rPr>
        <sz val="11"/>
        <color rgb="FFFF0000"/>
        <rFont val="Calibri"/>
        <family val="2"/>
        <scheme val="minor"/>
      </rPr>
      <t>1.BHCU4997281-40HC</t>
    </r>
    <r>
      <rPr>
        <sz val="11"/>
        <color theme="1"/>
        <rFont val="Calibri"/>
        <family val="2"/>
        <scheme val="minor"/>
      </rPr>
      <t xml:space="preserve">
</t>
    </r>
    <r>
      <rPr>
        <sz val="11"/>
        <color rgb="FFFF0000"/>
        <rFont val="Calibri"/>
        <family val="2"/>
        <scheme val="minor"/>
      </rPr>
      <t>2.IAAU1723890-40HC</t>
    </r>
    <r>
      <rPr>
        <sz val="11"/>
        <color theme="1"/>
        <rFont val="Calibri"/>
        <family val="2"/>
        <scheme val="minor"/>
      </rPr>
      <t xml:space="preserve">
</t>
    </r>
    <r>
      <rPr>
        <sz val="11"/>
        <color rgb="FFFF0000"/>
        <rFont val="Calibri"/>
        <family val="2"/>
        <scheme val="minor"/>
      </rPr>
      <t>3.IAAU1744378-40HC</t>
    </r>
    <r>
      <rPr>
        <sz val="11"/>
        <color theme="1"/>
        <rFont val="Calibri"/>
        <family val="2"/>
        <scheme val="minor"/>
      </rPr>
      <t xml:space="preserve">
</t>
    </r>
    <r>
      <rPr>
        <sz val="11"/>
        <color rgb="FFFF0000"/>
        <rFont val="Calibri"/>
        <family val="2"/>
        <scheme val="minor"/>
      </rPr>
      <t>4.IAAU1799597-40HC</t>
    </r>
  </si>
  <si>
    <t>MEKONG 16 V.121W</t>
  </si>
  <si>
    <t>M.V RACHA BHUM 182E</t>
  </si>
  <si>
    <t>IND</t>
  </si>
  <si>
    <t>24152</t>
  </si>
  <si>
    <t>E240781997180655</t>
  </si>
  <si>
    <t>24153</t>
  </si>
  <si>
    <t>24154</t>
  </si>
  <si>
    <t>SHAWD073552</t>
  </si>
  <si>
    <t>E240781997180678</t>
  </si>
  <si>
    <t>NEW CAR MG ZS, 2025</t>
  </si>
  <si>
    <t>SHAWD073538</t>
  </si>
  <si>
    <t>E240781997180679</t>
  </si>
  <si>
    <t>COAU7252219520</t>
  </si>
  <si>
    <t>017/2024</t>
  </si>
  <si>
    <t>PLASTIC WRAPPER, Box Paper, Sticker, Kraft Paper</t>
  </si>
  <si>
    <t>1.OOCU0605409-20GP</t>
  </si>
  <si>
    <t>20554499ETC</t>
  </si>
  <si>
    <t>E240781997180663</t>
  </si>
  <si>
    <t>BJC CELLOX (CAMBODIA) CO., LTD</t>
  </si>
  <si>
    <r>
      <rPr>
        <sz val="11"/>
        <color rgb="FFFF0000"/>
        <rFont val="Calibri"/>
        <family val="2"/>
        <scheme val="minor"/>
      </rPr>
      <t>1.GAOU6127117-40HC,</t>
    </r>
    <r>
      <rPr>
        <sz val="11"/>
        <color theme="1"/>
        <rFont val="Calibri"/>
        <family val="2"/>
        <scheme val="minor"/>
      </rPr>
      <t xml:space="preserve"> </t>
    </r>
    <r>
      <rPr>
        <sz val="11"/>
        <color rgb="FFFF0000"/>
        <rFont val="Calibri"/>
        <family val="2"/>
        <scheme val="minor"/>
      </rPr>
      <t>2.GAOU6130390-40HC,</t>
    </r>
    <r>
      <rPr>
        <sz val="11"/>
        <color theme="1"/>
        <rFont val="Calibri"/>
        <family val="2"/>
        <scheme val="minor"/>
      </rPr>
      <t xml:space="preserve"> </t>
    </r>
    <r>
      <rPr>
        <sz val="11"/>
        <color rgb="FFFF0000"/>
        <rFont val="Calibri"/>
        <family val="2"/>
        <scheme val="minor"/>
      </rPr>
      <t>3.GAOU6132670-40HC,</t>
    </r>
    <r>
      <rPr>
        <sz val="11"/>
        <color theme="1"/>
        <rFont val="Calibri"/>
        <family val="2"/>
        <scheme val="minor"/>
      </rPr>
      <t xml:space="preserve"> </t>
    </r>
    <r>
      <rPr>
        <sz val="11"/>
        <color rgb="FFFF0000"/>
        <rFont val="Calibri"/>
        <family val="2"/>
        <scheme val="minor"/>
      </rPr>
      <t>4.SEKU5535396-40HC,</t>
    </r>
    <r>
      <rPr>
        <sz val="11"/>
        <color theme="1"/>
        <rFont val="Calibri"/>
        <family val="2"/>
        <scheme val="minor"/>
      </rPr>
      <t xml:space="preserve"> </t>
    </r>
    <r>
      <rPr>
        <sz val="11"/>
        <color rgb="FFFF0000"/>
        <rFont val="Calibri"/>
        <family val="2"/>
        <scheme val="minor"/>
      </rPr>
      <t>5.SEKU5582422-40HC</t>
    </r>
  </si>
  <si>
    <t>WAN HAI 178 V.S033</t>
  </si>
  <si>
    <t>PHUOC LONG 8 V.219W</t>
  </si>
  <si>
    <t>WAN HAI 296 V.S031</t>
  </si>
  <si>
    <t>24155</t>
  </si>
  <si>
    <t>GLSN074344421</t>
  </si>
  <si>
    <t>PHUC KHANH 337S</t>
  </si>
  <si>
    <t>LONG SON 02 V472N</t>
  </si>
  <si>
    <t>INTERASIA ADVANCE V.S296</t>
  </si>
  <si>
    <t>MEKONG 16 V.123W</t>
  </si>
  <si>
    <t>24156</t>
  </si>
  <si>
    <t>24157</t>
  </si>
  <si>
    <t>24158</t>
  </si>
  <si>
    <t>24159</t>
  </si>
  <si>
    <t>24160</t>
  </si>
  <si>
    <t>24161</t>
  </si>
  <si>
    <t>24162</t>
  </si>
  <si>
    <t>SHAWD073625</t>
  </si>
  <si>
    <t>WAN HAI 278 V.S031</t>
  </si>
  <si>
    <t>1.TCLU5670261-40HC</t>
  </si>
  <si>
    <t>1.TCLU5670261-40HC (PART OF)</t>
  </si>
  <si>
    <t>SHAWD073704</t>
  </si>
  <si>
    <t>NEW CAR MG HS, 2025</t>
  </si>
  <si>
    <t>SHAWD073703</t>
  </si>
  <si>
    <t>SHAWD073701</t>
  </si>
  <si>
    <t>SHAWD073720</t>
  </si>
  <si>
    <t>1.IAAU1687576-40HC</t>
  </si>
  <si>
    <t>SHAWD073700</t>
  </si>
  <si>
    <t>SHAWD073702</t>
  </si>
  <si>
    <t>COAU7252523110</t>
  </si>
  <si>
    <t>018/2024</t>
  </si>
  <si>
    <t>1.OOCU0668351-20GP</t>
  </si>
  <si>
    <t>7 PALLET</t>
  </si>
  <si>
    <t>20240816/VP-BJC-KH</t>
  </si>
  <si>
    <t>D2024-0237553</t>
  </si>
  <si>
    <t>ទីតាំងនៅផ្លូវជាតិលេខ ១ គីឡូម៉ែតលេខ ៤៦ ភូមិ សំរោងក្អែរ  ឃុំ សំរោងធំ ស្រុកកៀនស្វាយ ខេត្តកណ្តាល (VAT)លេខៈ L001-901639149 ទូរសព្ទ័លេខៈ 069 777 815</t>
  </si>
  <si>
    <t>MK 19 V.122W</t>
  </si>
  <si>
    <t>INTERASIA VISION V.S070</t>
  </si>
  <si>
    <r>
      <rPr>
        <sz val="11"/>
        <color rgb="FFFF0000"/>
        <rFont val="Calibri"/>
        <family val="2"/>
        <scheme val="minor"/>
      </rPr>
      <t>1.NYKU4927377</t>
    </r>
    <r>
      <rPr>
        <sz val="11"/>
        <color theme="1"/>
        <rFont val="Calibri"/>
        <family val="2"/>
        <scheme val="minor"/>
      </rPr>
      <t xml:space="preserve">
</t>
    </r>
    <r>
      <rPr>
        <sz val="11"/>
        <color rgb="FFFF0000"/>
        <rFont val="Calibri"/>
        <family val="2"/>
        <scheme val="minor"/>
      </rPr>
      <t>2.TRHU4783840</t>
    </r>
  </si>
  <si>
    <r>
      <rPr>
        <sz val="11"/>
        <color rgb="FFFF0000"/>
        <rFont val="Calibri"/>
        <family val="2"/>
        <scheme val="minor"/>
      </rPr>
      <t>1.BHCU5009200-40HQ</t>
    </r>
    <r>
      <rPr>
        <sz val="11"/>
        <color theme="1"/>
        <rFont val="Calibri"/>
        <family val="2"/>
        <scheme val="minor"/>
      </rPr>
      <t xml:space="preserve">
</t>
    </r>
    <r>
      <rPr>
        <sz val="11"/>
        <color rgb="FFFF0000"/>
        <rFont val="Calibri"/>
        <family val="2"/>
        <scheme val="minor"/>
      </rPr>
      <t>2.IAAU1731010-40HQ</t>
    </r>
    <r>
      <rPr>
        <sz val="11"/>
        <color theme="1"/>
        <rFont val="Calibri"/>
        <family val="2"/>
        <scheme val="minor"/>
      </rPr>
      <t xml:space="preserve">
</t>
    </r>
    <r>
      <rPr>
        <sz val="11"/>
        <color rgb="FFFF0000"/>
        <rFont val="Calibri"/>
        <family val="2"/>
        <scheme val="minor"/>
      </rPr>
      <t>3.IAAU1732741-40HQ</t>
    </r>
    <r>
      <rPr>
        <sz val="11"/>
        <color theme="1"/>
        <rFont val="Calibri"/>
        <family val="2"/>
        <scheme val="minor"/>
      </rPr>
      <t xml:space="preserve">
</t>
    </r>
    <r>
      <rPr>
        <sz val="11"/>
        <color rgb="FFFF0000"/>
        <rFont val="Calibri"/>
        <family val="2"/>
        <scheme val="minor"/>
      </rPr>
      <t>4.IAAU1736829-40HQ</t>
    </r>
    <r>
      <rPr>
        <sz val="11"/>
        <color theme="1"/>
        <rFont val="Calibri"/>
        <family val="2"/>
        <scheme val="minor"/>
      </rPr>
      <t xml:space="preserve">
</t>
    </r>
    <r>
      <rPr>
        <sz val="11"/>
        <color rgb="FFFF0000"/>
        <rFont val="Calibri"/>
        <family val="2"/>
        <scheme val="minor"/>
      </rPr>
      <t>5.IAAU1827847-40HQ</t>
    </r>
    <r>
      <rPr>
        <sz val="11"/>
        <color theme="1"/>
        <rFont val="Calibri"/>
        <family val="2"/>
        <scheme val="minor"/>
      </rPr>
      <t xml:space="preserve">
</t>
    </r>
    <r>
      <rPr>
        <sz val="11"/>
        <color rgb="FFFF0000"/>
        <rFont val="Calibri"/>
        <family val="2"/>
        <scheme val="minor"/>
      </rPr>
      <t>6.IAAU1906566-40HQ</t>
    </r>
    <r>
      <rPr>
        <sz val="11"/>
        <color theme="1"/>
        <rFont val="Calibri"/>
        <family val="2"/>
        <scheme val="minor"/>
      </rPr>
      <t xml:space="preserve">
</t>
    </r>
    <r>
      <rPr>
        <sz val="11"/>
        <color rgb="FFFF0000"/>
        <rFont val="Calibri"/>
        <family val="2"/>
        <scheme val="minor"/>
      </rPr>
      <t>7.IAAU1975839-40HQ</t>
    </r>
    <r>
      <rPr>
        <sz val="11"/>
        <color theme="1"/>
        <rFont val="Calibri"/>
        <family val="2"/>
        <scheme val="minor"/>
      </rPr>
      <t xml:space="preserve">
</t>
    </r>
    <r>
      <rPr>
        <sz val="11"/>
        <color rgb="FFFF0000"/>
        <rFont val="Calibri"/>
        <family val="2"/>
        <scheme val="minor"/>
      </rPr>
      <t>8.IAAU1986556-40HQ</t>
    </r>
    <r>
      <rPr>
        <sz val="11"/>
        <color theme="1"/>
        <rFont val="Calibri"/>
        <family val="2"/>
        <scheme val="minor"/>
      </rPr>
      <t xml:space="preserve">
</t>
    </r>
    <r>
      <rPr>
        <sz val="11"/>
        <color rgb="FFFF0000"/>
        <rFont val="Calibri"/>
        <family val="2"/>
        <scheme val="minor"/>
      </rPr>
      <t>9.TCKU6030180-40HQ</t>
    </r>
  </si>
  <si>
    <r>
      <rPr>
        <sz val="11"/>
        <color rgb="FFFF0000"/>
        <rFont val="Calibri"/>
        <family val="2"/>
        <scheme val="minor"/>
      </rPr>
      <t>1.IAAU1964074-40HQ</t>
    </r>
    <r>
      <rPr>
        <sz val="11"/>
        <color theme="1"/>
        <rFont val="Calibri"/>
        <family val="2"/>
        <scheme val="minor"/>
      </rPr>
      <t xml:space="preserve">
</t>
    </r>
    <r>
      <rPr>
        <sz val="11"/>
        <color rgb="FFFF0000"/>
        <rFont val="Calibri"/>
        <family val="2"/>
        <scheme val="minor"/>
      </rPr>
      <t>2.IAAU1964095-40HQ</t>
    </r>
  </si>
  <si>
    <r>
      <rPr>
        <sz val="11"/>
        <color rgb="FFFF0000"/>
        <rFont val="Calibri"/>
        <family val="2"/>
        <scheme val="minor"/>
      </rPr>
      <t>1.FBLU0228626-40HQ</t>
    </r>
    <r>
      <rPr>
        <sz val="11"/>
        <color theme="1"/>
        <rFont val="Calibri"/>
        <family val="2"/>
        <scheme val="minor"/>
      </rPr>
      <t xml:space="preserve">
</t>
    </r>
    <r>
      <rPr>
        <sz val="11"/>
        <color rgb="FFFF0000"/>
        <rFont val="Calibri"/>
        <family val="2"/>
        <scheme val="minor"/>
      </rPr>
      <t>2.IAAU1706064-40HQ</t>
    </r>
    <r>
      <rPr>
        <sz val="11"/>
        <color theme="1"/>
        <rFont val="Calibri"/>
        <family val="2"/>
        <scheme val="minor"/>
      </rPr>
      <t xml:space="preserve">
</t>
    </r>
    <r>
      <rPr>
        <sz val="11"/>
        <color rgb="FFFF0000"/>
        <rFont val="Calibri"/>
        <family val="2"/>
        <scheme val="minor"/>
      </rPr>
      <t>3.IAAU1835668-40HQ</t>
    </r>
    <r>
      <rPr>
        <sz val="11"/>
        <color theme="1"/>
        <rFont val="Calibri"/>
        <family val="2"/>
        <scheme val="minor"/>
      </rPr>
      <t xml:space="preserve">
</t>
    </r>
    <r>
      <rPr>
        <sz val="11"/>
        <color rgb="FFFF0000"/>
        <rFont val="Calibri"/>
        <family val="2"/>
        <scheme val="minor"/>
      </rPr>
      <t>4.IAAU1908980-40HQ</t>
    </r>
    <r>
      <rPr>
        <sz val="11"/>
        <color theme="1"/>
        <rFont val="Calibri"/>
        <family val="2"/>
        <scheme val="minor"/>
      </rPr>
      <t xml:space="preserve">
</t>
    </r>
    <r>
      <rPr>
        <sz val="11"/>
        <color rgb="FFFF0000"/>
        <rFont val="Calibri"/>
        <family val="2"/>
        <scheme val="minor"/>
      </rPr>
      <t>5.SEKU4111768-40HQ</t>
    </r>
  </si>
  <si>
    <r>
      <rPr>
        <sz val="11"/>
        <color rgb="FFFF0000"/>
        <rFont val="Calibri"/>
        <family val="2"/>
        <scheme val="minor"/>
      </rPr>
      <t>1.FCIU7312103-40HQ</t>
    </r>
    <r>
      <rPr>
        <sz val="11"/>
        <color theme="1"/>
        <rFont val="Calibri"/>
        <family val="2"/>
        <scheme val="minor"/>
      </rPr>
      <t xml:space="preserve">
</t>
    </r>
    <r>
      <rPr>
        <sz val="11"/>
        <color rgb="FFFF0000"/>
        <rFont val="Calibri"/>
        <family val="2"/>
        <scheme val="minor"/>
      </rPr>
      <t>2.IAAU1757143-40HQ</t>
    </r>
    <r>
      <rPr>
        <sz val="11"/>
        <color theme="1"/>
        <rFont val="Calibri"/>
        <family val="2"/>
        <scheme val="minor"/>
      </rPr>
      <t xml:space="preserve">
</t>
    </r>
    <r>
      <rPr>
        <sz val="11"/>
        <color rgb="FFFF0000"/>
        <rFont val="Calibri"/>
        <family val="2"/>
        <scheme val="minor"/>
      </rPr>
      <t>3.IAAU1846873-40HQ</t>
    </r>
    <r>
      <rPr>
        <sz val="11"/>
        <color theme="1"/>
        <rFont val="Calibri"/>
        <family val="2"/>
        <scheme val="minor"/>
      </rPr>
      <t xml:space="preserve">
</t>
    </r>
    <r>
      <rPr>
        <sz val="11"/>
        <color rgb="FFFF0000"/>
        <rFont val="Calibri"/>
        <family val="2"/>
        <scheme val="minor"/>
      </rPr>
      <t>4.IAAU2906365-20GP</t>
    </r>
  </si>
  <si>
    <r>
      <rPr>
        <sz val="11"/>
        <color rgb="FFFF0000"/>
        <rFont val="Calibri"/>
        <family val="2"/>
        <scheme val="minor"/>
      </rPr>
      <t>1.IAAU1817751-40HQ</t>
    </r>
    <r>
      <rPr>
        <sz val="11"/>
        <color theme="1"/>
        <rFont val="Calibri"/>
        <family val="2"/>
        <scheme val="minor"/>
      </rPr>
      <t xml:space="preserve">
</t>
    </r>
    <r>
      <rPr>
        <sz val="11"/>
        <color rgb="FFFF0000"/>
        <rFont val="Calibri"/>
        <family val="2"/>
        <scheme val="minor"/>
      </rPr>
      <t>2.IAAU1913020-40HQ</t>
    </r>
    <r>
      <rPr>
        <sz val="11"/>
        <color theme="1"/>
        <rFont val="Calibri"/>
        <family val="2"/>
        <scheme val="minor"/>
      </rPr>
      <t xml:space="preserve">
</t>
    </r>
    <r>
      <rPr>
        <sz val="11"/>
        <color rgb="FFFF0000"/>
        <rFont val="Calibri"/>
        <family val="2"/>
        <scheme val="minor"/>
      </rPr>
      <t>3.SEKU4120857-40HQ</t>
    </r>
  </si>
  <si>
    <t>E240781997180710</t>
  </si>
  <si>
    <t>E240781997180714</t>
  </si>
  <si>
    <t>E240781997180713</t>
  </si>
  <si>
    <t>E240781997180715</t>
  </si>
  <si>
    <t>20557887-01</t>
  </si>
  <si>
    <t>E240781997180716</t>
  </si>
  <si>
    <t>E240781997180711</t>
  </si>
  <si>
    <t>E240781997180737</t>
  </si>
  <si>
    <t>MK 19 V.123W</t>
  </si>
  <si>
    <t>24163</t>
  </si>
  <si>
    <t>24164</t>
  </si>
  <si>
    <t>SHAWD073695</t>
  </si>
  <si>
    <t>E240781997180739</t>
  </si>
  <si>
    <t>SHAWD073769</t>
  </si>
  <si>
    <t>E240781997180733</t>
  </si>
  <si>
    <t>24165</t>
  </si>
  <si>
    <t>GLSNCL4364454</t>
  </si>
  <si>
    <t>20240826/VP-BJC-KH</t>
  </si>
  <si>
    <t>VN-KH 24/01/043987</t>
  </si>
  <si>
    <t>PHUC KHANH 338S</t>
  </si>
  <si>
    <t>GLS16 V436N</t>
  </si>
  <si>
    <t>1.GAOU6132052-40HC, 2.GAOU6457680-40HC</t>
  </si>
  <si>
    <t>VN-KH 24/01/043981</t>
  </si>
  <si>
    <r>
      <rPr>
        <sz val="11"/>
        <color rgb="FFFF0000"/>
        <rFont val="Calibri"/>
        <family val="2"/>
        <scheme val="minor"/>
      </rPr>
      <t>1.CAIU8383274-40HQ</t>
    </r>
    <r>
      <rPr>
        <sz val="11"/>
        <color theme="1"/>
        <rFont val="Calibri"/>
        <family val="2"/>
        <scheme val="minor"/>
      </rPr>
      <t xml:space="preserve">
</t>
    </r>
    <r>
      <rPr>
        <sz val="11"/>
        <color rgb="FFFF0000"/>
        <rFont val="Calibri"/>
        <family val="2"/>
        <scheme val="minor"/>
      </rPr>
      <t>2.IAAU1777793-40HQ</t>
    </r>
    <r>
      <rPr>
        <sz val="11"/>
        <color theme="1"/>
        <rFont val="Calibri"/>
        <family val="2"/>
        <scheme val="minor"/>
      </rPr>
      <t xml:space="preserve">
</t>
    </r>
    <r>
      <rPr>
        <sz val="11"/>
        <color rgb="FFFF0000"/>
        <rFont val="Calibri"/>
        <family val="2"/>
        <scheme val="minor"/>
      </rPr>
      <t>3.IAAU1804121-40HQ</t>
    </r>
    <r>
      <rPr>
        <sz val="11"/>
        <color theme="1"/>
        <rFont val="Calibri"/>
        <family val="2"/>
        <scheme val="minor"/>
      </rPr>
      <t xml:space="preserve">
</t>
    </r>
    <r>
      <rPr>
        <sz val="11"/>
        <color rgb="FFFF0000"/>
        <rFont val="Calibri"/>
        <family val="2"/>
        <scheme val="minor"/>
      </rPr>
      <t>4.IAAU1901672-40HQ</t>
    </r>
    <r>
      <rPr>
        <sz val="11"/>
        <color theme="1"/>
        <rFont val="Calibri"/>
        <family val="2"/>
        <scheme val="minor"/>
      </rPr>
      <t xml:space="preserve">
</t>
    </r>
    <r>
      <rPr>
        <sz val="11"/>
        <color rgb="FFFF0000"/>
        <rFont val="Calibri"/>
        <family val="2"/>
        <scheme val="minor"/>
      </rPr>
      <t>5.IAAU1916570-40HQ</t>
    </r>
    <r>
      <rPr>
        <sz val="11"/>
        <color theme="1"/>
        <rFont val="Calibri"/>
        <family val="2"/>
        <scheme val="minor"/>
      </rPr>
      <t xml:space="preserve">
</t>
    </r>
    <r>
      <rPr>
        <sz val="11"/>
        <color rgb="FFFF0000"/>
        <rFont val="Calibri"/>
        <family val="2"/>
        <scheme val="minor"/>
      </rPr>
      <t>6.IAAU1952448-40HQ</t>
    </r>
    <r>
      <rPr>
        <sz val="11"/>
        <color theme="1"/>
        <rFont val="Calibri"/>
        <family val="2"/>
        <scheme val="minor"/>
      </rPr>
      <t xml:space="preserve">
</t>
    </r>
    <r>
      <rPr>
        <sz val="11"/>
        <color rgb="FFFF0000"/>
        <rFont val="Calibri"/>
        <family val="2"/>
        <scheme val="minor"/>
      </rPr>
      <t>7.SEKU4119162-40HQ
8.SEKU4124030-40HQ</t>
    </r>
  </si>
  <si>
    <t>24166</t>
  </si>
  <si>
    <t>CHE24HS016</t>
  </si>
  <si>
    <t>EIC/2024/013/0762928A/00708732</t>
  </si>
  <si>
    <t>1.KKFU8132980-40HC</t>
  </si>
  <si>
    <t>VN-KH 24/01/042342</t>
  </si>
  <si>
    <t>24167</t>
  </si>
  <si>
    <t>24168</t>
  </si>
  <si>
    <t>SHAWD073820</t>
  </si>
  <si>
    <t>E240781997180760</t>
  </si>
  <si>
    <r>
      <rPr>
        <sz val="11"/>
        <color rgb="FFFF0000"/>
        <rFont val="Calibri"/>
        <family val="2"/>
        <scheme val="minor"/>
      </rPr>
      <t>1.IAAU1726245-40HC</t>
    </r>
    <r>
      <rPr>
        <sz val="11"/>
        <color theme="1"/>
        <rFont val="Calibri"/>
        <family val="2"/>
        <scheme val="minor"/>
      </rPr>
      <t xml:space="preserve">
</t>
    </r>
    <r>
      <rPr>
        <sz val="11"/>
        <color rgb="FFFF0000"/>
        <rFont val="Calibri"/>
        <family val="2"/>
        <scheme val="minor"/>
      </rPr>
      <t>2.IAAU1771769-40HC</t>
    </r>
    <r>
      <rPr>
        <sz val="11"/>
        <color theme="1"/>
        <rFont val="Calibri"/>
        <family val="2"/>
        <scheme val="minor"/>
      </rPr>
      <t xml:space="preserve">
</t>
    </r>
    <r>
      <rPr>
        <sz val="11"/>
        <color rgb="FFFF0000"/>
        <rFont val="Calibri"/>
        <family val="2"/>
        <scheme val="minor"/>
      </rPr>
      <t>3.IAAU1829808-40HC</t>
    </r>
  </si>
  <si>
    <r>
      <rPr>
        <sz val="11"/>
        <color rgb="FFFF0000"/>
        <rFont val="Calibri"/>
        <family val="2"/>
        <scheme val="minor"/>
      </rPr>
      <t>1.IAAU1695910-40HC</t>
    </r>
    <r>
      <rPr>
        <sz val="11"/>
        <color theme="1"/>
        <rFont val="Calibri"/>
        <family val="2"/>
        <scheme val="minor"/>
      </rPr>
      <t xml:space="preserve">
</t>
    </r>
    <r>
      <rPr>
        <sz val="11"/>
        <color rgb="FFFF0000"/>
        <rFont val="Calibri"/>
        <family val="2"/>
        <scheme val="minor"/>
      </rPr>
      <t>2.IAAU1698694-40HC</t>
    </r>
    <r>
      <rPr>
        <sz val="11"/>
        <color theme="1"/>
        <rFont val="Calibri"/>
        <family val="2"/>
        <scheme val="minor"/>
      </rPr>
      <t xml:space="preserve">
</t>
    </r>
    <r>
      <rPr>
        <sz val="11"/>
        <color rgb="FFFF0000"/>
        <rFont val="Calibri"/>
        <family val="2"/>
        <scheme val="minor"/>
      </rPr>
      <t>3.IAAU1706320-40HC</t>
    </r>
    <r>
      <rPr>
        <sz val="11"/>
        <color theme="1"/>
        <rFont val="Calibri"/>
        <family val="2"/>
        <scheme val="minor"/>
      </rPr>
      <t xml:space="preserve">
</t>
    </r>
    <r>
      <rPr>
        <sz val="11"/>
        <color rgb="FFFF0000"/>
        <rFont val="Calibri"/>
        <family val="2"/>
        <scheme val="minor"/>
      </rPr>
      <t>4.IAAU1743598-40HC</t>
    </r>
    <r>
      <rPr>
        <sz val="11"/>
        <color theme="1"/>
        <rFont val="Calibri"/>
        <family val="2"/>
        <scheme val="minor"/>
      </rPr>
      <t xml:space="preserve">
</t>
    </r>
    <r>
      <rPr>
        <sz val="11"/>
        <color rgb="FFFF0000"/>
        <rFont val="Calibri"/>
        <family val="2"/>
        <scheme val="minor"/>
      </rPr>
      <t>5.IAAU1864521-40HC</t>
    </r>
  </si>
  <si>
    <r>
      <rPr>
        <sz val="11"/>
        <color rgb="FFFF0000"/>
        <rFont val="Calibri"/>
        <family val="2"/>
        <scheme val="minor"/>
      </rPr>
      <t>1.FSCU8115160-40HC</t>
    </r>
    <r>
      <rPr>
        <sz val="11"/>
        <color theme="1"/>
        <rFont val="Calibri"/>
        <family val="2"/>
        <scheme val="minor"/>
      </rPr>
      <t xml:space="preserve">
</t>
    </r>
    <r>
      <rPr>
        <sz val="11"/>
        <color rgb="FFFF0000"/>
        <rFont val="Calibri"/>
        <family val="2"/>
        <scheme val="minor"/>
      </rPr>
      <t>2.IAAU1853039-40HC</t>
    </r>
    <r>
      <rPr>
        <sz val="11"/>
        <color theme="1"/>
        <rFont val="Calibri"/>
        <family val="2"/>
        <scheme val="minor"/>
      </rPr>
      <t xml:space="preserve">
</t>
    </r>
    <r>
      <rPr>
        <sz val="11"/>
        <color rgb="FFFF0000"/>
        <rFont val="Calibri"/>
        <family val="2"/>
        <scheme val="minor"/>
      </rPr>
      <t>3.IAAU1877684-40HC</t>
    </r>
    <r>
      <rPr>
        <sz val="11"/>
        <color theme="1"/>
        <rFont val="Calibri"/>
        <family val="2"/>
        <scheme val="minor"/>
      </rPr>
      <t xml:space="preserve">
</t>
    </r>
    <r>
      <rPr>
        <sz val="11"/>
        <color rgb="FFFF0000"/>
        <rFont val="Calibri"/>
        <family val="2"/>
        <scheme val="minor"/>
      </rPr>
      <t>4.IAAU1917046-40HC</t>
    </r>
    <r>
      <rPr>
        <sz val="11"/>
        <color theme="1"/>
        <rFont val="Calibri"/>
        <family val="2"/>
        <scheme val="minor"/>
      </rPr>
      <t xml:space="preserve">
</t>
    </r>
    <r>
      <rPr>
        <sz val="11"/>
        <color rgb="FFFF0000"/>
        <rFont val="Calibri"/>
        <family val="2"/>
        <scheme val="minor"/>
      </rPr>
      <t>5.IAAU1945731-40HC</t>
    </r>
    <r>
      <rPr>
        <sz val="11"/>
        <color theme="1"/>
        <rFont val="Calibri"/>
        <family val="2"/>
        <scheme val="minor"/>
      </rPr>
      <t xml:space="preserve">
</t>
    </r>
    <r>
      <rPr>
        <sz val="11"/>
        <color rgb="FFFF0000"/>
        <rFont val="Calibri"/>
        <family val="2"/>
        <scheme val="minor"/>
      </rPr>
      <t>6.IAAU1957943-40HC</t>
    </r>
    <r>
      <rPr>
        <sz val="11"/>
        <color theme="1"/>
        <rFont val="Calibri"/>
        <family val="2"/>
        <scheme val="minor"/>
      </rPr>
      <t xml:space="preserve">
</t>
    </r>
    <r>
      <rPr>
        <sz val="11"/>
        <color rgb="FFFF0000"/>
        <rFont val="Calibri"/>
        <family val="2"/>
        <scheme val="minor"/>
      </rPr>
      <t>7.IAAU1964979-40HC</t>
    </r>
  </si>
  <si>
    <r>
      <rPr>
        <sz val="11"/>
        <color rgb="FFFF0000"/>
        <rFont val="Calibri"/>
        <family val="2"/>
        <scheme val="minor"/>
      </rPr>
      <t>1.BHCU4999068-40HC</t>
    </r>
    <r>
      <rPr>
        <sz val="11"/>
        <color theme="1"/>
        <rFont val="Calibri"/>
        <family val="2"/>
        <scheme val="minor"/>
      </rPr>
      <t xml:space="preserve">
</t>
    </r>
    <r>
      <rPr>
        <sz val="11"/>
        <color rgb="FFFF0000"/>
        <rFont val="Calibri"/>
        <family val="2"/>
        <scheme val="minor"/>
      </rPr>
      <t>2.CAIU4971881-40HC
3.IAAU1778742-40HC</t>
    </r>
    <r>
      <rPr>
        <sz val="11"/>
        <color theme="1"/>
        <rFont val="Calibri"/>
        <family val="2"/>
        <scheme val="minor"/>
      </rPr>
      <t xml:space="preserve">
</t>
    </r>
    <r>
      <rPr>
        <sz val="11"/>
        <color rgb="FFFF0000"/>
        <rFont val="Calibri"/>
        <family val="2"/>
        <scheme val="minor"/>
      </rPr>
      <t>4.IAAU1795170-40HC</t>
    </r>
    <r>
      <rPr>
        <sz val="11"/>
        <color theme="1"/>
        <rFont val="Calibri"/>
        <family val="2"/>
        <scheme val="minor"/>
      </rPr>
      <t xml:space="preserve">
</t>
    </r>
    <r>
      <rPr>
        <sz val="11"/>
        <color rgb="FFFF0000"/>
        <rFont val="Calibri"/>
        <family val="2"/>
        <scheme val="minor"/>
      </rPr>
      <t>5.IAAU1826054-40HC</t>
    </r>
    <r>
      <rPr>
        <sz val="11"/>
        <color theme="1"/>
        <rFont val="Calibri"/>
        <family val="2"/>
        <scheme val="minor"/>
      </rPr>
      <t xml:space="preserve">
</t>
    </r>
    <r>
      <rPr>
        <sz val="11"/>
        <color rgb="FFFF0000"/>
        <rFont val="Calibri"/>
        <family val="2"/>
        <scheme val="minor"/>
      </rPr>
      <t>6.IAAU1836216-40HC</t>
    </r>
    <r>
      <rPr>
        <sz val="11"/>
        <color theme="1"/>
        <rFont val="Calibri"/>
        <family val="2"/>
        <scheme val="minor"/>
      </rPr>
      <t xml:space="preserve">
</t>
    </r>
    <r>
      <rPr>
        <sz val="11"/>
        <color rgb="FFFF0000"/>
        <rFont val="Calibri"/>
        <family val="2"/>
        <scheme val="minor"/>
      </rPr>
      <t>7.IAAU1843391-40HC</t>
    </r>
    <r>
      <rPr>
        <sz val="11"/>
        <color theme="1"/>
        <rFont val="Calibri"/>
        <family val="2"/>
        <scheme val="minor"/>
      </rPr>
      <t xml:space="preserve">
</t>
    </r>
    <r>
      <rPr>
        <sz val="11"/>
        <color rgb="FFFF0000"/>
        <rFont val="Calibri"/>
        <family val="2"/>
        <scheme val="minor"/>
      </rPr>
      <t>8.IAAU1911346-40HC
9.IAAU1937382-40HC
10.IAAU1944458-40HC</t>
    </r>
    <r>
      <rPr>
        <sz val="11"/>
        <color theme="1"/>
        <rFont val="Calibri"/>
        <family val="2"/>
        <scheme val="minor"/>
      </rPr>
      <t xml:space="preserve">
</t>
    </r>
    <r>
      <rPr>
        <sz val="11"/>
        <color rgb="FFFF0000"/>
        <rFont val="Calibri"/>
        <family val="2"/>
        <scheme val="minor"/>
      </rPr>
      <t>11.IAAU1947502-40HC</t>
    </r>
    <r>
      <rPr>
        <sz val="11"/>
        <color theme="1"/>
        <rFont val="Calibri"/>
        <family val="2"/>
        <scheme val="minor"/>
      </rPr>
      <t xml:space="preserve">
</t>
    </r>
    <r>
      <rPr>
        <sz val="11"/>
        <color rgb="FFFF0000"/>
        <rFont val="Calibri"/>
        <family val="2"/>
        <scheme val="minor"/>
      </rPr>
      <t>12.WHSU6063640-40HC</t>
    </r>
  </si>
  <si>
    <t>WAN HAI 296 V.S032</t>
  </si>
  <si>
    <t>NEWPORT CYPRESS 99 V.239W</t>
  </si>
  <si>
    <t>24169</t>
  </si>
  <si>
    <t>YSH2024-7025</t>
  </si>
  <si>
    <t>LCKOS24391</t>
  </si>
  <si>
    <t>020/2024</t>
  </si>
  <si>
    <t>PLASTIC WRAPPER, KRAFT PAPER, SPARE PART</t>
  </si>
  <si>
    <t>1.COTU1062614-20GP</t>
  </si>
  <si>
    <r>
      <rPr>
        <sz val="11"/>
        <color rgb="FFFF0000"/>
        <rFont val="Calibri"/>
        <family val="2"/>
        <scheme val="minor"/>
      </rPr>
      <t>1.IAAU1803233-40HQ</t>
    </r>
    <r>
      <rPr>
        <sz val="11"/>
        <color theme="1"/>
        <rFont val="Calibri"/>
        <family val="2"/>
        <scheme val="minor"/>
      </rPr>
      <t xml:space="preserve">
</t>
    </r>
    <r>
      <rPr>
        <sz val="11"/>
        <color rgb="FFFF0000"/>
        <rFont val="Calibri"/>
        <family val="2"/>
        <scheme val="minor"/>
      </rPr>
      <t>2.IAAU1833109-40HQ</t>
    </r>
    <r>
      <rPr>
        <sz val="11"/>
        <color theme="1"/>
        <rFont val="Calibri"/>
        <family val="2"/>
        <scheme val="minor"/>
      </rPr>
      <t xml:space="preserve">
</t>
    </r>
    <r>
      <rPr>
        <sz val="11"/>
        <color rgb="FFFF0000"/>
        <rFont val="Calibri"/>
        <family val="2"/>
        <scheme val="minor"/>
      </rPr>
      <t>3.IAAU1849471-40HQ
4.IAAU1896004-40HQ</t>
    </r>
    <r>
      <rPr>
        <sz val="11"/>
        <color theme="1"/>
        <rFont val="Calibri"/>
        <family val="2"/>
        <scheme val="minor"/>
      </rPr>
      <t xml:space="preserve">
</t>
    </r>
    <r>
      <rPr>
        <sz val="11"/>
        <color rgb="FFFF0000"/>
        <rFont val="Calibri"/>
        <family val="2"/>
        <scheme val="minor"/>
      </rPr>
      <t>5.IAAU1912677-40HQ</t>
    </r>
    <r>
      <rPr>
        <sz val="11"/>
        <color theme="1"/>
        <rFont val="Calibri"/>
        <family val="2"/>
        <scheme val="minor"/>
      </rPr>
      <t xml:space="preserve">
</t>
    </r>
    <r>
      <rPr>
        <sz val="11"/>
        <color rgb="FFFF0000"/>
        <rFont val="Calibri"/>
        <family val="2"/>
        <scheme val="minor"/>
      </rPr>
      <t>6.IAAU1918171-40HQ</t>
    </r>
    <r>
      <rPr>
        <sz val="11"/>
        <color theme="1"/>
        <rFont val="Calibri"/>
        <family val="2"/>
        <scheme val="minor"/>
      </rPr>
      <t xml:space="preserve">
</t>
    </r>
    <r>
      <rPr>
        <sz val="11"/>
        <color rgb="FFFF0000"/>
        <rFont val="Calibri"/>
        <family val="2"/>
        <scheme val="minor"/>
      </rPr>
      <t>7.IAAU1964984-40HQ</t>
    </r>
    <r>
      <rPr>
        <sz val="11"/>
        <color theme="1"/>
        <rFont val="Calibri"/>
        <family val="2"/>
        <scheme val="minor"/>
      </rPr>
      <t xml:space="preserve">
</t>
    </r>
    <r>
      <rPr>
        <sz val="11"/>
        <color rgb="FFFF0000"/>
        <rFont val="Calibri"/>
        <family val="2"/>
        <scheme val="minor"/>
      </rPr>
      <t>8.TCNU6331212-40HQ</t>
    </r>
  </si>
  <si>
    <r>
      <rPr>
        <sz val="11"/>
        <color rgb="FFFF0000"/>
        <rFont val="Calibri"/>
        <family val="2"/>
        <scheme val="minor"/>
      </rPr>
      <t>1.IAAU1003436-40HQ</t>
    </r>
    <r>
      <rPr>
        <sz val="11"/>
        <color theme="1"/>
        <rFont val="Calibri"/>
        <family val="2"/>
        <scheme val="minor"/>
      </rPr>
      <t xml:space="preserve">
</t>
    </r>
    <r>
      <rPr>
        <sz val="11"/>
        <color rgb="FFFF0000"/>
        <rFont val="Calibri"/>
        <family val="2"/>
        <scheme val="minor"/>
      </rPr>
      <t>2.IAAU1709762-40HQ</t>
    </r>
    <r>
      <rPr>
        <sz val="11"/>
        <color theme="1"/>
        <rFont val="Calibri"/>
        <family val="2"/>
        <scheme val="minor"/>
      </rPr>
      <t xml:space="preserve">
</t>
    </r>
    <r>
      <rPr>
        <sz val="11"/>
        <color rgb="FFFF0000"/>
        <rFont val="Calibri"/>
        <family val="2"/>
        <scheme val="minor"/>
      </rPr>
      <t>3.IAAU1723441-40HQ</t>
    </r>
    <r>
      <rPr>
        <sz val="11"/>
        <color theme="1"/>
        <rFont val="Calibri"/>
        <family val="2"/>
        <scheme val="minor"/>
      </rPr>
      <t xml:space="preserve">
</t>
    </r>
    <r>
      <rPr>
        <sz val="11"/>
        <color rgb="FFFF0000"/>
        <rFont val="Calibri"/>
        <family val="2"/>
        <scheme val="minor"/>
      </rPr>
      <t>4.IAAU1729440-40HQ</t>
    </r>
    <r>
      <rPr>
        <sz val="11"/>
        <color theme="1"/>
        <rFont val="Calibri"/>
        <family val="2"/>
        <scheme val="minor"/>
      </rPr>
      <t xml:space="preserve">
</t>
    </r>
    <r>
      <rPr>
        <sz val="11"/>
        <color rgb="FFFF0000"/>
        <rFont val="Calibri"/>
        <family val="2"/>
        <scheme val="minor"/>
      </rPr>
      <t>5.IAAU1786120-40HQ</t>
    </r>
    <r>
      <rPr>
        <sz val="11"/>
        <color theme="1"/>
        <rFont val="Calibri"/>
        <family val="2"/>
        <scheme val="minor"/>
      </rPr>
      <t xml:space="preserve">
</t>
    </r>
    <r>
      <rPr>
        <sz val="11"/>
        <color rgb="FFFF0000"/>
        <rFont val="Calibri"/>
        <family val="2"/>
        <scheme val="minor"/>
      </rPr>
      <t>6.IAAU1836556-40HQ</t>
    </r>
    <r>
      <rPr>
        <sz val="11"/>
        <color theme="1"/>
        <rFont val="Calibri"/>
        <family val="2"/>
        <scheme val="minor"/>
      </rPr>
      <t xml:space="preserve">
</t>
    </r>
    <r>
      <rPr>
        <sz val="11"/>
        <color rgb="FFFF0000"/>
        <rFont val="Calibri"/>
        <family val="2"/>
        <scheme val="minor"/>
      </rPr>
      <t>7.IAAU1837450-40HQ</t>
    </r>
    <r>
      <rPr>
        <sz val="11"/>
        <color theme="1"/>
        <rFont val="Calibri"/>
        <family val="2"/>
        <scheme val="minor"/>
      </rPr>
      <t xml:space="preserve">
</t>
    </r>
    <r>
      <rPr>
        <sz val="11"/>
        <color rgb="FFFF0000"/>
        <rFont val="Calibri"/>
        <family val="2"/>
        <scheme val="minor"/>
      </rPr>
      <t>8.SEKU4123250-40HQ</t>
    </r>
  </si>
  <si>
    <t>PHUOC LONG 6 V.302W</t>
  </si>
  <si>
    <t>23-09-2024</t>
  </si>
  <si>
    <t>24170</t>
  </si>
  <si>
    <t>SHAWD073836</t>
  </si>
  <si>
    <t>E240781997180798</t>
  </si>
  <si>
    <t>24171</t>
  </si>
  <si>
    <t>SHAWD073900</t>
  </si>
  <si>
    <t>E240781997180791</t>
  </si>
  <si>
    <t>24172</t>
  </si>
  <si>
    <t>SHAWD073814</t>
  </si>
  <si>
    <t>E240781997180792</t>
  </si>
  <si>
    <r>
      <rPr>
        <sz val="11"/>
        <color rgb="FFFF0000"/>
        <rFont val="Calibri"/>
        <family val="2"/>
        <scheme val="minor"/>
      </rPr>
      <t>1.SEKU5579727-40HC,</t>
    </r>
    <r>
      <rPr>
        <sz val="11"/>
        <color theme="1"/>
        <rFont val="Calibri"/>
        <family val="2"/>
        <scheme val="minor"/>
      </rPr>
      <t xml:space="preserve"> </t>
    </r>
    <r>
      <rPr>
        <sz val="11"/>
        <color rgb="FFFF0000"/>
        <rFont val="Calibri"/>
        <family val="2"/>
        <scheme val="minor"/>
      </rPr>
      <t>2.SEKU5535020-40HC</t>
    </r>
  </si>
  <si>
    <t>WAN HAI 508 / E206</t>
  </si>
  <si>
    <t>INTERASIA VISION V.S071</t>
  </si>
  <si>
    <t>NEWPORT CYPRESS 99 V.241W</t>
  </si>
  <si>
    <t>24173</t>
  </si>
  <si>
    <r>
      <rPr>
        <sz val="11"/>
        <color rgb="FFFF0000"/>
        <rFont val="Calibri"/>
        <family val="2"/>
        <scheme val="minor"/>
      </rPr>
      <t>1.IAAU1706110-40HQ</t>
    </r>
    <r>
      <rPr>
        <sz val="11"/>
        <color theme="1"/>
        <rFont val="Calibri"/>
        <family val="2"/>
        <scheme val="minor"/>
      </rPr>
      <t xml:space="preserve">
</t>
    </r>
    <r>
      <rPr>
        <sz val="11"/>
        <color rgb="FFFF0000"/>
        <rFont val="Calibri"/>
        <family val="2"/>
        <scheme val="minor"/>
      </rPr>
      <t>2.IAAU1713401-40HQ</t>
    </r>
    <r>
      <rPr>
        <sz val="11"/>
        <color theme="1"/>
        <rFont val="Calibri"/>
        <family val="2"/>
        <scheme val="minor"/>
      </rPr>
      <t xml:space="preserve">
</t>
    </r>
    <r>
      <rPr>
        <sz val="11"/>
        <color rgb="FFFF0000"/>
        <rFont val="Calibri"/>
        <family val="2"/>
        <scheme val="minor"/>
      </rPr>
      <t>3.IAAU1850683-40HQ</t>
    </r>
    <r>
      <rPr>
        <sz val="11"/>
        <color theme="1"/>
        <rFont val="Calibri"/>
        <family val="2"/>
        <scheme val="minor"/>
      </rPr>
      <t xml:space="preserve">
</t>
    </r>
    <r>
      <rPr>
        <sz val="11"/>
        <color rgb="FFFF0000"/>
        <rFont val="Calibri"/>
        <family val="2"/>
        <scheme val="minor"/>
      </rPr>
      <t>4.IAAU1851099-40HQ</t>
    </r>
    <r>
      <rPr>
        <sz val="11"/>
        <color theme="1"/>
        <rFont val="Calibri"/>
        <family val="2"/>
        <scheme val="minor"/>
      </rPr>
      <t xml:space="preserve">
</t>
    </r>
    <r>
      <rPr>
        <sz val="11"/>
        <color rgb="FFFF0000"/>
        <rFont val="Calibri"/>
        <family val="2"/>
        <scheme val="minor"/>
      </rPr>
      <t>5.IAAU1867705-40HQ</t>
    </r>
    <r>
      <rPr>
        <sz val="11"/>
        <color theme="1"/>
        <rFont val="Calibri"/>
        <family val="2"/>
        <scheme val="minor"/>
      </rPr>
      <t xml:space="preserve">
</t>
    </r>
    <r>
      <rPr>
        <sz val="11"/>
        <color rgb="FFFF0000"/>
        <rFont val="Calibri"/>
        <family val="2"/>
        <scheme val="minor"/>
      </rPr>
      <t>6.IAAU1937166-40HQ</t>
    </r>
    <r>
      <rPr>
        <sz val="11"/>
        <color theme="1"/>
        <rFont val="Calibri"/>
        <family val="2"/>
        <scheme val="minor"/>
      </rPr>
      <t xml:space="preserve">
</t>
    </r>
    <r>
      <rPr>
        <sz val="11"/>
        <color rgb="FFFF0000"/>
        <rFont val="Calibri"/>
        <family val="2"/>
        <scheme val="minor"/>
      </rPr>
      <t>7.IAAU1946785-40HQ</t>
    </r>
    <r>
      <rPr>
        <sz val="11"/>
        <color theme="1"/>
        <rFont val="Calibri"/>
        <family val="2"/>
        <scheme val="minor"/>
      </rPr>
      <t xml:space="preserve">
</t>
    </r>
    <r>
      <rPr>
        <sz val="11"/>
        <color rgb="FFFF0000"/>
        <rFont val="Calibri"/>
        <family val="2"/>
        <scheme val="minor"/>
      </rPr>
      <t>8.SEKU4117004-40HQ</t>
    </r>
    <r>
      <rPr>
        <sz val="11"/>
        <color theme="1"/>
        <rFont val="Calibri"/>
        <family val="2"/>
        <scheme val="minor"/>
      </rPr>
      <t xml:space="preserve">
</t>
    </r>
    <r>
      <rPr>
        <sz val="11"/>
        <color rgb="FFFF0000"/>
        <rFont val="Calibri"/>
        <family val="2"/>
        <scheme val="minor"/>
      </rPr>
      <t>9.SEKU4122192-40HQ</t>
    </r>
  </si>
  <si>
    <r>
      <rPr>
        <sz val="11"/>
        <color rgb="FFFF0000"/>
        <rFont val="Calibri"/>
        <family val="2"/>
        <scheme val="minor"/>
      </rPr>
      <t>1.TCNU6671613-40DRY</t>
    </r>
    <r>
      <rPr>
        <sz val="11"/>
        <color theme="1"/>
        <rFont val="Calibri"/>
        <family val="2"/>
        <scheme val="minor"/>
      </rPr>
      <t xml:space="preserve">
</t>
    </r>
    <r>
      <rPr>
        <sz val="11"/>
        <color rgb="FFFF0000"/>
        <rFont val="Calibri"/>
        <family val="2"/>
        <scheme val="minor"/>
      </rPr>
      <t>2.MRSU5760430-40DRY</t>
    </r>
    <r>
      <rPr>
        <sz val="11"/>
        <color theme="1"/>
        <rFont val="Calibri"/>
        <family val="2"/>
        <scheme val="minor"/>
      </rPr>
      <t xml:space="preserve">
</t>
    </r>
    <r>
      <rPr>
        <sz val="11"/>
        <color rgb="FFFF0000"/>
        <rFont val="Calibri"/>
        <family val="2"/>
        <scheme val="minor"/>
      </rPr>
      <t>3.MSKU8427695-40DRY</t>
    </r>
  </si>
  <si>
    <t>24174</t>
  </si>
  <si>
    <t>GLSN164394574</t>
  </si>
  <si>
    <t>1.CAAU5218674-40HC</t>
  </si>
  <si>
    <t>12 PACKAGES = 45 PIECES</t>
  </si>
  <si>
    <t>PEUGEOT MOTOCYCLES SAS</t>
  </si>
  <si>
    <t>GLSN074404573</t>
  </si>
  <si>
    <t>20240923/VP-BJC-KH</t>
  </si>
  <si>
    <t>VN-KH 24/01/049341</t>
  </si>
  <si>
    <t>PHUC HUNG 026S</t>
  </si>
  <si>
    <t>LONG SON 01 V.445N</t>
  </si>
  <si>
    <t>1.CAAU5219109-40HC, 2.CAAU5219161-40HC</t>
  </si>
  <si>
    <t>24175</t>
  </si>
  <si>
    <t>YT24007JGJPZ091101-1</t>
  </si>
  <si>
    <t>NEW CAR XIAOMI SU7,2024</t>
  </si>
  <si>
    <t>1.MRSU5579273-40DRY</t>
  </si>
  <si>
    <t>WENZHOU YUTAI</t>
  </si>
  <si>
    <t>24176</t>
  </si>
  <si>
    <t>24177</t>
  </si>
  <si>
    <t>SHAWD074032</t>
  </si>
  <si>
    <t>E240781997180840</t>
  </si>
  <si>
    <t>1.IAAU1743670-40HQ
2.IAAU1765133-40HQ
3.IAAU1765262-40HQ
4.TCLU1815897-40HQ
5.TGBU7694249-40HQ</t>
  </si>
  <si>
    <t>SHAWD073953</t>
  </si>
  <si>
    <t>20565458ETC</t>
  </si>
  <si>
    <t>E240781997180816</t>
  </si>
  <si>
    <t>NEW CAR MG 7, 2.0T AT DEL, 2025
NEW CAR MG 7, 1.5T AT DEL, 2025
NEW CAR MG ZS, 2025</t>
  </si>
  <si>
    <t>CHQ00TRP24045688</t>
  </si>
  <si>
    <t>24178</t>
  </si>
  <si>
    <t>24179</t>
  </si>
  <si>
    <t>24180</t>
  </si>
  <si>
    <t>24181</t>
  </si>
  <si>
    <t>24182</t>
  </si>
  <si>
    <t>SHAWD073940</t>
  </si>
  <si>
    <t>E240781997180848</t>
  </si>
  <si>
    <t>SHAWD074060</t>
  </si>
  <si>
    <t>E240781997180863</t>
  </si>
  <si>
    <t>SHAWD073964</t>
  </si>
  <si>
    <t>E240781997180860</t>
  </si>
  <si>
    <t>SHAWD074061</t>
  </si>
  <si>
    <t>E240781997180861</t>
  </si>
  <si>
    <t>SHAWD073958</t>
  </si>
  <si>
    <t>E240781997180872</t>
  </si>
  <si>
    <t>WAN HAI 296 V.S033</t>
  </si>
  <si>
    <t>INTERASIA VISION V.S072</t>
  </si>
  <si>
    <t>VN-KH 24/03/002406</t>
  </si>
  <si>
    <r>
      <rPr>
        <sz val="11"/>
        <color rgb="FFFF0000"/>
        <rFont val="Calibri"/>
        <family val="2"/>
        <scheme val="minor"/>
      </rPr>
      <t>1.IAAU1709192-40HQ</t>
    </r>
    <r>
      <rPr>
        <sz val="11"/>
        <color theme="1"/>
        <rFont val="Calibri"/>
        <family val="2"/>
        <scheme val="minor"/>
      </rPr>
      <t xml:space="preserve">
</t>
    </r>
    <r>
      <rPr>
        <sz val="11"/>
        <color rgb="FFFF0000"/>
        <rFont val="Calibri"/>
        <family val="2"/>
        <scheme val="minor"/>
      </rPr>
      <t>2.IAAU1712302-40HQ</t>
    </r>
    <r>
      <rPr>
        <sz val="11"/>
        <color theme="1"/>
        <rFont val="Calibri"/>
        <family val="2"/>
        <scheme val="minor"/>
      </rPr>
      <t xml:space="preserve">
</t>
    </r>
    <r>
      <rPr>
        <sz val="11"/>
        <color rgb="FFFF0000"/>
        <rFont val="Calibri"/>
        <family val="2"/>
        <scheme val="minor"/>
      </rPr>
      <t>3.IAAU1754170-40HQ</t>
    </r>
    <r>
      <rPr>
        <sz val="11"/>
        <color theme="1"/>
        <rFont val="Calibri"/>
        <family val="2"/>
        <scheme val="minor"/>
      </rPr>
      <t xml:space="preserve">
</t>
    </r>
    <r>
      <rPr>
        <sz val="11"/>
        <color rgb="FFFF0000"/>
        <rFont val="Calibri"/>
        <family val="2"/>
        <scheme val="minor"/>
      </rPr>
      <t>4.IAAU1778531-40HQ</t>
    </r>
    <r>
      <rPr>
        <sz val="11"/>
        <color theme="1"/>
        <rFont val="Calibri"/>
        <family val="2"/>
        <scheme val="minor"/>
      </rPr>
      <t xml:space="preserve">
</t>
    </r>
    <r>
      <rPr>
        <sz val="11"/>
        <color rgb="FFFF0000"/>
        <rFont val="Calibri"/>
        <family val="2"/>
        <scheme val="minor"/>
      </rPr>
      <t>5.IAAU1794208-40HQ</t>
    </r>
    <r>
      <rPr>
        <sz val="11"/>
        <color theme="1"/>
        <rFont val="Calibri"/>
        <family val="2"/>
        <scheme val="minor"/>
      </rPr>
      <t xml:space="preserve">
</t>
    </r>
    <r>
      <rPr>
        <sz val="11"/>
        <color rgb="FFFF0000"/>
        <rFont val="Calibri"/>
        <family val="2"/>
        <scheme val="minor"/>
      </rPr>
      <t>6.IAAU1823651-40HQ</t>
    </r>
    <r>
      <rPr>
        <sz val="11"/>
        <color theme="1"/>
        <rFont val="Calibri"/>
        <family val="2"/>
        <scheme val="minor"/>
      </rPr>
      <t xml:space="preserve">
</t>
    </r>
    <r>
      <rPr>
        <sz val="11"/>
        <color rgb="FFFF0000"/>
        <rFont val="Calibri"/>
        <family val="2"/>
        <scheme val="minor"/>
      </rPr>
      <t>7.IAAU1936982-40HQ</t>
    </r>
    <r>
      <rPr>
        <sz val="11"/>
        <color theme="1"/>
        <rFont val="Calibri"/>
        <family val="2"/>
        <scheme val="minor"/>
      </rPr>
      <t xml:space="preserve">
</t>
    </r>
    <r>
      <rPr>
        <sz val="11"/>
        <color rgb="FFFF0000"/>
        <rFont val="Calibri"/>
        <family val="2"/>
        <scheme val="minor"/>
      </rPr>
      <t>8.IAAU1951919-40HQ</t>
    </r>
    <r>
      <rPr>
        <sz val="11"/>
        <color theme="1"/>
        <rFont val="Calibri"/>
        <family val="2"/>
        <scheme val="minor"/>
      </rPr>
      <t xml:space="preserve">
</t>
    </r>
    <r>
      <rPr>
        <sz val="11"/>
        <color rgb="FFFF0000"/>
        <rFont val="Calibri"/>
        <family val="2"/>
        <scheme val="minor"/>
      </rPr>
      <t>9.SEGU6720270-40HQ</t>
    </r>
  </si>
  <si>
    <r>
      <rPr>
        <sz val="11"/>
        <color rgb="FFFF0000"/>
        <rFont val="Calibri"/>
        <family val="2"/>
        <scheme val="minor"/>
      </rPr>
      <t>1.IAAU1719375-40HQ</t>
    </r>
    <r>
      <rPr>
        <sz val="11"/>
        <color theme="1"/>
        <rFont val="Calibri"/>
        <family val="2"/>
        <scheme val="minor"/>
      </rPr>
      <t xml:space="preserve">
</t>
    </r>
    <r>
      <rPr>
        <sz val="11"/>
        <color rgb="FFFF0000"/>
        <rFont val="Calibri"/>
        <family val="2"/>
        <scheme val="minor"/>
      </rPr>
      <t>2.IAAU1760358-40HQ</t>
    </r>
    <r>
      <rPr>
        <sz val="11"/>
        <color theme="1"/>
        <rFont val="Calibri"/>
        <family val="2"/>
        <scheme val="minor"/>
      </rPr>
      <t xml:space="preserve">
</t>
    </r>
    <r>
      <rPr>
        <sz val="11"/>
        <color rgb="FFFF0000"/>
        <rFont val="Calibri"/>
        <family val="2"/>
        <scheme val="minor"/>
      </rPr>
      <t>3.IAAU1762073-40HQ</t>
    </r>
    <r>
      <rPr>
        <sz val="11"/>
        <color theme="1"/>
        <rFont val="Calibri"/>
        <family val="2"/>
        <scheme val="minor"/>
      </rPr>
      <t xml:space="preserve">
</t>
    </r>
    <r>
      <rPr>
        <sz val="11"/>
        <color rgb="FFFF0000"/>
        <rFont val="Calibri"/>
        <family val="2"/>
        <scheme val="minor"/>
      </rPr>
      <t>4.IAAU1862961-40HQ</t>
    </r>
    <r>
      <rPr>
        <sz val="11"/>
        <color theme="1"/>
        <rFont val="Calibri"/>
        <family val="2"/>
        <scheme val="minor"/>
      </rPr>
      <t xml:space="preserve">
</t>
    </r>
    <r>
      <rPr>
        <sz val="11"/>
        <color rgb="FFFF0000"/>
        <rFont val="Calibri"/>
        <family val="2"/>
        <scheme val="minor"/>
      </rPr>
      <t>5.TGBU7713288-40HQ</t>
    </r>
    <r>
      <rPr>
        <sz val="11"/>
        <color theme="1"/>
        <rFont val="Calibri"/>
        <family val="2"/>
        <scheme val="minor"/>
      </rPr>
      <t xml:space="preserve">
</t>
    </r>
    <r>
      <rPr>
        <sz val="11"/>
        <color rgb="FFFF0000"/>
        <rFont val="Calibri"/>
        <family val="2"/>
        <scheme val="minor"/>
      </rPr>
      <t>6.WHSU5105905-40HQ</t>
    </r>
  </si>
  <si>
    <r>
      <rPr>
        <sz val="11"/>
        <color rgb="FFFF0000"/>
        <rFont val="Calibri"/>
        <family val="2"/>
        <scheme val="minor"/>
      </rPr>
      <t>1.FDCU0329758-40HQ</t>
    </r>
    <r>
      <rPr>
        <sz val="11"/>
        <color theme="1"/>
        <rFont val="Calibri"/>
        <family val="2"/>
        <scheme val="minor"/>
      </rPr>
      <t xml:space="preserve">
</t>
    </r>
    <r>
      <rPr>
        <sz val="11"/>
        <color rgb="FFFF0000"/>
        <rFont val="Calibri"/>
        <family val="2"/>
        <scheme val="minor"/>
      </rPr>
      <t>2.IAAU1816950-40HQ</t>
    </r>
    <r>
      <rPr>
        <sz val="11"/>
        <color theme="1"/>
        <rFont val="Calibri"/>
        <family val="2"/>
        <scheme val="minor"/>
      </rPr>
      <t xml:space="preserve">
</t>
    </r>
    <r>
      <rPr>
        <sz val="11"/>
        <color rgb="FFFF0000"/>
        <rFont val="Calibri"/>
        <family val="2"/>
        <scheme val="minor"/>
      </rPr>
      <t>3.IAAU1874849-40HQ</t>
    </r>
    <r>
      <rPr>
        <sz val="11"/>
        <color theme="1"/>
        <rFont val="Calibri"/>
        <family val="2"/>
        <scheme val="minor"/>
      </rPr>
      <t xml:space="preserve">
</t>
    </r>
    <r>
      <rPr>
        <sz val="11"/>
        <color rgb="FFFF0000"/>
        <rFont val="Calibri"/>
        <family val="2"/>
        <scheme val="minor"/>
      </rPr>
      <t>4.IAAU1880501-40HQ</t>
    </r>
    <r>
      <rPr>
        <sz val="11"/>
        <color theme="1"/>
        <rFont val="Calibri"/>
        <family val="2"/>
        <scheme val="minor"/>
      </rPr>
      <t xml:space="preserve">
</t>
    </r>
    <r>
      <rPr>
        <sz val="11"/>
        <color rgb="FFFF0000"/>
        <rFont val="Calibri"/>
        <family val="2"/>
        <scheme val="minor"/>
      </rPr>
      <t>5.IAAU1881534-40HQ</t>
    </r>
    <r>
      <rPr>
        <sz val="11"/>
        <color theme="1"/>
        <rFont val="Calibri"/>
        <family val="2"/>
        <scheme val="minor"/>
      </rPr>
      <t xml:space="preserve">
</t>
    </r>
    <r>
      <rPr>
        <sz val="11"/>
        <color rgb="FFFF0000"/>
        <rFont val="Calibri"/>
        <family val="2"/>
        <scheme val="minor"/>
      </rPr>
      <t>6.IAAU1901055-40HQ</t>
    </r>
  </si>
  <si>
    <t>24183</t>
  </si>
  <si>
    <t>PHUOC LONG 36 V.399W</t>
  </si>
  <si>
    <t>CAI MEP 48 V.003W</t>
  </si>
  <si>
    <t>24184</t>
  </si>
  <si>
    <t>SHAWD074064</t>
  </si>
  <si>
    <t>E240781997180898</t>
  </si>
  <si>
    <t>021/2024, 022/2024</t>
  </si>
  <si>
    <t>LCKOS24430</t>
  </si>
  <si>
    <t>GLS16 V.439N</t>
  </si>
  <si>
    <t>TRUONG HAI STAR 2`2429S</t>
  </si>
  <si>
    <t>24185</t>
  </si>
  <si>
    <t>SHAWD074098</t>
  </si>
  <si>
    <t>E240781997180901</t>
  </si>
  <si>
    <t>24186</t>
  </si>
  <si>
    <t>COAU7253817310</t>
  </si>
  <si>
    <t>EIC/2024/013/0829280A/00767450</t>
  </si>
  <si>
    <t>TAN CANG 39 V.107W</t>
  </si>
  <si>
    <t>27-10-2024</t>
  </si>
  <si>
    <t>1.TRHU5250655 / 28249622</t>
  </si>
  <si>
    <r>
      <rPr>
        <sz val="11"/>
        <color rgb="FFFF0000"/>
        <rFont val="Calibri"/>
        <family val="2"/>
        <scheme val="minor"/>
      </rPr>
      <t>1.IAAU1696454-40HC</t>
    </r>
    <r>
      <rPr>
        <sz val="11"/>
        <color theme="1"/>
        <rFont val="Calibri"/>
        <family val="2"/>
        <scheme val="minor"/>
      </rPr>
      <t xml:space="preserve">
</t>
    </r>
    <r>
      <rPr>
        <sz val="11"/>
        <color rgb="FFFF0000"/>
        <rFont val="Calibri"/>
        <family val="2"/>
        <scheme val="minor"/>
      </rPr>
      <t>2.IAAU1700765-40HC
3.IAAU1729500-40HC
4.IAAU1749765-40HC
5.IAAU1756996-40HC
6.IAAU1877262-40HC</t>
    </r>
  </si>
  <si>
    <r>
      <rPr>
        <sz val="11"/>
        <color rgb="FFFF0000"/>
        <rFont val="Calibri"/>
        <family val="2"/>
        <scheme val="minor"/>
      </rPr>
      <t>1.IAAU1721686-40HC</t>
    </r>
    <r>
      <rPr>
        <sz val="11"/>
        <color theme="1"/>
        <rFont val="Calibri"/>
        <family val="2"/>
        <scheme val="minor"/>
      </rPr>
      <t xml:space="preserve">
</t>
    </r>
    <r>
      <rPr>
        <sz val="11"/>
        <color rgb="FFFF0000"/>
        <rFont val="Calibri"/>
        <family val="2"/>
        <scheme val="minor"/>
      </rPr>
      <t>2.IAAU1747187-40HC
3.IAAU1752413-40HC</t>
    </r>
    <r>
      <rPr>
        <sz val="11"/>
        <color theme="1"/>
        <rFont val="Calibri"/>
        <family val="2"/>
        <scheme val="minor"/>
      </rPr>
      <t xml:space="preserve">
</t>
    </r>
    <r>
      <rPr>
        <sz val="11"/>
        <color rgb="FFFF0000"/>
        <rFont val="Calibri"/>
        <family val="2"/>
        <scheme val="minor"/>
      </rPr>
      <t>4.IAAU1753894-40HC</t>
    </r>
    <r>
      <rPr>
        <sz val="11"/>
        <color theme="1"/>
        <rFont val="Calibri"/>
        <family val="2"/>
        <scheme val="minor"/>
      </rPr>
      <t xml:space="preserve">
</t>
    </r>
    <r>
      <rPr>
        <sz val="11"/>
        <color rgb="FFFF0000"/>
        <rFont val="Calibri"/>
        <family val="2"/>
        <scheme val="minor"/>
      </rPr>
      <t>5.IAAU1755876-40HC</t>
    </r>
    <r>
      <rPr>
        <sz val="11"/>
        <color theme="1"/>
        <rFont val="Calibri"/>
        <family val="2"/>
        <scheme val="minor"/>
      </rPr>
      <t xml:space="preserve">
</t>
    </r>
    <r>
      <rPr>
        <sz val="11"/>
        <color rgb="FFFF0000"/>
        <rFont val="Calibri"/>
        <family val="2"/>
        <scheme val="minor"/>
      </rPr>
      <t>6.IAAU1772580-40HC</t>
    </r>
    <r>
      <rPr>
        <sz val="11"/>
        <color theme="1"/>
        <rFont val="Calibri"/>
        <family val="2"/>
        <scheme val="minor"/>
      </rPr>
      <t xml:space="preserve">
</t>
    </r>
    <r>
      <rPr>
        <sz val="11"/>
        <color rgb="FFFF0000"/>
        <rFont val="Calibri"/>
        <family val="2"/>
        <scheme val="minor"/>
      </rPr>
      <t>7.IAAU1867433-40HC</t>
    </r>
    <r>
      <rPr>
        <sz val="11"/>
        <color theme="1"/>
        <rFont val="Calibri"/>
        <family val="2"/>
        <scheme val="minor"/>
      </rPr>
      <t xml:space="preserve">
</t>
    </r>
    <r>
      <rPr>
        <sz val="11"/>
        <color rgb="FFFF0000"/>
        <rFont val="Calibri"/>
        <family val="2"/>
        <scheme val="minor"/>
      </rPr>
      <t>8.IAAU1905831-40HC</t>
    </r>
    <r>
      <rPr>
        <sz val="11"/>
        <color theme="1"/>
        <rFont val="Calibri"/>
        <family val="2"/>
        <scheme val="minor"/>
      </rPr>
      <t xml:space="preserve">
</t>
    </r>
    <r>
      <rPr>
        <sz val="11"/>
        <color rgb="FFFF0000"/>
        <rFont val="Calibri"/>
        <family val="2"/>
        <scheme val="minor"/>
      </rPr>
      <t>9.IAAU1956377-40HC</t>
    </r>
  </si>
  <si>
    <r>
      <rPr>
        <sz val="11"/>
        <color rgb="FFFF0000"/>
        <rFont val="Calibri"/>
        <family val="2"/>
        <scheme val="minor"/>
      </rPr>
      <t>1.IAAU1005510-40HC</t>
    </r>
    <r>
      <rPr>
        <sz val="11"/>
        <color theme="1"/>
        <rFont val="Calibri"/>
        <family val="2"/>
        <scheme val="minor"/>
      </rPr>
      <t xml:space="preserve">
</t>
    </r>
    <r>
      <rPr>
        <sz val="11"/>
        <color rgb="FFFF0000"/>
        <rFont val="Calibri"/>
        <family val="2"/>
        <scheme val="minor"/>
      </rPr>
      <t>2.IAAU1797526-40HC</t>
    </r>
    <r>
      <rPr>
        <sz val="11"/>
        <color theme="1"/>
        <rFont val="Calibri"/>
        <family val="2"/>
        <scheme val="minor"/>
      </rPr>
      <t xml:space="preserve">
</t>
    </r>
    <r>
      <rPr>
        <sz val="11"/>
        <color rgb="FFFF0000"/>
        <rFont val="Calibri"/>
        <family val="2"/>
        <scheme val="minor"/>
      </rPr>
      <t>3.IAAU1803090-40HC</t>
    </r>
    <r>
      <rPr>
        <sz val="11"/>
        <color theme="1"/>
        <rFont val="Calibri"/>
        <family val="2"/>
        <scheme val="minor"/>
      </rPr>
      <t xml:space="preserve">
</t>
    </r>
    <r>
      <rPr>
        <sz val="11"/>
        <color rgb="FFFF0000"/>
        <rFont val="Calibri"/>
        <family val="2"/>
        <scheme val="minor"/>
      </rPr>
      <t>4.IAAU1826162-40HC</t>
    </r>
    <r>
      <rPr>
        <sz val="11"/>
        <color theme="1"/>
        <rFont val="Calibri"/>
        <family val="2"/>
        <scheme val="minor"/>
      </rPr>
      <t xml:space="preserve">
</t>
    </r>
    <r>
      <rPr>
        <sz val="11"/>
        <color rgb="FFFF0000"/>
        <rFont val="Calibri"/>
        <family val="2"/>
        <scheme val="minor"/>
      </rPr>
      <t>5.IAAU1837254-40HC
6.IAAU1946907-40HC
7.IAAU1948577-40HC</t>
    </r>
    <r>
      <rPr>
        <sz val="11"/>
        <color theme="1"/>
        <rFont val="Calibri"/>
        <family val="2"/>
        <scheme val="minor"/>
      </rPr>
      <t xml:space="preserve">
</t>
    </r>
    <r>
      <rPr>
        <sz val="11"/>
        <color rgb="FFFF0000"/>
        <rFont val="Calibri"/>
        <family val="2"/>
        <scheme val="minor"/>
      </rPr>
      <t>8.WHSU5673295-40HC</t>
    </r>
  </si>
  <si>
    <r>
      <rPr>
        <sz val="11"/>
        <color rgb="FFFF0000"/>
        <rFont val="Calibri"/>
        <family val="2"/>
        <scheme val="minor"/>
      </rPr>
      <t>1.IAAU1951858-40HC</t>
    </r>
    <r>
      <rPr>
        <sz val="11"/>
        <color theme="1"/>
        <rFont val="Calibri"/>
        <family val="2"/>
        <scheme val="minor"/>
      </rPr>
      <t xml:space="preserve">
</t>
    </r>
    <r>
      <rPr>
        <sz val="11"/>
        <color rgb="FFFF0000"/>
        <rFont val="Calibri"/>
        <family val="2"/>
        <scheme val="minor"/>
      </rPr>
      <t>2.IAAU1957563-40HC</t>
    </r>
    <r>
      <rPr>
        <sz val="11"/>
        <color theme="1"/>
        <rFont val="Calibri"/>
        <family val="2"/>
        <scheme val="minor"/>
      </rPr>
      <t xml:space="preserve">
</t>
    </r>
    <r>
      <rPr>
        <sz val="11"/>
        <color rgb="FFFF0000"/>
        <rFont val="Calibri"/>
        <family val="2"/>
        <scheme val="minor"/>
      </rPr>
      <t>3.SEKU4118741-40HC</t>
    </r>
  </si>
  <si>
    <t>PLASTIC  WRAPPER, JUMBO ROLL TISSUE PAPER</t>
  </si>
  <si>
    <t>1.COTU2741589-20GP</t>
  </si>
  <si>
    <t>AN TAY 16 V.001W</t>
  </si>
  <si>
    <t>MAERSK NESNA V.440S</t>
  </si>
  <si>
    <t>PHUOC LONG 36 V.400W</t>
  </si>
  <si>
    <r>
      <rPr>
        <sz val="11"/>
        <color rgb="FFFF0000"/>
        <rFont val="Calibri"/>
        <family val="2"/>
        <scheme val="minor"/>
      </rPr>
      <t>1.IAAU1725552-40HQ</t>
    </r>
    <r>
      <rPr>
        <sz val="11"/>
        <color theme="1"/>
        <rFont val="Calibri"/>
        <family val="2"/>
        <scheme val="minor"/>
      </rPr>
      <t xml:space="preserve">
</t>
    </r>
    <r>
      <rPr>
        <sz val="11"/>
        <color rgb="FFFF0000"/>
        <rFont val="Calibri"/>
        <family val="2"/>
        <scheme val="minor"/>
      </rPr>
      <t>2.IAAU1740731-40HQ</t>
    </r>
    <r>
      <rPr>
        <sz val="11"/>
        <color theme="1"/>
        <rFont val="Calibri"/>
        <family val="2"/>
        <scheme val="minor"/>
      </rPr>
      <t xml:space="preserve">
</t>
    </r>
    <r>
      <rPr>
        <sz val="11"/>
        <color rgb="FFFF0000"/>
        <rFont val="Calibri"/>
        <family val="2"/>
        <scheme val="minor"/>
      </rPr>
      <t>3.IAAU1771970-40HQ
4.IAAU1788036-40HQ</t>
    </r>
    <r>
      <rPr>
        <sz val="11"/>
        <color theme="1"/>
        <rFont val="Calibri"/>
        <family val="2"/>
        <scheme val="minor"/>
      </rPr>
      <t xml:space="preserve">
</t>
    </r>
    <r>
      <rPr>
        <sz val="11"/>
        <color rgb="FFFF0000"/>
        <rFont val="Calibri"/>
        <family val="2"/>
        <scheme val="minor"/>
      </rPr>
      <t>5.IAAU1832463-40HQ
6.IAAU1879901-40HQ
7.IAAU1882952-40HQ
8.IAAU1906273-40HQ
9.IAAU1924071-40HQ
10.IAAU1936914-40HQ
11.IAAU1969137-40HQ
12.SEKU4113539-40HQ
13.WHSU6789145-40HQ</t>
    </r>
  </si>
  <si>
    <r>
      <rPr>
        <sz val="11"/>
        <color rgb="FFFF0000"/>
        <rFont val="Calibri"/>
        <family val="2"/>
        <scheme val="minor"/>
      </rPr>
      <t>1.IAAU1859741-40HC</t>
    </r>
    <r>
      <rPr>
        <sz val="11"/>
        <color theme="1"/>
        <rFont val="Calibri"/>
        <family val="2"/>
        <scheme val="minor"/>
      </rPr>
      <t xml:space="preserve">
</t>
    </r>
    <r>
      <rPr>
        <sz val="11"/>
        <color rgb="FFFF0000"/>
        <rFont val="Calibri"/>
        <family val="2"/>
        <scheme val="minor"/>
      </rPr>
      <t>2.IAAU1987531-40HC</t>
    </r>
    <r>
      <rPr>
        <sz val="11"/>
        <color theme="1"/>
        <rFont val="Calibri"/>
        <family val="2"/>
        <scheme val="minor"/>
      </rPr>
      <t xml:space="preserve">
</t>
    </r>
    <r>
      <rPr>
        <sz val="11"/>
        <color rgb="FFFF0000"/>
        <rFont val="Calibri"/>
        <family val="2"/>
        <scheme val="minor"/>
      </rPr>
      <t>3.SEGU6708510-40HC</t>
    </r>
    <r>
      <rPr>
        <sz val="11"/>
        <color theme="1"/>
        <rFont val="Calibri"/>
        <family val="2"/>
        <scheme val="minor"/>
      </rPr>
      <t xml:space="preserve">
</t>
    </r>
    <r>
      <rPr>
        <sz val="11"/>
        <color rgb="FFFF0000"/>
        <rFont val="Calibri"/>
        <family val="2"/>
        <scheme val="minor"/>
      </rPr>
      <t>4.SEKU4125458-40HC</t>
    </r>
    <r>
      <rPr>
        <sz val="11"/>
        <color theme="1"/>
        <rFont val="Calibri"/>
        <family val="2"/>
        <scheme val="minor"/>
      </rPr>
      <t xml:space="preserve">
</t>
    </r>
    <r>
      <rPr>
        <sz val="11"/>
        <color rgb="FFFF0000"/>
        <rFont val="Calibri"/>
        <family val="2"/>
        <scheme val="minor"/>
      </rPr>
      <t>5.TCKU6548590-40HC</t>
    </r>
    <r>
      <rPr>
        <sz val="11"/>
        <color theme="1"/>
        <rFont val="Calibri"/>
        <family val="2"/>
        <scheme val="minor"/>
      </rPr>
      <t xml:space="preserve">
</t>
    </r>
    <r>
      <rPr>
        <sz val="11"/>
        <color rgb="FFFF0000"/>
        <rFont val="Calibri"/>
        <family val="2"/>
        <scheme val="minor"/>
      </rPr>
      <t>6.TGBU7710524-40HC</t>
    </r>
  </si>
  <si>
    <t>GLS 16 V.443N</t>
  </si>
  <si>
    <t>ZHONG GU DI ZHONG HAI V.442S</t>
  </si>
  <si>
    <t>XIN YANG PU 178E</t>
  </si>
  <si>
    <t>31 BOXES</t>
  </si>
  <si>
    <t>CHQ00TRP24022866</t>
  </si>
  <si>
    <t>CHQ00TRP24022868</t>
  </si>
  <si>
    <t>CHQ00TRP24023093</t>
  </si>
  <si>
    <t>CHQ00TRP24033361</t>
  </si>
  <si>
    <t>CHQ00TRP24033377</t>
  </si>
  <si>
    <t>CHQ00TRP24033385</t>
  </si>
  <si>
    <t>CHQ00TRP24033440</t>
  </si>
  <si>
    <t>CHQ00TRP24033588</t>
  </si>
  <si>
    <t>CHQ00TRP24033640</t>
  </si>
  <si>
    <t>CHQ00TRP24033673</t>
  </si>
  <si>
    <t>CHQ00TRP24033500</t>
  </si>
  <si>
    <t>CHQ00TRP24033674</t>
  </si>
  <si>
    <t>CHQ00TRP24033894</t>
  </si>
  <si>
    <t>CHQ00TRP24033866</t>
  </si>
  <si>
    <r>
      <rPr>
        <sz val="11"/>
        <color rgb="FFFF0000"/>
        <rFont val="Calibri"/>
        <family val="2"/>
        <scheme val="minor"/>
      </rPr>
      <t>1.MRKU5335398-40HQ</t>
    </r>
    <r>
      <rPr>
        <sz val="11"/>
        <color theme="1"/>
        <rFont val="Calibri"/>
        <family val="2"/>
        <scheme val="minor"/>
      </rPr>
      <t xml:space="preserve">
</t>
    </r>
    <r>
      <rPr>
        <sz val="11"/>
        <color rgb="FFFF0000"/>
        <rFont val="Calibri"/>
        <family val="2"/>
        <scheme val="minor"/>
      </rPr>
      <t>2.MRSU6168929-40HQ</t>
    </r>
    <r>
      <rPr>
        <sz val="11"/>
        <color theme="1"/>
        <rFont val="Calibri"/>
        <family val="2"/>
        <scheme val="minor"/>
      </rPr>
      <t xml:space="preserve">
</t>
    </r>
    <r>
      <rPr>
        <sz val="11"/>
        <color rgb="FFFF0000"/>
        <rFont val="Calibri"/>
        <family val="2"/>
        <scheme val="minor"/>
      </rPr>
      <t>3.PONU7886410-40HQ</t>
    </r>
    <r>
      <rPr>
        <sz val="11"/>
        <color theme="1"/>
        <rFont val="Calibri"/>
        <family val="2"/>
        <scheme val="minor"/>
      </rPr>
      <t xml:space="preserve">
</t>
    </r>
    <r>
      <rPr>
        <sz val="11"/>
        <color rgb="FFFF0000"/>
        <rFont val="Calibri"/>
        <family val="2"/>
        <scheme val="minor"/>
      </rPr>
      <t>4.TRHU4485803-40'HQ</t>
    </r>
  </si>
  <si>
    <r>
      <rPr>
        <sz val="11"/>
        <color rgb="FFFF0000"/>
        <rFont val="Calibri"/>
        <family val="2"/>
        <scheme val="minor"/>
      </rPr>
      <t>1.GESU6558329-40HQ</t>
    </r>
    <r>
      <rPr>
        <sz val="11"/>
        <color theme="1"/>
        <rFont val="Calibri"/>
        <family val="2"/>
        <scheme val="minor"/>
      </rPr>
      <t xml:space="preserve">
</t>
    </r>
    <r>
      <rPr>
        <sz val="11"/>
        <color rgb="FFFF0000"/>
        <rFont val="Calibri"/>
        <family val="2"/>
        <scheme val="minor"/>
      </rPr>
      <t>2.HASU5079766-40HQ</t>
    </r>
    <r>
      <rPr>
        <sz val="11"/>
        <color theme="1"/>
        <rFont val="Calibri"/>
        <family val="2"/>
        <scheme val="minor"/>
      </rPr>
      <t xml:space="preserve">
</t>
    </r>
    <r>
      <rPr>
        <sz val="11"/>
        <color rgb="FFFF0000"/>
        <rFont val="Calibri"/>
        <family val="2"/>
        <scheme val="minor"/>
      </rPr>
      <t>3.MRKU3126594-40HQ</t>
    </r>
    <r>
      <rPr>
        <sz val="11"/>
        <color theme="1"/>
        <rFont val="Calibri"/>
        <family val="2"/>
        <scheme val="minor"/>
      </rPr>
      <t xml:space="preserve">
</t>
    </r>
    <r>
      <rPr>
        <sz val="11"/>
        <color rgb="FFFF0000"/>
        <rFont val="Calibri"/>
        <family val="2"/>
        <scheme val="minor"/>
      </rPr>
      <t>4.MRKU4252302-40HQ
5.MRSU3413581-40HQ</t>
    </r>
    <r>
      <rPr>
        <sz val="11"/>
        <color theme="1"/>
        <rFont val="Calibri"/>
        <family val="2"/>
        <scheme val="minor"/>
      </rPr>
      <t xml:space="preserve">
</t>
    </r>
    <r>
      <rPr>
        <sz val="11"/>
        <color rgb="FFFF0000"/>
        <rFont val="Calibri"/>
        <family val="2"/>
        <scheme val="minor"/>
      </rPr>
      <t>6.MRSU5462754-40HQ</t>
    </r>
    <r>
      <rPr>
        <sz val="11"/>
        <color theme="1"/>
        <rFont val="Calibri"/>
        <family val="2"/>
        <scheme val="minor"/>
      </rPr>
      <t xml:space="preserve">
</t>
    </r>
    <r>
      <rPr>
        <sz val="11"/>
        <color rgb="FFFF0000"/>
        <rFont val="Calibri"/>
        <family val="2"/>
        <scheme val="minor"/>
      </rPr>
      <t>7.MSKU9777276-40HQ</t>
    </r>
  </si>
  <si>
    <t>24187</t>
  </si>
  <si>
    <t>SHAWD074201</t>
  </si>
  <si>
    <t>20572061-1</t>
  </si>
  <si>
    <t>E240781997180961</t>
  </si>
  <si>
    <t>NEW CAR MG RX8, 2025</t>
  </si>
  <si>
    <t>1.IAAU1931701-40HQ</t>
  </si>
  <si>
    <t>24188</t>
  </si>
  <si>
    <t>SHAWD074113</t>
  </si>
  <si>
    <t>E240781997180962</t>
  </si>
  <si>
    <t>24189</t>
  </si>
  <si>
    <t>SHAWD074126</t>
  </si>
  <si>
    <t>E240781997180956</t>
  </si>
  <si>
    <t>24190</t>
  </si>
  <si>
    <t>SHAWD074162</t>
  </si>
  <si>
    <t>E240781997180964</t>
  </si>
  <si>
    <t>24191</t>
  </si>
  <si>
    <t>SHAWD074163</t>
  </si>
  <si>
    <t>E240781997180980</t>
  </si>
  <si>
    <t>24192</t>
  </si>
  <si>
    <t>YSH2024-7041</t>
  </si>
  <si>
    <t>NEW DENZA D9 DMI PLUG-IN, 2024</t>
  </si>
  <si>
    <t>1.MRSU6978766-40DRY</t>
  </si>
  <si>
    <t>PHUOC LONG 12 V.201W</t>
  </si>
  <si>
    <t>ERASMUS CHIEF V.444S</t>
  </si>
  <si>
    <t>YSH2024-7051</t>
  </si>
  <si>
    <t>24193</t>
  </si>
  <si>
    <t>SHAWD074257</t>
  </si>
  <si>
    <t>E240781997181016</t>
  </si>
  <si>
    <t>24194</t>
  </si>
  <si>
    <t>SHAWD074222</t>
  </si>
  <si>
    <t>E240781997181017</t>
  </si>
  <si>
    <t>24195</t>
  </si>
  <si>
    <t>SHAWD074145</t>
  </si>
  <si>
    <t>YZ202411011715-P-C</t>
  </si>
  <si>
    <t>NEW CAR MAXUS D60, 2024
NEW CAR MAXUS D60, (Black Kit) 2024</t>
  </si>
  <si>
    <t>24196</t>
  </si>
  <si>
    <t>SHAWD074258</t>
  </si>
  <si>
    <t>YZ202411011715-S-C</t>
  </si>
  <si>
    <t>NEW ELECTRIC CAR MAXUS MIFA 7 FLAGSHIP, 2024
NEW ELECTRIC CAR MAXUS MIFA 9 PREMIUM, 2024</t>
  </si>
  <si>
    <r>
      <rPr>
        <sz val="11"/>
        <color rgb="FFFF0000"/>
        <rFont val="Calibri"/>
        <family val="2"/>
        <scheme val="minor"/>
      </rPr>
      <t>1.MRKU4634630-40HQ</t>
    </r>
    <r>
      <rPr>
        <sz val="11"/>
        <color theme="1"/>
        <rFont val="Calibri"/>
        <family val="2"/>
        <scheme val="minor"/>
      </rPr>
      <t xml:space="preserve">
</t>
    </r>
    <r>
      <rPr>
        <sz val="11"/>
        <color rgb="FFFF0000"/>
        <rFont val="Calibri"/>
        <family val="2"/>
        <scheme val="minor"/>
      </rPr>
      <t>2.MRKU4970737-40HQ</t>
    </r>
    <r>
      <rPr>
        <sz val="11"/>
        <color theme="1"/>
        <rFont val="Calibri"/>
        <family val="2"/>
        <scheme val="minor"/>
      </rPr>
      <t xml:space="preserve">
</t>
    </r>
    <r>
      <rPr>
        <sz val="11"/>
        <color rgb="FFFF0000"/>
        <rFont val="Calibri"/>
        <family val="2"/>
        <scheme val="minor"/>
      </rPr>
      <t>3.MRKU5249900-40HQ</t>
    </r>
    <r>
      <rPr>
        <sz val="11"/>
        <color theme="1"/>
        <rFont val="Calibri"/>
        <family val="2"/>
        <scheme val="minor"/>
      </rPr>
      <t xml:space="preserve">
</t>
    </r>
    <r>
      <rPr>
        <sz val="11"/>
        <color rgb="FFFF0000"/>
        <rFont val="Calibri"/>
        <family val="2"/>
        <scheme val="minor"/>
      </rPr>
      <t>4.MSKU0237615-40HQ</t>
    </r>
  </si>
  <si>
    <t>INTERASIA VISION V.S073</t>
  </si>
  <si>
    <t>TAY NAM 48 V.003W</t>
  </si>
  <si>
    <t>WAN HAI 292 V.S043</t>
  </si>
  <si>
    <t>24197</t>
  </si>
  <si>
    <t>SHAWD074193</t>
  </si>
  <si>
    <t>E240781997181015</t>
  </si>
  <si>
    <t>02241072600500181</t>
  </si>
  <si>
    <t>02241072600500171</t>
  </si>
  <si>
    <t>24198</t>
  </si>
  <si>
    <t>105349SH011</t>
  </si>
  <si>
    <t>KHIEV KEA INVESTMENT CO.,LTD</t>
  </si>
  <si>
    <t>DF24CV-423KH006-1</t>
  </si>
  <si>
    <t>New Mixer Truck, 2025</t>
  </si>
  <si>
    <t>24199</t>
  </si>
  <si>
    <t>105349SH012</t>
  </si>
  <si>
    <t>DF24CV-423KH006-2</t>
  </si>
  <si>
    <t>New Tractor Head, 2025</t>
  </si>
  <si>
    <t>24200</t>
  </si>
  <si>
    <t>YMJAI236402105</t>
  </si>
  <si>
    <t>V24-619</t>
  </si>
  <si>
    <t>New Dongfeng Cargo Truck, 2025</t>
  </si>
  <si>
    <t>1.YMMU6347967-40HQ
2.YMMU6556458-40HQ</t>
  </si>
  <si>
    <t>24201</t>
  </si>
  <si>
    <t>105349SH010</t>
  </si>
  <si>
    <t>DF24CV-423KH002-2</t>
  </si>
  <si>
    <t>New Dump Truck, 2025</t>
  </si>
  <si>
    <t>ខៀវ គា</t>
  </si>
  <si>
    <t>ភេទប្រុស ដែលមានអត្តសញ្ញាណបណ្ណលេខៈ 011454872 ជាប្រធានក្រុមហ៊ុន KHIEV KEA INVESTMENT CO.,LTD អត្តសញ្ញាណកម្មសារពើពន្ធ (VAT)លេខៈ K009-902302973 ទូរសព្ទ័លេខៈ 068 235200</t>
  </si>
  <si>
    <t>#ក្បាលដីលេខ ៨៥៩ ផ្លូវ លំ ភូមិ ត្រពាំងសំព័រ សង្កាត់ គោករកា ខណ្ឌ ព្រែកព្នៅ រាជធានីភ្នំពេញ (VAT)លេខៈ K009-902302973 ទូរសព្ទ័លេខៈ 068 235200</t>
  </si>
  <si>
    <t>K009-902302973</t>
  </si>
  <si>
    <t>068 235200</t>
  </si>
  <si>
    <t>ZHONG GU DONG HAI V.446S</t>
  </si>
  <si>
    <t>PHUOC LONG 6 V.312W</t>
  </si>
  <si>
    <t>MAERSK NACKA V.445S</t>
  </si>
  <si>
    <t>D2024-0330415</t>
  </si>
  <si>
    <r>
      <rPr>
        <sz val="11"/>
        <color rgb="FFFF0000"/>
        <rFont val="Calibri"/>
        <family val="2"/>
        <scheme val="minor"/>
      </rPr>
      <t>1.IAAU1815234-40HQ</t>
    </r>
    <r>
      <rPr>
        <sz val="11"/>
        <color theme="1"/>
        <rFont val="Calibri"/>
        <family val="2"/>
        <scheme val="minor"/>
      </rPr>
      <t xml:space="preserve">
</t>
    </r>
    <r>
      <rPr>
        <sz val="11"/>
        <color rgb="FFFF0000"/>
        <rFont val="Calibri"/>
        <family val="2"/>
        <scheme val="minor"/>
      </rPr>
      <t>2.IAAU1841803-40HQ</t>
    </r>
    <r>
      <rPr>
        <sz val="11"/>
        <color theme="1"/>
        <rFont val="Calibri"/>
        <family val="2"/>
        <scheme val="minor"/>
      </rPr>
      <t xml:space="preserve">
</t>
    </r>
    <r>
      <rPr>
        <sz val="11"/>
        <color rgb="FFFF0000"/>
        <rFont val="Calibri"/>
        <family val="2"/>
        <scheme val="minor"/>
      </rPr>
      <t>3.IAAU1846596-40HQ</t>
    </r>
    <r>
      <rPr>
        <sz val="11"/>
        <color theme="1"/>
        <rFont val="Calibri"/>
        <family val="2"/>
        <scheme val="minor"/>
      </rPr>
      <t xml:space="preserve">
</t>
    </r>
    <r>
      <rPr>
        <sz val="11"/>
        <color rgb="FFFF0000"/>
        <rFont val="Calibri"/>
        <family val="2"/>
        <scheme val="minor"/>
      </rPr>
      <t>4.IAAU1894423-40HQ</t>
    </r>
    <r>
      <rPr>
        <sz val="11"/>
        <color theme="1"/>
        <rFont val="Calibri"/>
        <family val="2"/>
        <scheme val="minor"/>
      </rPr>
      <t xml:space="preserve">
</t>
    </r>
    <r>
      <rPr>
        <sz val="11"/>
        <color rgb="FFFF0000"/>
        <rFont val="Calibri"/>
        <family val="2"/>
        <scheme val="minor"/>
      </rPr>
      <t>5.IAAU1938882-40HQ</t>
    </r>
    <r>
      <rPr>
        <sz val="11"/>
        <color theme="1"/>
        <rFont val="Calibri"/>
        <family val="2"/>
        <scheme val="minor"/>
      </rPr>
      <t xml:space="preserve">
</t>
    </r>
    <r>
      <rPr>
        <sz val="11"/>
        <color rgb="FFFF0000"/>
        <rFont val="Calibri"/>
        <family val="2"/>
        <scheme val="minor"/>
      </rPr>
      <t>6.WHLU5584905-40HQ</t>
    </r>
  </si>
  <si>
    <r>
      <rPr>
        <sz val="11"/>
        <color rgb="FFFF0000"/>
        <rFont val="Calibri"/>
        <family val="2"/>
        <scheme val="minor"/>
      </rPr>
      <t>1.IAAU1695524-40HQ</t>
    </r>
    <r>
      <rPr>
        <sz val="11"/>
        <color theme="1"/>
        <rFont val="Calibri"/>
        <family val="2"/>
        <scheme val="minor"/>
      </rPr>
      <t xml:space="preserve">
</t>
    </r>
    <r>
      <rPr>
        <sz val="11"/>
        <color rgb="FFFF0000"/>
        <rFont val="Calibri"/>
        <family val="2"/>
        <scheme val="minor"/>
      </rPr>
      <t>2.IAAU1743026-40HQ</t>
    </r>
    <r>
      <rPr>
        <sz val="11"/>
        <color theme="1"/>
        <rFont val="Calibri"/>
        <family val="2"/>
        <scheme val="minor"/>
      </rPr>
      <t xml:space="preserve">
</t>
    </r>
    <r>
      <rPr>
        <sz val="11"/>
        <color rgb="FFFF0000"/>
        <rFont val="Calibri"/>
        <family val="2"/>
        <scheme val="minor"/>
      </rPr>
      <t>3.IAAU1798292-40HQ</t>
    </r>
    <r>
      <rPr>
        <sz val="11"/>
        <color theme="1"/>
        <rFont val="Calibri"/>
        <family val="2"/>
        <scheme val="minor"/>
      </rPr>
      <t xml:space="preserve">
</t>
    </r>
    <r>
      <rPr>
        <sz val="11"/>
        <color rgb="FFFF0000"/>
        <rFont val="Calibri"/>
        <family val="2"/>
        <scheme val="minor"/>
      </rPr>
      <t>4.IAAU1828632-40HQ</t>
    </r>
    <r>
      <rPr>
        <sz val="11"/>
        <color theme="1"/>
        <rFont val="Calibri"/>
        <family val="2"/>
        <scheme val="minor"/>
      </rPr>
      <t xml:space="preserve">
</t>
    </r>
    <r>
      <rPr>
        <sz val="11"/>
        <color rgb="FFFF0000"/>
        <rFont val="Calibri"/>
        <family val="2"/>
        <scheme val="minor"/>
      </rPr>
      <t>5.IAAU1965872-40HQ</t>
    </r>
    <r>
      <rPr>
        <sz val="11"/>
        <color theme="1"/>
        <rFont val="Calibri"/>
        <family val="2"/>
        <scheme val="minor"/>
      </rPr>
      <t xml:space="preserve">
</t>
    </r>
    <r>
      <rPr>
        <sz val="11"/>
        <color rgb="FFFF0000"/>
        <rFont val="Calibri"/>
        <family val="2"/>
        <scheme val="minor"/>
      </rPr>
      <t>6.IAAU1979541-40HQ</t>
    </r>
    <r>
      <rPr>
        <sz val="11"/>
        <color theme="1"/>
        <rFont val="Calibri"/>
        <family val="2"/>
        <scheme val="minor"/>
      </rPr>
      <t xml:space="preserve">
</t>
    </r>
    <r>
      <rPr>
        <sz val="11"/>
        <color rgb="FFFF0000"/>
        <rFont val="Calibri"/>
        <family val="2"/>
        <scheme val="minor"/>
      </rPr>
      <t>7.SEGU6755913-40HQ</t>
    </r>
  </si>
  <si>
    <r>
      <rPr>
        <sz val="11"/>
        <color rgb="FFFF0000"/>
        <rFont val="Calibri"/>
        <family val="2"/>
        <scheme val="minor"/>
      </rPr>
      <t>1.FSCU8169470-40HQ</t>
    </r>
    <r>
      <rPr>
        <sz val="11"/>
        <color theme="1"/>
        <rFont val="Calibri"/>
        <family val="2"/>
        <scheme val="minor"/>
      </rPr>
      <t xml:space="preserve">
</t>
    </r>
    <r>
      <rPr>
        <sz val="11"/>
        <color rgb="FFFF0000"/>
        <rFont val="Calibri"/>
        <family val="2"/>
        <scheme val="minor"/>
      </rPr>
      <t>2.IAAU1735400-40HQ</t>
    </r>
    <r>
      <rPr>
        <sz val="11"/>
        <color theme="1"/>
        <rFont val="Calibri"/>
        <family val="2"/>
        <scheme val="minor"/>
      </rPr>
      <t xml:space="preserve">
</t>
    </r>
    <r>
      <rPr>
        <sz val="11"/>
        <color rgb="FFFF0000"/>
        <rFont val="Calibri"/>
        <family val="2"/>
        <scheme val="minor"/>
      </rPr>
      <t>3.IAAU1739129-40HQ</t>
    </r>
    <r>
      <rPr>
        <sz val="11"/>
        <color theme="1"/>
        <rFont val="Calibri"/>
        <family val="2"/>
        <scheme val="minor"/>
      </rPr>
      <t xml:space="preserve">
</t>
    </r>
    <r>
      <rPr>
        <sz val="11"/>
        <color rgb="FFFF0000"/>
        <rFont val="Calibri"/>
        <family val="2"/>
        <scheme val="minor"/>
      </rPr>
      <t>4.IAAU1763568-40HQ</t>
    </r>
    <r>
      <rPr>
        <sz val="11"/>
        <color theme="1"/>
        <rFont val="Calibri"/>
        <family val="2"/>
        <scheme val="minor"/>
      </rPr>
      <t xml:space="preserve">
</t>
    </r>
    <r>
      <rPr>
        <sz val="11"/>
        <color rgb="FFFF0000"/>
        <rFont val="Calibri"/>
        <family val="2"/>
        <scheme val="minor"/>
      </rPr>
      <t>5.IAAU1816945-40HQ</t>
    </r>
    <r>
      <rPr>
        <sz val="11"/>
        <color theme="1"/>
        <rFont val="Calibri"/>
        <family val="2"/>
        <scheme val="minor"/>
      </rPr>
      <t xml:space="preserve">
</t>
    </r>
    <r>
      <rPr>
        <sz val="11"/>
        <color rgb="FFFF0000"/>
        <rFont val="Calibri"/>
        <family val="2"/>
        <scheme val="minor"/>
      </rPr>
      <t>6.IAAU1837001-40HQ</t>
    </r>
    <r>
      <rPr>
        <sz val="11"/>
        <color theme="1"/>
        <rFont val="Calibri"/>
        <family val="2"/>
        <scheme val="minor"/>
      </rPr>
      <t xml:space="preserve">
</t>
    </r>
    <r>
      <rPr>
        <sz val="11"/>
        <color rgb="FFFF0000"/>
        <rFont val="Calibri"/>
        <family val="2"/>
        <scheme val="minor"/>
      </rPr>
      <t>7.IAAU1841892-40HQ</t>
    </r>
    <r>
      <rPr>
        <sz val="11"/>
        <color theme="1"/>
        <rFont val="Calibri"/>
        <family val="2"/>
        <scheme val="minor"/>
      </rPr>
      <t xml:space="preserve">
</t>
    </r>
    <r>
      <rPr>
        <sz val="11"/>
        <color rgb="FFFF0000"/>
        <rFont val="Calibri"/>
        <family val="2"/>
        <scheme val="minor"/>
      </rPr>
      <t>8.IAAU1903525-40HQ</t>
    </r>
    <r>
      <rPr>
        <sz val="11"/>
        <color theme="1"/>
        <rFont val="Calibri"/>
        <family val="2"/>
        <scheme val="minor"/>
      </rPr>
      <t xml:space="preserve">
</t>
    </r>
    <r>
      <rPr>
        <sz val="11"/>
        <color rgb="FFFF0000"/>
        <rFont val="Calibri"/>
        <family val="2"/>
        <scheme val="minor"/>
      </rPr>
      <t>9.IAAU1969420-40HQ</t>
    </r>
    <r>
      <rPr>
        <sz val="11"/>
        <color theme="1"/>
        <rFont val="Calibri"/>
        <family val="2"/>
        <scheme val="minor"/>
      </rPr>
      <t xml:space="preserve">
</t>
    </r>
    <r>
      <rPr>
        <sz val="11"/>
        <color rgb="FFFF0000"/>
        <rFont val="Calibri"/>
        <family val="2"/>
        <scheme val="minor"/>
      </rPr>
      <t>10.SEGU6722210-40HQ</t>
    </r>
    <r>
      <rPr>
        <sz val="11"/>
        <color theme="1"/>
        <rFont val="Calibri"/>
        <family val="2"/>
        <scheme val="minor"/>
      </rPr>
      <t xml:space="preserve">
</t>
    </r>
    <r>
      <rPr>
        <sz val="11"/>
        <color rgb="FFFF0000"/>
        <rFont val="Calibri"/>
        <family val="2"/>
        <scheme val="minor"/>
      </rPr>
      <t>11.WHSU5049036-40HQ
12.WHSU6789654-40HQ</t>
    </r>
  </si>
  <si>
    <r>
      <rPr>
        <sz val="11"/>
        <color rgb="FFFF0000"/>
        <rFont val="Calibri"/>
        <family val="2"/>
        <scheme val="minor"/>
      </rPr>
      <t>1.MRSU0262162-20GP</t>
    </r>
    <r>
      <rPr>
        <sz val="11"/>
        <color theme="1"/>
        <rFont val="Calibri"/>
        <family val="2"/>
        <scheme val="minor"/>
      </rPr>
      <t xml:space="preserve">
</t>
    </r>
    <r>
      <rPr>
        <sz val="11"/>
        <color rgb="FFFF0000"/>
        <rFont val="Calibri"/>
        <family val="2"/>
        <scheme val="minor"/>
      </rPr>
      <t>2.MRSU3497704-40HQ</t>
    </r>
    <r>
      <rPr>
        <sz val="11"/>
        <color theme="1"/>
        <rFont val="Calibri"/>
        <family val="2"/>
        <scheme val="minor"/>
      </rPr>
      <t xml:space="preserve">
</t>
    </r>
    <r>
      <rPr>
        <sz val="11"/>
        <color rgb="FFFF0000"/>
        <rFont val="Calibri"/>
        <family val="2"/>
        <scheme val="minor"/>
      </rPr>
      <t>3.TGHU6248619-40HQ</t>
    </r>
  </si>
  <si>
    <t>SE24060072</t>
  </si>
  <si>
    <t>NEW GAC HONDA CAR ​E:NS1, 2024
NEW KIA CAR ​EV5, 2023</t>
  </si>
  <si>
    <t>WAN HAI 296 V.S035</t>
  </si>
  <si>
    <t>PHUOC LONG 36 V.405W</t>
  </si>
  <si>
    <r>
      <rPr>
        <sz val="11"/>
        <color rgb="FFFF0000"/>
        <rFont val="Calibri"/>
        <family val="2"/>
        <scheme val="minor"/>
      </rPr>
      <t>1.HASU4540410-40HQ</t>
    </r>
    <r>
      <rPr>
        <sz val="11"/>
        <color theme="1"/>
        <rFont val="Calibri"/>
        <family val="2"/>
        <scheme val="minor"/>
      </rPr>
      <t xml:space="preserve">
</t>
    </r>
    <r>
      <rPr>
        <sz val="11"/>
        <color rgb="FFFF0000"/>
        <rFont val="Calibri"/>
        <family val="2"/>
        <scheme val="minor"/>
      </rPr>
      <t>2.MRKU5150840-40HQ</t>
    </r>
    <r>
      <rPr>
        <sz val="11"/>
        <color theme="1"/>
        <rFont val="Calibri"/>
        <family val="2"/>
        <scheme val="minor"/>
      </rPr>
      <t xml:space="preserve">
</t>
    </r>
    <r>
      <rPr>
        <sz val="11"/>
        <color rgb="FFFF0000"/>
        <rFont val="Calibri"/>
        <family val="2"/>
        <scheme val="minor"/>
      </rPr>
      <t>3.MRSU3242787-40HQ
4.MRSU3543287-40HQ</t>
    </r>
    <r>
      <rPr>
        <sz val="11"/>
        <color theme="1"/>
        <rFont val="Calibri"/>
        <family val="2"/>
        <scheme val="minor"/>
      </rPr>
      <t xml:space="preserve">
</t>
    </r>
    <r>
      <rPr>
        <sz val="11"/>
        <color rgb="FFFF0000"/>
        <rFont val="Calibri"/>
        <family val="2"/>
        <scheme val="minor"/>
      </rPr>
      <t>5.MSKU8758081-40HQ</t>
    </r>
  </si>
  <si>
    <r>
      <rPr>
        <sz val="11"/>
        <color rgb="FFFF0000"/>
        <rFont val="Calibri"/>
        <family val="2"/>
        <scheme val="minor"/>
      </rPr>
      <t>1.MRKU4865304-40HQ</t>
    </r>
    <r>
      <rPr>
        <sz val="11"/>
        <color theme="1"/>
        <rFont val="Calibri"/>
        <family val="2"/>
        <scheme val="minor"/>
      </rPr>
      <t xml:space="preserve">
</t>
    </r>
    <r>
      <rPr>
        <sz val="11"/>
        <color rgb="FFFF0000"/>
        <rFont val="Calibri"/>
        <family val="2"/>
        <scheme val="minor"/>
      </rPr>
      <t>2.MSKU1657905-40HQ</t>
    </r>
  </si>
  <si>
    <r>
      <rPr>
        <sz val="11"/>
        <color rgb="FFFF0000"/>
        <rFont val="Calibri"/>
        <family val="2"/>
        <scheme val="minor"/>
      </rPr>
      <t>1.CAAU5697140-40HQ</t>
    </r>
    <r>
      <rPr>
        <sz val="11"/>
        <color theme="1"/>
        <rFont val="Calibri"/>
        <family val="2"/>
        <scheme val="minor"/>
      </rPr>
      <t xml:space="preserve">
</t>
    </r>
    <r>
      <rPr>
        <sz val="11"/>
        <color rgb="FFFF0000"/>
        <rFont val="Calibri"/>
        <family val="2"/>
        <scheme val="minor"/>
      </rPr>
      <t>2.MIEU0053880-40HQ</t>
    </r>
    <r>
      <rPr>
        <sz val="11"/>
        <color theme="1"/>
        <rFont val="Calibri"/>
        <family val="2"/>
        <scheme val="minor"/>
      </rPr>
      <t xml:space="preserve">
</t>
    </r>
    <r>
      <rPr>
        <sz val="11"/>
        <color rgb="FFFF0000"/>
        <rFont val="Calibri"/>
        <family val="2"/>
        <scheme val="minor"/>
      </rPr>
      <t>3.MRKU3083954-40HQ
4.MRKU3824281-40HQ</t>
    </r>
    <r>
      <rPr>
        <sz val="11"/>
        <color theme="1"/>
        <rFont val="Calibri"/>
        <family val="2"/>
        <scheme val="minor"/>
      </rPr>
      <t xml:space="preserve">
</t>
    </r>
    <r>
      <rPr>
        <sz val="11"/>
        <color rgb="FFFF0000"/>
        <rFont val="Calibri"/>
        <family val="2"/>
        <scheme val="minor"/>
      </rPr>
      <t>5.MRSU3479547-40HQ</t>
    </r>
    <r>
      <rPr>
        <sz val="11"/>
        <color theme="1"/>
        <rFont val="Calibri"/>
        <family val="2"/>
        <scheme val="minor"/>
      </rPr>
      <t xml:space="preserve">
</t>
    </r>
    <r>
      <rPr>
        <sz val="11"/>
        <color rgb="FFFF0000"/>
        <rFont val="Calibri"/>
        <family val="2"/>
        <scheme val="minor"/>
      </rPr>
      <t>6.MRSU5437134-40HQ</t>
    </r>
    <r>
      <rPr>
        <sz val="11"/>
        <color theme="1"/>
        <rFont val="Calibri"/>
        <family val="2"/>
        <scheme val="minor"/>
      </rPr>
      <t xml:space="preserve">
</t>
    </r>
    <r>
      <rPr>
        <sz val="11"/>
        <color rgb="FFFF0000"/>
        <rFont val="Calibri"/>
        <family val="2"/>
        <scheme val="minor"/>
      </rPr>
      <t>7.MSKU0776828-40HQ</t>
    </r>
    <r>
      <rPr>
        <sz val="11"/>
        <color theme="1"/>
        <rFont val="Calibri"/>
        <family val="2"/>
        <scheme val="minor"/>
      </rPr>
      <t xml:space="preserve">
</t>
    </r>
    <r>
      <rPr>
        <sz val="11"/>
        <color rgb="FFFF0000"/>
        <rFont val="Calibri"/>
        <family val="2"/>
        <scheme val="minor"/>
      </rPr>
      <t>8.MSKU9735389-40HQ</t>
    </r>
    <r>
      <rPr>
        <sz val="11"/>
        <color theme="1"/>
        <rFont val="Calibri"/>
        <family val="2"/>
        <scheme val="minor"/>
      </rPr>
      <t xml:space="preserve">
</t>
    </r>
    <r>
      <rPr>
        <sz val="11"/>
        <color rgb="FFFF0000"/>
        <rFont val="Calibri"/>
        <family val="2"/>
        <scheme val="minor"/>
      </rPr>
      <t>9.SUDU6630454-40HQ</t>
    </r>
    <r>
      <rPr>
        <sz val="11"/>
        <color theme="1"/>
        <rFont val="Calibri"/>
        <family val="2"/>
        <scheme val="minor"/>
      </rPr>
      <t xml:space="preserve">
</t>
    </r>
    <r>
      <rPr>
        <sz val="11"/>
        <color rgb="FFFF0000"/>
        <rFont val="Calibri"/>
        <family val="2"/>
        <scheme val="minor"/>
      </rPr>
      <t>10.SUDU8665188-40HQ</t>
    </r>
    <r>
      <rPr>
        <sz val="11"/>
        <color theme="1"/>
        <rFont val="Calibri"/>
        <family val="2"/>
        <scheme val="minor"/>
      </rPr>
      <t xml:space="preserve">
</t>
    </r>
    <r>
      <rPr>
        <sz val="11"/>
        <color rgb="FFFF0000"/>
        <rFont val="Calibri"/>
        <family val="2"/>
        <scheme val="minor"/>
      </rPr>
      <t>11.TCKU6604143-40HQ</t>
    </r>
    <r>
      <rPr>
        <sz val="11"/>
        <color theme="1"/>
        <rFont val="Calibri"/>
        <family val="2"/>
        <scheme val="minor"/>
      </rPr>
      <t xml:space="preserve">
</t>
    </r>
    <r>
      <rPr>
        <sz val="11"/>
        <color rgb="FFFF0000"/>
        <rFont val="Calibri"/>
        <family val="2"/>
        <scheme val="minor"/>
      </rPr>
      <t>12.TCNU2822671-40HQ</t>
    </r>
  </si>
  <si>
    <r>
      <rPr>
        <sz val="11"/>
        <color rgb="FFFF0000"/>
        <rFont val="Calibri"/>
        <family val="2"/>
        <scheme val="minor"/>
      </rPr>
      <t>1.IAAU1688398-40HQ</t>
    </r>
    <r>
      <rPr>
        <sz val="11"/>
        <color theme="1"/>
        <rFont val="Calibri"/>
        <family val="2"/>
        <scheme val="minor"/>
      </rPr>
      <t xml:space="preserve">
</t>
    </r>
    <r>
      <rPr>
        <sz val="11"/>
        <color rgb="FFFF0000"/>
        <rFont val="Calibri"/>
        <family val="2"/>
        <scheme val="minor"/>
      </rPr>
      <t>2.IAAU1695170-40HQ</t>
    </r>
    <r>
      <rPr>
        <sz val="11"/>
        <color theme="1"/>
        <rFont val="Calibri"/>
        <family val="2"/>
        <scheme val="minor"/>
      </rPr>
      <t xml:space="preserve">
</t>
    </r>
    <r>
      <rPr>
        <sz val="11"/>
        <color rgb="FFFF0000"/>
        <rFont val="Calibri"/>
        <family val="2"/>
        <scheme val="minor"/>
      </rPr>
      <t>3.IAAU1696639-40HQ</t>
    </r>
    <r>
      <rPr>
        <sz val="11"/>
        <color theme="1"/>
        <rFont val="Calibri"/>
        <family val="2"/>
        <scheme val="minor"/>
      </rPr>
      <t xml:space="preserve">
</t>
    </r>
    <r>
      <rPr>
        <sz val="11"/>
        <color rgb="FFFF0000"/>
        <rFont val="Calibri"/>
        <family val="2"/>
        <scheme val="minor"/>
      </rPr>
      <t>4.IAAU1698307-40HQ</t>
    </r>
    <r>
      <rPr>
        <sz val="11"/>
        <color theme="1"/>
        <rFont val="Calibri"/>
        <family val="2"/>
        <scheme val="minor"/>
      </rPr>
      <t xml:space="preserve">
</t>
    </r>
    <r>
      <rPr>
        <sz val="11"/>
        <color rgb="FFFF0000"/>
        <rFont val="Calibri"/>
        <family val="2"/>
        <scheme val="minor"/>
      </rPr>
      <t>5.IAAU1757544-40HQ</t>
    </r>
    <r>
      <rPr>
        <sz val="11"/>
        <color theme="1"/>
        <rFont val="Calibri"/>
        <family val="2"/>
        <scheme val="minor"/>
      </rPr>
      <t xml:space="preserve">
</t>
    </r>
    <r>
      <rPr>
        <sz val="11"/>
        <color rgb="FFFF0000"/>
        <rFont val="Calibri"/>
        <family val="2"/>
        <scheme val="minor"/>
      </rPr>
      <t>6.IAAU1766973-40HQ</t>
    </r>
    <r>
      <rPr>
        <sz val="11"/>
        <color theme="1"/>
        <rFont val="Calibri"/>
        <family val="2"/>
        <scheme val="minor"/>
      </rPr>
      <t xml:space="preserve">
</t>
    </r>
    <r>
      <rPr>
        <sz val="11"/>
        <color rgb="FFFF0000"/>
        <rFont val="Calibri"/>
        <family val="2"/>
        <scheme val="minor"/>
      </rPr>
      <t>7.IAAU1767835-40HQ</t>
    </r>
    <r>
      <rPr>
        <sz val="11"/>
        <color theme="1"/>
        <rFont val="Calibri"/>
        <family val="2"/>
        <scheme val="minor"/>
      </rPr>
      <t xml:space="preserve">
</t>
    </r>
    <r>
      <rPr>
        <sz val="11"/>
        <color rgb="FFFF0000"/>
        <rFont val="Calibri"/>
        <family val="2"/>
        <scheme val="minor"/>
      </rPr>
      <t>8.IAAU1898558-40HQ</t>
    </r>
    <r>
      <rPr>
        <sz val="11"/>
        <color theme="1"/>
        <rFont val="Calibri"/>
        <family val="2"/>
        <scheme val="minor"/>
      </rPr>
      <t xml:space="preserve">
</t>
    </r>
    <r>
      <rPr>
        <sz val="11"/>
        <color rgb="FFFF0000"/>
        <rFont val="Calibri"/>
        <family val="2"/>
        <scheme val="minor"/>
      </rPr>
      <t>9.IAAU1946213-40HQ</t>
    </r>
    <r>
      <rPr>
        <sz val="11"/>
        <color theme="1"/>
        <rFont val="Calibri"/>
        <family val="2"/>
        <scheme val="minor"/>
      </rPr>
      <t xml:space="preserve">
</t>
    </r>
    <r>
      <rPr>
        <sz val="11"/>
        <color rgb="FFFF0000"/>
        <rFont val="Calibri"/>
        <family val="2"/>
        <scheme val="minor"/>
      </rPr>
      <t>10.IAAU1957882-40HQ</t>
    </r>
    <r>
      <rPr>
        <sz val="11"/>
        <color theme="1"/>
        <rFont val="Calibri"/>
        <family val="2"/>
        <scheme val="minor"/>
      </rPr>
      <t xml:space="preserve">
</t>
    </r>
    <r>
      <rPr>
        <sz val="11"/>
        <color rgb="FFFF0000"/>
        <rFont val="Calibri"/>
        <family val="2"/>
        <scheme val="minor"/>
      </rPr>
      <t>11.IAAU1964027-40HQ</t>
    </r>
    <r>
      <rPr>
        <sz val="11"/>
        <color theme="1"/>
        <rFont val="Calibri"/>
        <family val="2"/>
        <scheme val="minor"/>
      </rPr>
      <t xml:space="preserve">
</t>
    </r>
    <r>
      <rPr>
        <sz val="11"/>
        <color rgb="FFFF0000"/>
        <rFont val="Calibri"/>
        <family val="2"/>
        <scheme val="minor"/>
      </rPr>
      <t>12.IAAU1980223-40HQ</t>
    </r>
  </si>
  <si>
    <t>CHQ00TRP24069930</t>
  </si>
  <si>
    <t>CHQ00TRP240610220</t>
  </si>
  <si>
    <t>CHQ00TRP240610129</t>
  </si>
  <si>
    <t>24202</t>
  </si>
  <si>
    <t>SHAWD074350</t>
  </si>
  <si>
    <t>E240781997181042</t>
  </si>
  <si>
    <t>24203</t>
  </si>
  <si>
    <t>SHAWD074483</t>
  </si>
  <si>
    <t>1.MRKU3486306-40HQ
2.MRSU4699150-40HQ
3.PONU8173902-40HQ</t>
  </si>
  <si>
    <t>#៥២ ផ្លូវ ៥៩៨ សង្កាត់ បឹងកក់ទី២ ខណ្ឌ ទួលគោក រាជធានីភ្នំពេញ 
(VAT)លេខៈ L001-100114229</t>
  </si>
  <si>
    <t>#៥២ ផ្លូវ ៥៩៨ សង្កាត់ បឹងកក់ទី២ ខណ្ឌ ទួលគោក រាជធានីភ្នំពេញ (VAT)លេខៈ L001-100114229</t>
  </si>
  <si>
    <t>L001-100114229</t>
  </si>
  <si>
    <t>E240781997181084</t>
  </si>
  <si>
    <t>24204</t>
  </si>
  <si>
    <t>CPWBKKKHPNH036156</t>
  </si>
  <si>
    <t>ENS2024-12-001</t>
  </si>
  <si>
    <t>LED 50W</t>
  </si>
  <si>
    <t>ENSYS CO.,LTD</t>
  </si>
  <si>
    <t>24205</t>
  </si>
  <si>
    <t>YMJAI236408818</t>
  </si>
  <si>
    <t>SUVANNAPHUM INVESTMENT CO.,LTD</t>
  </si>
  <si>
    <t>HS24-SI-E-001</t>
  </si>
  <si>
    <t>26 PACKAGES</t>
  </si>
  <si>
    <t>CHINA HAISUM ENGINEERING</t>
  </si>
  <si>
    <t>Water Treatment Plant, Chloride Dioxide (ClO2) dosing system（with control box), Wastewater Treatment Plant, Screw pump Q=10m3/h, Screw pump Q=0.75m3/h, Aeration jet system HL=6.5m, Aeration Blower（with control box） 45Nm3/min 68.6kPa, Digest blower（with control box） 45Nm3/min，55kPa</t>
  </si>
  <si>
    <t>INTERASIA VISION V.S074</t>
  </si>
  <si>
    <t>NEWPORT CYPRESS 16 V.373W</t>
  </si>
  <si>
    <t>1.TGBU7097752 -40HQ,2.TGBU5158400-40HQ, 
3.FCIU6261531-20DC</t>
  </si>
  <si>
    <t>24206</t>
  </si>
  <si>
    <t>24207</t>
  </si>
  <si>
    <t>SHAWD074499</t>
  </si>
  <si>
    <t>E240781997181097</t>
  </si>
  <si>
    <t>NEW CAR MG 7, 1.5T AT DEL, 2025</t>
  </si>
  <si>
    <t>1.MRSU3898543-40HQ
2.TCKU7852123-40HQ</t>
  </si>
  <si>
    <t>24208</t>
  </si>
  <si>
    <t>SHAWD074560</t>
  </si>
  <si>
    <t>E240781997181096</t>
  </si>
  <si>
    <t>1.BSIU9843364-40HQ
2.CAAU6625822-40HQ
3.CAAU7184697-40HQ
4.MRKU3361227-40HQ
5.MRKU5444465-40HQ
6.MRSU5967140-40HQ
7.TCLU6370931-40HQ
8.TCNU5813138-40HQ</t>
  </si>
  <si>
    <t>MAERSK NACKA V.449S</t>
  </si>
  <si>
    <t>PHUOC LONG 12 V.207W</t>
  </si>
  <si>
    <t>SuSEZ</t>
  </si>
  <si>
    <r>
      <rPr>
        <sz val="11"/>
        <color rgb="FFFF0000"/>
        <rFont val="Calibri"/>
        <family val="2"/>
        <scheme val="minor"/>
      </rPr>
      <t>1.IAAU1014338-40HQ</t>
    </r>
    <r>
      <rPr>
        <sz val="11"/>
        <color theme="1"/>
        <rFont val="Calibri"/>
        <family val="2"/>
        <scheme val="minor"/>
      </rPr>
      <t xml:space="preserve">
</t>
    </r>
    <r>
      <rPr>
        <sz val="11"/>
        <color rgb="FFFF0000"/>
        <rFont val="Calibri"/>
        <family val="2"/>
        <scheme val="minor"/>
      </rPr>
      <t>2.IAAU1014446-40HQ</t>
    </r>
    <r>
      <rPr>
        <sz val="11"/>
        <color theme="1"/>
        <rFont val="Calibri"/>
        <family val="2"/>
        <scheme val="minor"/>
      </rPr>
      <t xml:space="preserve">
</t>
    </r>
    <r>
      <rPr>
        <sz val="11"/>
        <color rgb="FFFF0000"/>
        <rFont val="Calibri"/>
        <family val="2"/>
        <scheme val="minor"/>
      </rPr>
      <t>3.IAAU1015756-40HQ</t>
    </r>
    <r>
      <rPr>
        <sz val="11"/>
        <color theme="1"/>
        <rFont val="Calibri"/>
        <family val="2"/>
        <scheme val="minor"/>
      </rPr>
      <t xml:space="preserve">
</t>
    </r>
    <r>
      <rPr>
        <sz val="11"/>
        <color rgb="FFFF0000"/>
        <rFont val="Calibri"/>
        <family val="2"/>
        <scheme val="minor"/>
      </rPr>
      <t>4.IAAU1015910-40HQ</t>
    </r>
  </si>
  <si>
    <t>550 SET</t>
  </si>
  <si>
    <t>1.TXGU5303380-40HC</t>
  </si>
  <si>
    <t>កាលបរិច្ឆេទចន្ទគិតិខ្មែរ ២០២៥</t>
  </si>
  <si>
    <t>ថ្ងៃពុធ ៣កើត ខែបុស្ស ឆ្នាំរោង ឆស័ក ព.ស.២៥៦៨</t>
  </si>
  <si>
    <t>ថ្ងៃព្រហស្បតិ៍ ៤កើត ខែបុស្ស ឆ្នាំរោង ឆស័ក ព.ស.២៥៦៨</t>
  </si>
  <si>
    <t>ថ្ងៃសុក្រ ៥កើត ខែបុស្ស ឆ្នាំរោង ឆស័ក ព.ស.២៥៦៨</t>
  </si>
  <si>
    <t>ថ្ងៃសៅរ៍ ៦កើត ខែបុស្ស ឆ្នាំរោង ឆស័ក ព.ស.២៥៦៨</t>
  </si>
  <si>
    <t>Kelly Technic</t>
  </si>
  <si>
    <t>ថ្ងៃអាទិត្យ ៧កើត ខែបុស្ស ឆ្នាំរោង ឆស័ក ព.ស.២៥៦៨</t>
  </si>
  <si>
    <t>ថ្ងៃចន្ទ ៨កើត ខែបុស្ស ឆ្នាំរោង ឆស័ក ព.ស.២៥៦៨</t>
  </si>
  <si>
    <t>ថ្ងៃអង្គារ ៩កើត ខែបុស្ស ឆ្នាំរោង ឆស័ក ព.ស.២៥៦៨</t>
  </si>
  <si>
    <t>ថ្ងៃពុធ ១០កើត ខែបុស្ស ឆ្នាំរោង ឆស័ក ព.ស.២៥៦៨</t>
  </si>
  <si>
    <t>ថ្ងៃព្រហស្បតិ៍ ១១កើត ខែបុស្ស ឆ្នាំរោង ឆស័ក ព.ស.២៥៦៨</t>
  </si>
  <si>
    <t>ថ្ងៃសុក្រ ១២កើត ខែបុស្ស ឆ្នាំរោង ឆស័ក ព.ស.២៥៦៨</t>
  </si>
  <si>
    <t>ថ្ងៃសៅរ៍ ១៣កើត ខែបុស្ស ឆ្នាំរោង ឆស័ក ព.ស.២៥៦៨</t>
  </si>
  <si>
    <t>ថ្ងៃអាទិត្យ ១៤កើត ខែបុស្ស ឆ្នាំរោង ឆស័ក ព.ស.២៥៦៨</t>
  </si>
  <si>
    <t>ថ្ងៃចន្ទ ១៥កើត ខែបុស្ស ឆ្នាំរោង ឆស័ក ព.ស.២៥៦៨</t>
  </si>
  <si>
    <t>ថ្ងៃអង្គារ ១រោច ខែបុស្ស ឆ្នាំរោង ឆស័ក ព.ស.២៥៦៨</t>
  </si>
  <si>
    <t>ថ្ងៃពុធ ២រោច ខែបុស្ស ឆ្នាំរោង ឆស័ក ព.ស.២៥៦៨</t>
  </si>
  <si>
    <t>ថ្ងៃព្រហស្បតិ៍ ៣រោច ខែបុស្ស ឆ្នាំរោង ឆស័ក ព.ស.២៥៦៨</t>
  </si>
  <si>
    <t>ថ្ងៃសុក្រ ៤រោច ខែបុស្ស ឆ្នាំរោង ឆស័ក ព.ស.២៥៦៨</t>
  </si>
  <si>
    <t>ថ្ងៃសៅរ៍ ៥រោច ខែបុស្ស ឆ្នាំរោង ឆស័ក ព.ស.២៥៦៨</t>
  </si>
  <si>
    <t>ថ្ងៃអាទិត្យ ៦រោច ខែបុស្ស ឆ្នាំរោង ឆស័ក ព.ស.២៥៦៨</t>
  </si>
  <si>
    <t>ថ្ងៃចន្ទ ៧រោច ខែបុស្ស ឆ្នាំរោង ឆស័ក ព.ស.២៥៦៨</t>
  </si>
  <si>
    <t>ថ្ងៃអង្គារ ៨រោច ខែបុស្ស ឆ្នាំរោង ឆស័ក ព.ស.២៥៦៨</t>
  </si>
  <si>
    <t>ថ្ងៃពុធ ៩រោច ខែបុស្ស ឆ្នាំរោង ឆស័ក ព.ស.២៥៦៨</t>
  </si>
  <si>
    <t>ថ្ងៃព្រហស្បតិ៍ ១០រោច ខែបុស្ស ឆ្នាំរោង ឆស័ក ព.ស.២៥៦៨</t>
  </si>
  <si>
    <t>ថ្ងៃសុក្រ ១១រោច ខែបុស្ស ឆ្នាំរោង ឆស័ក ព.ស.២៥៦៨</t>
  </si>
  <si>
    <t>ថ្ងៃសៅរ៍ ១២រោច ខែបុស្ស ឆ្នាំរោង ឆស័ក ព.ស.២៥៦៨</t>
  </si>
  <si>
    <t>ថ្ងៃអាទិត្យ ១៣រោច ខែបុស្ស ឆ្នាំរោង ឆស័ក ព.ស.២៥៦៨</t>
  </si>
  <si>
    <t>ថ្ងៃចន្ទ ១៤រោច ខែបុស្ស ឆ្នាំរោង ឆស័ក ព.ស.២៥៦៨</t>
  </si>
  <si>
    <t>ថ្ងៃអង្គារ ១៥រោច ខែបុស្ស ឆ្នាំរោង ឆស័ក ព.ស.២៥៦៨</t>
  </si>
  <si>
    <t>ថ្ងៃពុធ ១កើត ខែមាឃ ឆ្នាំរោង ឆស័ក ព.ស.២៥៦៨</t>
  </si>
  <si>
    <t>ថ្ងៃព្រហស្បតិ៍ ២កើត ខែមាឃ ឆ្នាំរោង ឆស័ក ព.ស.២៥៦៨</t>
  </si>
  <si>
    <t>ថ្ងៃសុក្រ ៣កើត ខែមាឃ ឆ្នាំរោង ឆស័ក ព.ស.២៥៦៨</t>
  </si>
  <si>
    <t>ថ្ងៃសៅរ៍ ៤កើត ខែមាឃ ឆ្នាំរោង ឆស័ក ព.ស.២៥៦៨</t>
  </si>
  <si>
    <t>ថ្ងៃអាទិត្យ ៥កើត ខែមាឃ ឆ្នាំរោង ឆស័ក ព.ស.២៥៦៨</t>
  </si>
  <si>
    <t>ថ្ងៃចន្ទ ៦កើត ខែមាឃ ឆ្នាំរោង ឆស័ក ព.ស.២៥៦៨</t>
  </si>
  <si>
    <t>ថ្ងៃអង្គារ ៧កើត ខែមាឃ ឆ្នាំរោង ឆស័ក ព.ស.២៥៦៨</t>
  </si>
  <si>
    <t>ថ្ងៃពុធ ៨កើត ខែមាឃ ឆ្នាំរោង ឆស័ក ព.ស.២៥៦៨</t>
  </si>
  <si>
    <t>ថ្ងៃព្រហស្បតិ៍ ៩កើត ខែមាឃ ឆ្នាំរោង ឆស័ក ព.ស.២៥៦៨</t>
  </si>
  <si>
    <t>ថ្ងៃសុក្រ ១០កើត ខែមាឃ ឆ្នាំរោង ឆស័ក ព.ស.២៥៦៨</t>
  </si>
  <si>
    <t>ថ្ងៃសៅរ៍ ១១កើត ខែមាឃ ឆ្នាំរោង ឆស័ក ព.ស.២៥៦៨</t>
  </si>
  <si>
    <t>ថ្ងៃអាទិត្យ ១២កើត ខែមាឃ ឆ្នាំរោង ឆស័ក ព.ស.២៥៦៨</t>
  </si>
  <si>
    <t>ថ្ងៃចន្ទ ១៣កើត ខែមាឃ ឆ្នាំរោង ឆស័ក ព.ស.២៥៦៨</t>
  </si>
  <si>
    <t>ថ្ងៃអង្គារ ១៤កើត ខែមាឃ ឆ្នាំរោង ឆស័ក ព.ស.២៥៦៨</t>
  </si>
  <si>
    <t>ថ្ងៃពុធ ១៥កើត ខែមាឃ ឆ្នាំរោង ឆស័ក ព.ស.២៥៦៨</t>
  </si>
  <si>
    <t>ថ្ងៃព្រហស្បតិ៍ ១រោច ខែមាឃ ឆ្នាំរោង ឆស័ក ព.ស.២៥៦៨</t>
  </si>
  <si>
    <t>ថ្ងៃសុក្រ ២រោច ខែមាឃ ឆ្នាំរោង ឆស័ក ព.ស.២៥៦៨</t>
  </si>
  <si>
    <t>ថ្ងៃសៅរ៍ ៣រោច ខែមាឃ ឆ្នាំរោង ឆស័ក ព.ស.២៥៦៨</t>
  </si>
  <si>
    <t>ថ្ងៃអាទិត្យ ៤រោច ខែមាឃ ឆ្នាំរោង ឆស័ក ព.ស.២៥៦៨</t>
  </si>
  <si>
    <t>ថ្ងៃចន្ទ ៥រោច ខែមាឃ ឆ្នាំរោង ឆស័ក ព.ស.២៥៦៨</t>
  </si>
  <si>
    <t>ថ្ងៃអង្គារ ៦រោច ខែមាឃ ឆ្នាំរោង ឆស័ក ព.ស.២៥៦៨</t>
  </si>
  <si>
    <t>ថ្ងៃពុធ ៧រោច ខែមាឃ ឆ្នាំរោង ឆស័ក ព.ស.២៥៦៨</t>
  </si>
  <si>
    <t>ថ្ងៃព្រហស្បតិ៍ ៨រោច ខែមាឃ ឆ្នាំរោង ឆស័ក ព.ស.២៥៦៨</t>
  </si>
  <si>
    <t>ថ្ងៃសុក្រ ៩រោច ខែមាឃ ឆ្នាំរោង ឆស័ក ព.ស.២៥៦៨</t>
  </si>
  <si>
    <t>ថ្ងៃសៅរ៍ ១០រោច ខែមាឃ ឆ្នាំរោង ឆស័ក ព.ស.២៥៦៨</t>
  </si>
  <si>
    <t>ថ្ងៃអាទិត្យ ១១រោច ខែមាឃ ឆ្នាំរោង ឆស័ក ព.ស.២៥៦៨</t>
  </si>
  <si>
    <t>ថ្ងៃចន្ទ ១២រោច ខែមាឃ ឆ្នាំរោង ឆស័ក ព.ស.២៥៦៨</t>
  </si>
  <si>
    <t>ថ្ងៃអង្គារ ១៣រោច ខែមាឃ ឆ្នាំរោង ឆស័ក ព.ស.២៥៦៨</t>
  </si>
  <si>
    <t>ថ្ងៃពុធ ១៤រោច ខែមាឃ ឆ្នាំរោង ឆស័ក ព.ស.២៥៦៨</t>
  </si>
  <si>
    <t>ថ្ងៃព្រហស្បតិ៍ ១កើត ខែផល្គុន ឆ្នាំរោង ឆស័ក ព.ស.២៥៦៨</t>
  </si>
  <si>
    <t>ថ្ងៃសុក្រ ២កើត ខែផល្គុន ឆ្នាំរោង ឆស័ក ព.ស.២៥៦៨</t>
  </si>
  <si>
    <t>ថ្ងៃសៅរ៍ ៣កើត ខែផល្គុន ឆ្នាំរោង ឆស័ក ព.ស.២៥៦៨</t>
  </si>
  <si>
    <t>ថ្ងៃអាទិត្យ ៤កើត ខែផល្គុន ឆ្នាំរោង ឆស័ក ព.ស.២៥៦៨</t>
  </si>
  <si>
    <t>ថ្ងៃចន្ទ ៥កើត ខែផល្គុន ឆ្នាំរោង ឆស័ក ព.ស.២៥៦៨</t>
  </si>
  <si>
    <t>ថ្ងៃអង្គារ ៦កើត ខែផល្គុន ឆ្នាំរោង ឆស័ក ព.ស.២៥៦៨</t>
  </si>
  <si>
    <t>ថ្ងៃពុធ ៧កើត ខែផល្គុន ឆ្នាំរោង ឆស័ក ព.ស.២៥៦៨</t>
  </si>
  <si>
    <t>ថ្ងៃព្រហស្បតិ៍ ៨កើត ខែផល្គុន ឆ្នាំរោង ឆស័ក ព.ស.២៥៦៨</t>
  </si>
  <si>
    <t>ថ្ងៃសុក្រ ៩កើត ខែផល្គុន ឆ្នាំរោង ឆស័ក ព.ស.២៥៦៨</t>
  </si>
  <si>
    <t>ថ្ងៃសៅរ៍ ១០កើត ខែផល្គុន ឆ្នាំរោង ឆស័ក ព.ស.២៥៦៨</t>
  </si>
  <si>
    <t>ថ្ងៃអាទិត្យ ១១កើត ខែផល្គុន ឆ្នាំរោង ឆស័ក ព.ស.២៥៦៨</t>
  </si>
  <si>
    <t>ថ្ងៃចន្ទ ១២កើត ខែផល្គុន ឆ្នាំរោង ឆស័ក ព.ស.២៥៦៨</t>
  </si>
  <si>
    <t>ថ្ងៃអង្គារ ១៣កើត ខែផល្គុន ឆ្នាំរោង ឆស័ក ព.ស.២៥៦៨</t>
  </si>
  <si>
    <t>ថ្ងៃពុធ ១៤កើត ខែផល្គុន ឆ្នាំរោង ឆស័ក ព.ស.២៥៦៨</t>
  </si>
  <si>
    <t>ថ្ងៃព្រហស្បតិ៍ ១៥កើត ខែផល្គុន ឆ្នាំរោង ឆស័ក ព.ស.២៥៦៨</t>
  </si>
  <si>
    <t>ថ្ងៃសុក្រ ១រោច ខែផល្គុន ឆ្នាំរោង ឆស័ក ព.ស.២៥៦៨</t>
  </si>
  <si>
    <t>ថ្ងៃសៅរ៍ ២រោច ខែផល្គុន ឆ្នាំរោង ឆស័ក ព.ស.២៥៦៨</t>
  </si>
  <si>
    <t>ថ្ងៃអាទិត្យ ៣រោច ខែផល្គុន ឆ្នាំរោង ឆស័ក ព.ស.២៥៦៨</t>
  </si>
  <si>
    <t>ថ្ងៃចន្ទ ៤រោច ខែផល្គុន ឆ្នាំរោង ឆស័ក ព.ស.២៥៦៨</t>
  </si>
  <si>
    <t>ថ្ងៃអង្គារ ៥រោច ខែផល្គុន ឆ្នាំរោង ឆស័ក ព.ស.២៥៦៨</t>
  </si>
  <si>
    <t>ថ្ងៃពុធ ៦រោច ខែផល្គុន ឆ្នាំរោង ឆស័ក ព.ស.២៥៦៨</t>
  </si>
  <si>
    <t>ថ្ងៃព្រហស្បតិ៍ ៧រោច ខែផល្គុន ឆ្នាំរោង ឆស័ក ព.ស.២៥៦៨</t>
  </si>
  <si>
    <t>ថ្ងៃសុក្រ ៨រោច ខែផល្គុន ឆ្នាំរោង ឆស័ក ព.ស.២៥៦៨</t>
  </si>
  <si>
    <t>ថ្ងៃសៅរ៍ ៩រោច ខែផល្គុន ឆ្នាំរោង ឆស័ក ព.ស.២៥៦៨</t>
  </si>
  <si>
    <t>ថ្ងៃអាទិត្យ ១០រោច ខែផល្គុន ឆ្នាំរោង ឆស័ក ព.ស.២៥៦៨</t>
  </si>
  <si>
    <t>ថ្ងៃចន្ទ ១១រោច ខែផល្គុន ឆ្នាំរោង ឆស័ក ព.ស.២៥៦៨</t>
  </si>
  <si>
    <t>ថ្ងៃអង្គារ ១២រោច ខែផល្គុន ឆ្នាំរោង ឆស័ក ព.ស.២៥៦៨</t>
  </si>
  <si>
    <t>ថ្ងៃពុធ ១៣រោច ខែផល្គុន ឆ្នាំរោង ឆស័ក ព.ស.២៥៦៨</t>
  </si>
  <si>
    <t>ថ្ងៃព្រហស្បតិ៍ ១៤រោច ខែផល្គុន ឆ្នាំរោង ឆស័ក ព.ស.២៥៦៨</t>
  </si>
  <si>
    <t>ថ្ងៃសុក្រ ១៥រោច ខែផល្គុន ឆ្នាំរោង ឆស័ក ព.ស.២៥៦៨</t>
  </si>
  <si>
    <t>ថ្ងៃសៅរ៍ ១កើត ខែចេត្រ ឆ្នាំរោង ឆស័ក ព.ស.២៥៦៨</t>
  </si>
  <si>
    <t>ថ្ងៃអាទិត្យ ២កើត ខែចេត្រ ឆ្នាំរោង ឆស័ក ព.ស.២៥៦៨</t>
  </si>
  <si>
    <t>ថ្ងៃចន្ទ ៣កើត ខែចេត្រ ឆ្នាំរោង ឆស័ក ព.ស.២៥៦៨</t>
  </si>
  <si>
    <t>ថ្ងៃអង្គារ ៤កើត ខែចេត្រ ឆ្នាំរោង ឆស័ក ព.ស.២៥៦៨</t>
  </si>
  <si>
    <t>ថ្ងៃពុធ ៥កើត ខែចេត្រ ឆ្នាំរោង ឆស័ក ព.ស.២៥៦៨</t>
  </si>
  <si>
    <t>ថ្ងៃព្រហស្បតិ៍ ៦កើត ខែចេត្រ ឆ្នាំរោង ឆស័ក ព.ស.២៥៦៨</t>
  </si>
  <si>
    <t>ថ្ងៃសុក្រ ៧កើត ខែចេត្រ ឆ្នាំរោង ឆស័ក ព.ស.២៥៦៨</t>
  </si>
  <si>
    <t>ថ្ងៃសៅរ៍ ៨កើត ខែចេត្រ ឆ្នាំរោង ឆស័ក ព.ស.២៥៦៨</t>
  </si>
  <si>
    <t>ថ្ងៃអាទិត្យ ៩កើត ខែចេត្រ ឆ្នាំរោង ឆស័ក ព.ស.២៥៦៨</t>
  </si>
  <si>
    <t>ថ្ងៃចន្ទ ១០កើត ខែចេត្រ ឆ្នាំរោង ឆស័ក ព.ស.២៥៦៨</t>
  </si>
  <si>
    <t>ថ្ងៃអង្គារ ១១កើត ខែចេត្រ ឆ្នាំរោង ឆស័ក ព.ស.២៥៦៨</t>
  </si>
  <si>
    <t>ថ្ងៃពុធ ១២កើត ខែចេត្រ ឆ្នាំរោង ឆស័ក ព.ស.២៥៦៨</t>
  </si>
  <si>
    <t>ថ្ងៃព្រហស្បតិ៍ ១៣កើត ខែចេត្រ ឆ្នាំរោង ឆស័ក ព.ស.២៥៦៨</t>
  </si>
  <si>
    <t>ថ្ងៃសុក្រ ១៤កើត ខែចេត្រ ឆ្នាំរោង ឆស័ក ព.ស.២៥៦៨</t>
  </si>
  <si>
    <t>ថ្ងៃសៅរ៍ ១៥កើត ខែចេត្រ ឆ្នាំរោង ឆស័ក ព.ស.២៥៦៨</t>
  </si>
  <si>
    <t>ថ្ងៃអាទិត្យ ១រោច ខែចេត្រ ឆ្នាំរោង ឆស័ក ព.ស.២៥៦៨</t>
  </si>
  <si>
    <t>ថ្ងៃចន្ទ ២រោច ខែចេត្រ ឆ្នាំម្សាញ់ សប្តស័ក ព.ស.២៥៦៨</t>
  </si>
  <si>
    <t>ថ្ងៃអង្គារ ៣រោច ខែចេត្រ ឆ្នាំម្សាញ់ សប្តស័ក ព.ស.២៥៦៨</t>
  </si>
  <si>
    <t>ថ្ងៃពុធ ៤រោច ខែចេត្រ ឆ្នាំម្សាញ់ សប្តស័ក ព.ស.២៥៦៨</t>
  </si>
  <si>
    <t>ថ្ងៃព្រហស្បតិ៍ ៥រោច ខែចេត្រ ឆ្នាំម្សាញ់ សប្តស័ក ព.ស.២៥៦៨</t>
  </si>
  <si>
    <t>ថ្ងៃសុក្រ ៦រោច ខែចេត្រ ឆ្នាំម្សាញ់ សប្តស័ក ព.ស.២៥៦៨</t>
  </si>
  <si>
    <t>ថ្ងៃសៅរ៍ ៧រោច ខែចេត្រ ឆ្នាំម្សាញ់ សប្តស័ក ព.ស.២៥៦៨</t>
  </si>
  <si>
    <t>ថ្ងៃអាទិត្យ ៨រោច ខែចេត្រ ឆ្នាំម្សាញ់ សប្តស័ក ព.ស.២៥៦៨</t>
  </si>
  <si>
    <t>ថ្ងៃចន្ទ ៩រោច ខែចេត្រ ឆ្នាំម្សាញ់ សប្តស័ក ព.ស.២៥៦៨</t>
  </si>
  <si>
    <t>ថ្ងៃអង្គារ ១០រោច ខែចេត្រ ឆ្នាំម្សាញ់ សប្តស័ក ព.ស.២៥៦៨</t>
  </si>
  <si>
    <t>ថ្ងៃពុធ ១១រោច ខែចេត្រ ឆ្នាំម្សាញ់ សប្តស័ក ព.ស.២៥៦៨</t>
  </si>
  <si>
    <t>ថ្ងៃព្រហស្បតិ៍ ១២រោច ខែចេត្រ ឆ្នាំម្សាញ់ សប្តស័ក ព.ស.២៥៦៨</t>
  </si>
  <si>
    <t>ថ្ងៃសុក្រ ១៣រោច ខែចេត្រ ឆ្នាំម្សាញ់ សប្តស័ក ព.ស.២៥៦៨</t>
  </si>
  <si>
    <t>ថ្ងៃសៅរ៍ ១៤រោច ខែចេត្រ ឆ្នាំម្សាញ់ សប្តស័ក ព.ស.២៥៦៨</t>
  </si>
  <si>
    <t>ថ្ងៃអាទិត្យ ១កើត ខែពិសាខ ឆ្នាំម្សាញ់ សប្តស័ក ព.ស.២៥៦៨</t>
  </si>
  <si>
    <t>ថ្ងៃចន្ទ ២កើត ខែពិសាខ ឆ្នាំម្សាញ់ សប្តស័ក ព.ស.២៥៦៨</t>
  </si>
  <si>
    <t>ថ្ងៃអង្គារ ៣កើត ខែពិសាខ ឆ្នាំម្សាញ់ សប្តស័ក ព.ស.២៥៦៨</t>
  </si>
  <si>
    <t>ថ្ងៃពុធ ៤កើត ខែពិសាខ ឆ្នាំម្សាញ់ សប្តស័ក ព.ស.២៥៦៨</t>
  </si>
  <si>
    <t>ថ្ងៃព្រហស្បតិ៍ ៥កើត ខែពិសាខ ឆ្នាំម្សាញ់ សប្តស័ក ព.ស.២៥៦៨</t>
  </si>
  <si>
    <t>ថ្ងៃសុក្រ ៦កើត ខែពិសាខ ឆ្នាំម្សាញ់ សប្តស័ក ព.ស.២៥៦៨</t>
  </si>
  <si>
    <t>ថ្ងៃសៅរ៍ ៧កើត ខែពិសាខ ឆ្នាំម្សាញ់ សប្តស័ក ព.ស.២៥៦៨</t>
  </si>
  <si>
    <t>ថ្ងៃអាទិត្យ ៨កើត ខែពិសាខ ឆ្នាំម្សាញ់ សប្តស័ក ព.ស.២៥៦៨</t>
  </si>
  <si>
    <t>ថ្ងៃចន្ទ ៩កើត ខែពិសាខ ឆ្នាំម្សាញ់ សប្តស័ក ព.ស.២៥៦៨</t>
  </si>
  <si>
    <t>ថ្ងៃអង្គារ ១០កើត ខែពិសាខ ឆ្នាំម្សាញ់ សប្តស័ក ព.ស.២៥៦៨</t>
  </si>
  <si>
    <t>ថ្ងៃពុធ ១១កើត ខែពិសាខ ឆ្នាំម្សាញ់ សប្តស័ក ព.ស.២៥៦៨</t>
  </si>
  <si>
    <t>ថ្ងៃព្រហស្បតិ៍ ១២កើត ខែពិសាខ ឆ្នាំម្សាញ់ សប្តស័ក ព.ស.២៥៦៨</t>
  </si>
  <si>
    <t>ថ្ងៃសុក្រ ១៣កើត ខែពិសាខ ឆ្នាំម្សាញ់ សប្តស័ក ព.ស.២៥៦៨</t>
  </si>
  <si>
    <t>ថ្ងៃសៅរ៍ ១៤កើត ខែពិសាខ ឆ្នាំម្សាញ់ សប្តស័ក ព.ស.២៥៦៨</t>
  </si>
  <si>
    <t>ថ្ងៃអាទិត្យ ១៥កើត ខែពិសាខ ឆ្នាំម្សាញ់ សប្តស័ក ព.ស.២៥៦៨</t>
  </si>
  <si>
    <t>ថ្ងៃចន្ទ ១រោច ខែពិសាខ ឆ្នាំម្សាញ់ សប្តស័ក ព.ស.២៥៦៩</t>
  </si>
  <si>
    <t>ថ្ងៃអង្គារ ២រោច ខែពិសាខ ឆ្នាំម្សាញ់ សប្តស័ក ព.ស.២៥៦៩</t>
  </si>
  <si>
    <t>ថ្ងៃពុធ ៣រោច ខែពិសាខ ឆ្នាំម្សាញ់ សប្តស័ក ព.ស.២៥៦៩</t>
  </si>
  <si>
    <t>ថ្ងៃព្រហស្បតិ៍ ៤រោច ខែពិសាខ ឆ្នាំម្សាញ់ សប្តស័ក ព.ស.២៥៦៩</t>
  </si>
  <si>
    <t>ថ្ងៃសុក្រ ៥រោច ខែពិសាខ ឆ្នាំម្សាញ់ សប្តស័ក ព.ស.២៥៦៩</t>
  </si>
  <si>
    <t>ថ្ងៃសៅរ៍ ៦រោច ខែពិសាខ ឆ្នាំម្សាញ់ សប្តស័ក ព.ស.២៥៦៩</t>
  </si>
  <si>
    <t>ថ្ងៃអាទិត្យ ៧រោច ខែពិសាខ ឆ្នាំម្សាញ់ សប្តស័ក ព.ស.២៥៦៩</t>
  </si>
  <si>
    <t>ថ្ងៃចន្ទ ៨រោច ខែពិសាខ ឆ្នាំម្សាញ់ សប្តស័ក ព.ស.២៥៦៩</t>
  </si>
  <si>
    <t>ថ្ងៃអង្គារ ៩រោច ខែពិសាខ ឆ្នាំម្សាញ់ សប្តស័ក ព.ស.២៥៦៩</t>
  </si>
  <si>
    <t>ថ្ងៃពុធ ១០រោច ខែពិសាខ ឆ្នាំម្សាញ់ សប្តស័ក ព.ស.២៥៦៩</t>
  </si>
  <si>
    <t>ថ្ងៃព្រហស្បតិ៍ ១១រោច ខែពិសាខ ឆ្នាំម្សាញ់ សប្តស័ក ព.ស.២៥៦៩</t>
  </si>
  <si>
    <t>ថ្ងៃសុក្រ ១២រោច ខែពិសាខ ឆ្នាំម្សាញ់ សប្តស័ក ព.ស.២៥៦៩</t>
  </si>
  <si>
    <t>ថ្ងៃសៅរ៍ ១៣រោច ខែពិសាខ ឆ្នាំម្សាញ់ សប្តស័ក ព.ស.២៥៦៩</t>
  </si>
  <si>
    <t>ថ្ងៃអាទិត្យ ១៤រោច ខែពិសាខ ឆ្នាំម្សាញ់ សប្តស័ក ព.ស.២៥៦៩</t>
  </si>
  <si>
    <t>ថ្ងៃចន្ទ ១៥រោច ខែពិសាខ ឆ្នាំម្សាញ់ សប្តស័ក ព.ស.២៥៦៩</t>
  </si>
  <si>
    <t>ថ្ងៃអង្គារ ១កើត ខែជេស្ឋ ឆ្នាំម្សាញ់ សប្តស័ក ព.ស.២៥៦៩</t>
  </si>
  <si>
    <t>ថ្ងៃពុធ ២កើត ខែជេស្ឋ ឆ្នាំម្សាញ់ សប្តស័ក ព.ស.២៥៦៩</t>
  </si>
  <si>
    <t>ថ្ងៃព្រហស្បតិ៍ ៣កើត ខែជេស្ឋ ឆ្នាំម្សាញ់ សប្តស័ក ព.ស.២៥៦៩</t>
  </si>
  <si>
    <t>ថ្ងៃសុក្រ ៤កើត ខែជេស្ឋ ឆ្នាំម្សាញ់ សប្តស័ក ព.ស.២៥៦៩</t>
  </si>
  <si>
    <t>ថ្ងៃសៅរ៍ ៥កើត ខែជេស្ឋ ឆ្នាំម្សាញ់ សប្តស័ក ព.ស.២៥៦៩</t>
  </si>
  <si>
    <t>ថ្ងៃអាទិត្យ ៦កើត ខែជេស្ឋ ឆ្នាំម្សាញ់ សប្តស័ក ព.ស.២៥៦៩</t>
  </si>
  <si>
    <t>ថ្ងៃចន្ទ ៧កើត ខែជេស្ឋ ឆ្នាំម្សាញ់ សប្តស័ក ព.ស.២៥៦៩</t>
  </si>
  <si>
    <t>ថ្ងៃអង្គារ ៨កើត ខែជេស្ឋ ឆ្នាំម្សាញ់ សប្តស័ក ព.ស.២៥៦៩</t>
  </si>
  <si>
    <t>ថ្ងៃពុធ ៩កើត ខែជេស្ឋ ឆ្នាំម្សាញ់ សប្តស័ក ព.ស.២៥៦៩</t>
  </si>
  <si>
    <t>ថ្ងៃព្រហស្បតិ៍ ១០កើត ខែជេស្ឋ ឆ្នាំម្សាញ់ សប្តស័ក ព.ស.២៥៦៩</t>
  </si>
  <si>
    <t>ថ្ងៃសុក្រ ១១កើត ខែជេស្ឋ ឆ្នាំម្សាញ់ សប្តស័ក ព.ស.២៥៦៩</t>
  </si>
  <si>
    <t>ថ្ងៃសៅរ៍ ១២កើត ខែជេស្ឋ ឆ្នាំម្សាញ់ សប្តស័ក ព.ស.២៥៦៩</t>
  </si>
  <si>
    <t>ថ្ងៃអាទិត្យ ១៣កើត ខែជេស្ឋ ឆ្នាំម្សាញ់ សប្តស័ក ព.ស.២៥៦៩</t>
  </si>
  <si>
    <t>ថ្ងៃចន្ទ ១៤កើត ខែជេស្ឋ ឆ្នាំម្សាញ់ សប្តស័ក ព.ស.២៥៦៩</t>
  </si>
  <si>
    <t>ថ្ងៃអង្គារ ១៥កើត ខែជេស្ឋ ឆ្នាំម្សាញ់ សប្តស័ក ព.ស.២៥៦៩</t>
  </si>
  <si>
    <t>ថ្ងៃពុធ ១រោច ខែជេស្ឋ ឆ្នាំម្សាញ់ សប្តស័ក ព.ស.២៥៦៩</t>
  </si>
  <si>
    <t>ថ្ងៃព្រហស្បតិ៍ ២រោច ខែជេស្ឋ ឆ្នាំម្សាញ់ សប្តស័ក ព.ស.២៥៦៩</t>
  </si>
  <si>
    <t>ថ្ងៃសុក្រ ៣រោច ខែជេស្ឋ ឆ្នាំម្សាញ់ សប្តស័ក ព.ស.២៥៦៩</t>
  </si>
  <si>
    <t>ថ្ងៃសៅរ៍ ៤រោច ខែជេស្ឋ ឆ្នាំម្សាញ់ សប្តស័ក ព.ស.២៥៦៩</t>
  </si>
  <si>
    <t>ថ្ងៃអាទិត្យ ៥រោច ខែជេស្ឋ ឆ្នាំម្សាញ់ សប្តស័ក ព.ស.២៥៦៩</t>
  </si>
  <si>
    <t>ថ្ងៃចន្ទ ៦រោច ខែជេស្ឋ ឆ្នាំម្សាញ់ សប្តស័ក ព.ស.២៥៦៩</t>
  </si>
  <si>
    <t>ថ្ងៃអង្គារ ៧រោច ខែជេស្ឋ ឆ្នាំម្សាញ់ សប្តស័ក ព.ស.២៥៦៩</t>
  </si>
  <si>
    <t>ថ្ងៃពុធ ៨រោច ខែជេស្ឋ ឆ្នាំម្សាញ់ សប្តស័ក ព.ស.២៥៦៩</t>
  </si>
  <si>
    <t>ថ្ងៃព្រហស្បតិ៍ ៩រោច ខែជេស្ឋ ឆ្នាំម្សាញ់ សប្តស័ក ព.ស.២៥៦៩</t>
  </si>
  <si>
    <t>ថ្ងៃសុក្រ ១០រោច ខែជេស្ឋ ឆ្នាំម្សាញ់ សប្តស័ក ព.ស.២៥៦៩</t>
  </si>
  <si>
    <t>ថ្ងៃសៅរ៍ ១១រោច ខែជេស្ឋ ឆ្នាំម្សាញ់ សប្តស័ក ព.ស.២៥៦៩</t>
  </si>
  <si>
    <t>ថ្ងៃអាទិត្យ ១២រោច ខែជេស្ឋ ឆ្នាំម្សាញ់ សប្តស័ក ព.ស.២៥៦៩</t>
  </si>
  <si>
    <t>ថ្ងៃចន្ទ ១៣រោច ខែជេស្ឋ ឆ្នាំម្សាញ់ សប្តស័ក ព.ស.២៥៦៩</t>
  </si>
  <si>
    <t>ថ្ងៃអង្គារ ១៤រោច ខែជេស្ឋ ឆ្នាំម្សាញ់ សប្តស័ក ព.ស.២៥៦៩</t>
  </si>
  <si>
    <t>ថ្ងៃពុធ ១៥រោច ខែជេស្ឋ ឆ្នាំម្សាញ់ សប្តស័ក ព.ស.២៥៦៩</t>
  </si>
  <si>
    <t>ថ្ងៃព្រហស្បតិ៍ ១កើត ខែអាសាឍ ឆ្នាំម្សាញ់ សប្តស័ក ព.ស.២៥៦៩</t>
  </si>
  <si>
    <t>ថ្ងៃសុក្រ ២កើត ខែអាសាឍ ឆ្នាំម្សាញ់ សប្តស័ក ព.ស.២៥៦៩</t>
  </si>
  <si>
    <t>ថ្ងៃសៅរ៍ ៣កើត ខែអាសាឍ ឆ្នាំម្សាញ់ សប្តស័ក ព.ស.២៥៦៩</t>
  </si>
  <si>
    <t>ថ្ងៃអាទិត្យ ៤កើត ខែអាសាឍ ឆ្នាំម្សាញ់ សប្តស័ក ព.ស.២៥៦៩</t>
  </si>
  <si>
    <t>ថ្ងៃចន្ទ ៥កើត ខែអាសាឍ ឆ្នាំម្សាញ់ សប្តស័ក ព.ស.២៥៦៩</t>
  </si>
  <si>
    <t>ថ្ងៃអង្គារ ៦កើត ខែអាសាឍ ឆ្នាំម្សាញ់ សប្តស័ក ព.ស.២៥៦៩</t>
  </si>
  <si>
    <t>ថ្ងៃពុធ ៧កើត ខែអាសាឍ ឆ្នាំម្សាញ់ សប្តស័ក ព.ស.២៥៦៩</t>
  </si>
  <si>
    <t>ថ្ងៃព្រហស្បតិ៍ ៨កើត ខែអាសាឍ ឆ្នាំម្សាញ់ សប្តស័ក ព.ស.២៥៦៩</t>
  </si>
  <si>
    <t>ថ្ងៃសុក្រ ៩កើត ខែអាសាឍ ឆ្នាំម្សាញ់ សប្តស័ក ព.ស.២៥៦៩</t>
  </si>
  <si>
    <t>ថ្ងៃសៅរ៍ ១០កើត ខែអាសាឍ ឆ្នាំម្សាញ់ សប្តស័ក ព.ស.២៥៦៩</t>
  </si>
  <si>
    <t>ថ្ងៃអាទិត្យ ១១កើត ខែអាសាឍ ឆ្នាំម្សាញ់ សប្តស័ក ព.ស.២៥៦៩</t>
  </si>
  <si>
    <t>ថ្ងៃចន្ទ ១២កើត ខែអាសាឍ ឆ្នាំម្សាញ់ សប្តស័ក ព.ស.២៥៦៩</t>
  </si>
  <si>
    <t>ថ្ងៃអង្គារ ១៣កើត ខែអាសាឍ ឆ្នាំម្សាញ់ សប្តស័ក ព.ស.២៥៦៩</t>
  </si>
  <si>
    <t>ថ្ងៃពុធ ១៤កើត ខែអាសាឍ ឆ្នាំម្សាញ់ សប្តស័ក ព.ស.២៥៦៩</t>
  </si>
  <si>
    <t>ថ្ងៃព្រហស្បតិ៍ ១៥កើត ខែអាសាឍ ឆ្នាំម្សាញ់ សប្តស័ក ព.ស.២៥៦៩</t>
  </si>
  <si>
    <t>ថ្ងៃសុក្រ ១រោច ខែអាសាឍ ឆ្នាំម្សាញ់ សប្តស័ក ព.ស.២៥៦៩</t>
  </si>
  <si>
    <t>ថ្ងៃសៅរ៍ ២រោច ខែអាសាឍ ឆ្នាំម្សាញ់ សប្តស័ក ព.ស.២៥៦៩</t>
  </si>
  <si>
    <t>ថ្ងៃអាទិត្យ ៣រោច ខែអាសាឍ ឆ្នាំម្សាញ់ សប្តស័ក ព.ស.២៥៦៩</t>
  </si>
  <si>
    <t>ថ្ងៃចន្ទ ៤រោច ខែអាសាឍ ឆ្នាំម្សាញ់ សប្តស័ក ព.ស.២៥៦៩</t>
  </si>
  <si>
    <t>ថ្ងៃអង្គារ ៥រោច ខែអាសាឍ ឆ្នាំម្សាញ់ សប្តស័ក ព.ស.២៥៦៩</t>
  </si>
  <si>
    <t>ថ្ងៃពុធ ៦រោច ខែអាសាឍ ឆ្នាំម្សាញ់ សប្តស័ក ព.ស.២៥៦៩</t>
  </si>
  <si>
    <t>ថ្ងៃព្រហស្បតិ៍ ៧រោច ខែអាសាឍ ឆ្នាំម្សាញ់ សប្តស័ក ព.ស.២៥៦៩</t>
  </si>
  <si>
    <t>ថ្ងៃសុក្រ ៨រោច ខែអាសាឍ ឆ្នាំម្សាញ់ សប្តស័ក ព.ស.២៥៦៩</t>
  </si>
  <si>
    <t>ថ្ងៃសៅរ៍ ៩រោច ខែអាសាឍ ឆ្នាំម្សាញ់ សប្តស័ក ព.ស.២៥៦៩</t>
  </si>
  <si>
    <t>ថ្ងៃអាទិត្យ ១០រោច ខែអាសាឍ ឆ្នាំម្សាញ់ សប្តស័ក ព.ស.២៥៦៩</t>
  </si>
  <si>
    <t>ថ្ងៃចន្ទ ១១រោច ខែអាសាឍ ឆ្នាំម្សាញ់ សប្តស័ក ព.ស.២៥៦៩</t>
  </si>
  <si>
    <t>ថ្ងៃអង្គារ ១២រោច ខែអាសាឍ ឆ្នាំម្សាញ់ សប្តស័ក ព.ស.២៥៦៩</t>
  </si>
  <si>
    <t>ថ្ងៃពុធ ១៣រោច ខែអាសាឍ ឆ្នាំម្សាញ់ សប្តស័ក ព.ស.២៥៦៩</t>
  </si>
  <si>
    <t>ថ្ងៃព្រហស្បតិ៍ ១៤រោច ខែអាសាឍ ឆ្នាំម្សាញ់ សប្តស័ក ព.ស.២៥៦៩</t>
  </si>
  <si>
    <t>ថ្ងៃសុក្រ ១៥រោច ខែអាសាឍ ឆ្នាំម្សាញ់ សប្តស័ក ព.ស.២៥៦៩</t>
  </si>
  <si>
    <t>ថ្ងៃសៅរ៍ ១កើត ខែស្រាពណ៍ ឆ្នាំម្សាញ់ សប្តស័ក ព.ស.២៥៦៩</t>
  </si>
  <si>
    <t>ថ្ងៃអាទិត្យ ២កើត ខែស្រាពណ៍ ឆ្នាំម្សាញ់ សប្តស័ក ព.ស.២៥៦៩</t>
  </si>
  <si>
    <t>ថ្ងៃចន្ទ ៣កើត ខែស្រាពណ៍ ឆ្នាំម្សាញ់ សប្តស័ក ព.ស.២៥៦៩</t>
  </si>
  <si>
    <t>ថ្ងៃអង្គារ ៤កើត ខែស្រាពណ៍ ឆ្នាំម្សាញ់ សប្តស័ក ព.ស.២៥៦៩</t>
  </si>
  <si>
    <t>ថ្ងៃពុធ ៥កើត ខែស្រាពណ៍ ឆ្នាំម្សាញ់ សប្តស័ក ព.ស.២៥៦៩</t>
  </si>
  <si>
    <t>ថ្ងៃព្រហស្បតិ៍ ៦កើត ខែស្រាពណ៍ ឆ្នាំម្សាញ់ សប្តស័ក ព.ស.២៥៦៩</t>
  </si>
  <si>
    <t>ថ្ងៃសុក្រ ៧កើត ខែស្រាពណ៍ ឆ្នាំម្សាញ់ សប្តស័ក ព.ស.២៥៦៩</t>
  </si>
  <si>
    <t>ថ្ងៃសៅរ៍ ៨កើត ខែស្រាពណ៍ ឆ្នាំម្សាញ់ សប្តស័ក ព.ស.២៥៦៩</t>
  </si>
  <si>
    <t>ថ្ងៃអាទិត្យ ៩កើត ខែស្រាពណ៍ ឆ្នាំម្សាញ់ សប្តស័ក ព.ស.២៥៦៩</t>
  </si>
  <si>
    <t>ថ្ងៃចន្ទ ១០កើត ខែស្រាពណ៍ ឆ្នាំម្សាញ់ សប្តស័ក ព.ស.២៥៦៩</t>
  </si>
  <si>
    <t>ថ្ងៃអង្គារ ១១កើត ខែស្រាពណ៍ ឆ្នាំម្សាញ់ សប្តស័ក ព.ស.២៥៦៩</t>
  </si>
  <si>
    <t>ថ្ងៃពុធ ១២កើត ខែស្រាពណ៍ ឆ្នាំម្សាញ់ សប្តស័ក ព.ស.២៥៦៩</t>
  </si>
  <si>
    <t>ថ្ងៃព្រហស្បតិ៍ ១៣កើត ខែស្រាពណ៍ ឆ្នាំម្សាញ់ សប្តស័ក ព.ស.២៥៦៩</t>
  </si>
  <si>
    <t>ថ្ងៃសុក្រ ១៤កើត ខែស្រាពណ៍ ឆ្នាំម្សាញ់ សប្តស័ក ព.ស.២៥៦៩</t>
  </si>
  <si>
    <t>ថ្ងៃសៅរ៍ ១៥កើត ខែស្រាពណ៍ ឆ្នាំម្សាញ់ សប្តស័ក ព.ស.២៥៦៩</t>
  </si>
  <si>
    <t>ថ្ងៃអាទិត្យ ១រោច ខែស្រាពណ៍ ឆ្នាំម្សាញ់ សប្តស័ក ព.ស.២៥៦៩</t>
  </si>
  <si>
    <t>ថ្ងៃចន្ទ ២រោច ខែស្រាពណ៍ ឆ្នាំម្សាញ់ សប្តស័ក ព.ស.២៥៦៩</t>
  </si>
  <si>
    <t>ថ្ងៃអង្គារ ៣រោច ខែស្រាពណ៍ ឆ្នាំម្សាញ់ សប្តស័ក ព.ស.២៥៦៩</t>
  </si>
  <si>
    <t>ថ្ងៃពុធ ៤រោច ខែស្រាពណ៍ ឆ្នាំម្សាញ់ សប្តស័ក ព.ស.២៥៦៩</t>
  </si>
  <si>
    <t>ថ្ងៃព្រហស្បតិ៍ ៥រោច ខែស្រាពណ៍ ឆ្នាំម្សាញ់ សប្តស័ក ព.ស.២៥៦៩</t>
  </si>
  <si>
    <t>ថ្ងៃសុក្រ ៦រោច ខែស្រាពណ៍ ឆ្នាំម្សាញ់ សប្តស័ក ព.ស.២៥៦៩</t>
  </si>
  <si>
    <t>ថ្ងៃសៅរ៍ ៧រោច ខែស្រាពណ៍ ឆ្នាំម្សាញ់ សប្តស័ក ព.ស.២៥៦៩</t>
  </si>
  <si>
    <t>ថ្ងៃអាទិត្យ ៨រោច ខែស្រាពណ៍ ឆ្នាំម្សាញ់ សប្តស័ក ព.ស.២៥៦៩</t>
  </si>
  <si>
    <t>ថ្ងៃចន្ទ ៩រោច ខែស្រាពណ៍ ឆ្នាំម្សាញ់ សប្តស័ក ព.ស.២៥៦៩</t>
  </si>
  <si>
    <t>ថ្ងៃអង្គារ ១០រោច ខែស្រាពណ៍ ឆ្នាំម្សាញ់ សប្តស័ក ព.ស.២៥៦៩</t>
  </si>
  <si>
    <t>ថ្ងៃពុធ ១១រោច ខែស្រាពណ៍ ឆ្នាំម្សាញ់ សប្តស័ក ព.ស.២៥៦៩</t>
  </si>
  <si>
    <t>ថ្ងៃព្រហស្បតិ៍ ១២រោច ខែស្រាពណ៍ ឆ្នាំម្សាញ់ សប្តស័ក ព.ស.២៥៦៩</t>
  </si>
  <si>
    <t>ថ្ងៃសុក្រ ១៣រោច ខែស្រាពណ៍ ឆ្នាំម្សាញ់ សប្តស័ក ព.ស.២៥៦៩</t>
  </si>
  <si>
    <t>ថ្ងៃសៅរ៍ ១៤រោច ខែស្រាពណ៍ ឆ្នាំម្សាញ់ សប្តស័ក ព.ស.២៥៦៩</t>
  </si>
  <si>
    <t>ថ្ងៃអាទិត្យ ១កើត ខែភទ្របទ ឆ្នាំម្សាញ់ សប្តស័ក ព.ស.២៥៦៩</t>
  </si>
  <si>
    <t>ថ្ងៃចន្ទ ២កើត ខែភទ្របទ ឆ្នាំម្សាញ់ សប្តស័ក ព.ស.២៥៦៩</t>
  </si>
  <si>
    <t>ថ្ងៃអង្គារ ៣កើត ខែភទ្របទ ឆ្នាំម្សាញ់ សប្តស័ក ព.ស.២៥៦៩</t>
  </si>
  <si>
    <t>ថ្ងៃពុធ ៤កើត ខែភទ្របទ ឆ្នាំម្សាញ់ សប្តស័ក ព.ស.២៥៦៩</t>
  </si>
  <si>
    <t>ថ្ងៃព្រហស្បតិ៍ ៥កើត ខែភទ្របទ ឆ្នាំម្សាញ់ សប្តស័ក ព.ស.២៥៦៩</t>
  </si>
  <si>
    <t>ថ្ងៃសុក្រ ៦កើត ខែភទ្របទ ឆ្នាំម្សាញ់ សប្តស័ក ព.ស.២៥៦៩</t>
  </si>
  <si>
    <t>ថ្ងៃសៅរ៍ ៧កើត ខែភទ្របទ ឆ្នាំម្សាញ់ សប្តស័ក ព.ស.២៥៦៩</t>
  </si>
  <si>
    <t>ថ្ងៃអាទិត្យ ៨កើត ខែភទ្របទ ឆ្នាំម្សាញ់ សប្តស័ក ព.ស.២៥៦៩</t>
  </si>
  <si>
    <t>ថ្ងៃចន្ទ ៩កើត ខែភទ្របទ ឆ្នាំម្សាញ់ សប្តស័ក ព.ស.២៥៦៩</t>
  </si>
  <si>
    <t>ថ្ងៃអង្គារ ១០កើត ខែភទ្របទ ឆ្នាំម្សាញ់ សប្តស័ក ព.ស.២៥៦៩</t>
  </si>
  <si>
    <t>ថ្ងៃពុធ ១១កើត ខែភទ្របទ ឆ្នាំម្សាញ់ សប្តស័ក ព.ស.២៥៦៩</t>
  </si>
  <si>
    <t>ថ្ងៃព្រហស្បតិ៍ ១២កើត ខែភទ្របទ ឆ្នាំម្សាញ់ សប្តស័ក ព.ស.២៥៦៩</t>
  </si>
  <si>
    <t>ថ្ងៃសុក្រ ១៣កើត ខែភទ្របទ ឆ្នាំម្សាញ់ សប្តស័ក ព.ស.២៥៦៩</t>
  </si>
  <si>
    <t>ថ្ងៃសៅរ៍ ១៤កើត ខែភទ្របទ ឆ្នាំម្សាញ់ សប្តស័ក ព.ស.២៥៦៩</t>
  </si>
  <si>
    <t>ថ្ងៃអាទិត្យ ១៥កើត ខែភទ្របទ ឆ្នាំម្សាញ់ សប្តស័ក ព.ស.២៥៦៩</t>
  </si>
  <si>
    <t>ថ្ងៃចន្ទ ១រោច ខែភទ្របទ ឆ្នាំម្សាញ់ សប្តស័ក ព.ស.២៥៦៩</t>
  </si>
  <si>
    <t>ថ្ងៃអង្គារ ២រោច ខែភទ្របទ ឆ្នាំម្សាញ់ សប្តស័ក ព.ស.២៥៦៩</t>
  </si>
  <si>
    <t>ថ្ងៃពុធ ៣រោច ខែភទ្របទ ឆ្នាំម្សាញ់ សប្តស័ក ព.ស.២៥៦៩</t>
  </si>
  <si>
    <t>ថ្ងៃព្រហស្បតិ៍ ៤រោច ខែភទ្របទ ឆ្នាំម្សាញ់ សប្តស័ក ព.ស.២៥៦៩</t>
  </si>
  <si>
    <t>ថ្ងៃសុក្រ ៥រោច ខែភទ្របទ ឆ្នាំម្សាញ់ សប្តស័ក ព.ស.២៥៦៩</t>
  </si>
  <si>
    <t>ថ្ងៃសៅរ៍ ៦រោច ខែភទ្របទ ឆ្នាំម្សាញ់ សប្តស័ក ព.ស.២៥៦៩</t>
  </si>
  <si>
    <t>ថ្ងៃអាទិត្យ ៧រោច ខែភទ្របទ ឆ្នាំម្សាញ់ សប្តស័ក ព.ស.២៥៦៩</t>
  </si>
  <si>
    <t>ថ្ងៃចន្ទ ៨រោច ខែភទ្របទ ឆ្នាំម្សាញ់ សប្តស័ក ព.ស.២៥៦៩</t>
  </si>
  <si>
    <t>ថ្ងៃអង្គារ ៩រោច ខែភទ្របទ ឆ្នាំម្សាញ់ សប្តស័ក ព.ស.២៥៦៩</t>
  </si>
  <si>
    <t>ថ្ងៃពុធ ១០រោច ខែភទ្របទ ឆ្នាំម្សាញ់ សប្តស័ក ព.ស.២៥៦៩</t>
  </si>
  <si>
    <t>ថ្ងៃព្រហស្បតិ៍ ១១រោច ខែភទ្របទ ឆ្នាំម្សាញ់ សប្តស័ក ព.ស.២៥៦៩</t>
  </si>
  <si>
    <t>ថ្ងៃសុក្រ ១២រោច ខែភទ្របទ ឆ្នាំម្សាញ់ សប្តស័ក ព.ស.២៥៦៩</t>
  </si>
  <si>
    <t>ថ្ងៃសៅរ៍ ១៣រោច ខែភទ្របទ ឆ្នាំម្សាញ់ សប្តស័ក ព.ស.២៥៦៩</t>
  </si>
  <si>
    <t>ថ្ងៃអាទិត្យ ១៤រោច ខែភទ្របទ ឆ្នាំម្សាញ់ សប្តស័ក ព.ស.២៥៦៩</t>
  </si>
  <si>
    <t>ថ្ងៃចន្ទ ១៥រោច ខែភទ្របទ ឆ្នាំម្សាញ់ សប្តស័ក ព.ស.២៥៦៩</t>
  </si>
  <si>
    <t>ថ្ងៃអង្គារ ១កើត ខែអស្សុជ ឆ្នាំម្សាញ់ សប្តស័ក ព.ស.២៥៦៩</t>
  </si>
  <si>
    <t>ថ្ងៃពុធ ២កើត ខែអស្សុជ ឆ្នាំម្សាញ់ សប្តស័ក ព.ស.២៥៦៩</t>
  </si>
  <si>
    <t>ថ្ងៃព្រហស្បតិ៍ ៣កើត ខែអស្សុជ ឆ្នាំម្សាញ់ សប្តស័ក ព.ស.២៥៦៩</t>
  </si>
  <si>
    <t>ថ្ងៃសុក្រ ៤កើត ខែអស្សុជ ឆ្នាំម្សាញ់ សប្តស័ក ព.ស.២៥៦៩</t>
  </si>
  <si>
    <t>ថ្ងៃសៅរ៍ ៥កើត ខែអស្សុជ ឆ្នាំម្សាញ់ សប្តស័ក ព.ស.២៥៦៩</t>
  </si>
  <si>
    <t>ថ្ងៃអាទិត្យ ៦កើត ខែអស្សុជ ឆ្នាំម្សាញ់ សប្តស័ក ព.ស.២៥៦៩</t>
  </si>
  <si>
    <t>ថ្ងៃចន្ទ ៧កើត ខែអស្សុជ ឆ្នាំម្សាញ់ សប្តស័ក ព.ស.២៥៦៩</t>
  </si>
  <si>
    <t>ថ្ងៃអង្គារ ៨កើត ខែអស្សុជ ឆ្នាំម្សាញ់ សប្តស័ក ព.ស.២៥៦៩</t>
  </si>
  <si>
    <t>ថ្ងៃពុធ ៩កើត ខែអស្សុជ ឆ្នាំម្សាញ់ សប្តស័ក ព.ស.២៥៦៩</t>
  </si>
  <si>
    <t>ថ្ងៃព្រហស្បតិ៍ ១០កើត ខែអស្សុជ ឆ្នាំម្សាញ់ សប្តស័ក ព.ស.២៥៦៩</t>
  </si>
  <si>
    <t>ថ្ងៃសុក្រ ១១កើត ខែអស្សុជ ឆ្នាំម្សាញ់ សប្តស័ក ព.ស.២៥៦៩</t>
  </si>
  <si>
    <t>ថ្ងៃសៅរ៍ ១២កើត ខែអស្សុជ ឆ្នាំម្សាញ់ សប្តស័ក ព.ស.២៥៦៩</t>
  </si>
  <si>
    <t>ថ្ងៃអាទិត្យ ១៣កើត ខែអស្សុជ ឆ្នាំម្សាញ់ សប្តស័ក ព.ស.២៥៦៩</t>
  </si>
  <si>
    <t>ថ្ងៃចន្ទ ១៤កើត ខែអស្សុជ ឆ្នាំម្សាញ់ សប្តស័ក ព.ស.២៥៦៩</t>
  </si>
  <si>
    <t>ថ្ងៃអង្គារ ១៥កើត ខែអស្សុជ ឆ្នាំម្សាញ់ សប្តស័ក ព.ស.២៥៦៩</t>
  </si>
  <si>
    <t>ថ្ងៃពុធ ១រោច ខែអស្សុជ ឆ្នាំម្សាញ់ សប្តស័ក ព.ស.២៥៦៩</t>
  </si>
  <si>
    <t>ថ្ងៃព្រហស្បតិ៍ ២រោច ខែអស្សុជ ឆ្នាំម្សាញ់ សប្តស័ក ព.ស.២៥៦៩</t>
  </si>
  <si>
    <t>ថ្ងៃសុក្រ ៣រោច ខែអស្សុជ ឆ្នាំម្សាញ់ សប្តស័ក ព.ស.២៥៦៩</t>
  </si>
  <si>
    <t>ថ្ងៃសៅរ៍ ៤រោច ខែអស្សុជ ឆ្នាំម្សាញ់ សប្តស័ក ព.ស.២៥៦៩</t>
  </si>
  <si>
    <t>ថ្ងៃអាទិត្យ ៥រោច ខែអស្សុជ ឆ្នាំម្សាញ់ សប្តស័ក ព.ស.២៥៦៩</t>
  </si>
  <si>
    <t>ថ្ងៃចន្ទ ៦រោច ខែអស្សុជ ឆ្នាំម្សាញ់ សប្តស័ក ព.ស.២៥៦៩</t>
  </si>
  <si>
    <t>ថ្ងៃអង្គារ ៧រោច ខែអស្សុជ ឆ្នាំម្សាញ់ សប្តស័ក ព.ស.២៥៦៩</t>
  </si>
  <si>
    <t>ថ្ងៃពុធ ៨រោច ខែអស្សុជ ឆ្នាំម្សាញ់ សប្តស័ក ព.ស.២៥៦៩</t>
  </si>
  <si>
    <t>ថ្ងៃព្រហស្បតិ៍ ៩រោច ខែអស្សុជ ឆ្នាំម្សាញ់ សប្តស័ក ព.ស.២៥៦៩</t>
  </si>
  <si>
    <t>ថ្ងៃសុក្រ ១០រោច ខែអស្សុជ ឆ្នាំម្សាញ់ សប្តស័ក ព.ស.២៥៦៩</t>
  </si>
  <si>
    <t>ថ្ងៃសៅរ៍ ១១រោច ខែអស្សុជ ឆ្នាំម្សាញ់ សប្តស័ក ព.ស.២៥៦៩</t>
  </si>
  <si>
    <t>ថ្ងៃអាទិត្យ ១២រោច ខែអស្សុជ ឆ្នាំម្សាញ់ សប្តស័ក ព.ស.២៥៦៩</t>
  </si>
  <si>
    <t>ថ្ងៃចន្ទ ១៣រោច ខែអស្សុជ ឆ្នាំម្សាញ់ សប្តស័ក ព.ស.២៥៦៩</t>
  </si>
  <si>
    <t>ថ្ងៃអង្គារ ១៤រោច ខែអស្សុជ ឆ្នាំម្សាញ់ សប្តស័ក ព.ស.២៥៦៩</t>
  </si>
  <si>
    <t>ថ្ងៃពុធ ១កើត ខែកត្តិក ឆ្នាំម្សាញ់ សប្តស័ក ព.ស.២៥៦៩</t>
  </si>
  <si>
    <t>ថ្ងៃព្រហស្បតិ៍ ២កើត ខែកត្តិក ឆ្នាំម្សាញ់ សប្តស័ក ព.ស.២៥៦៩</t>
  </si>
  <si>
    <t>ថ្ងៃសុក្រ ៣កើត ខែកត្តិក ឆ្នាំម្សាញ់ សប្តស័ក ព.ស.២៥៦៩</t>
  </si>
  <si>
    <t>ថ្ងៃសៅរ៍ ៤កើត ខែកត្តិក ឆ្នាំម្សាញ់ សប្តស័ក ព.ស.២៥៦៩</t>
  </si>
  <si>
    <t>ថ្ងៃអាទិត្យ ៥កើត ខែកត្តិក ឆ្នាំម្សាញ់ សប្តស័ក ព.ស.២៥៦៩</t>
  </si>
  <si>
    <t>ថ្ងៃចន្ទ ៦កើត ខែកត្តិក ឆ្នាំម្សាញ់ សប្តស័ក ព.ស.២៥៦៩</t>
  </si>
  <si>
    <t>ថ្ងៃអង្គារ ៧កើត ខែកត្តិក ឆ្នាំម្សាញ់ សប្តស័ក ព.ស.២៥៦៩</t>
  </si>
  <si>
    <t>ថ្ងៃពុធ ៨កើត ខែកត្តិក ឆ្នាំម្សាញ់ សប្តស័ក ព.ស.២៥៦៩</t>
  </si>
  <si>
    <t>ថ្ងៃព្រហស្បតិ៍ ៩កើត ខែកត្តិក ឆ្នាំម្សាញ់ សប្តស័ក ព.ស.២៥៦៩</t>
  </si>
  <si>
    <t>ថ្ងៃសុក្រ ១០កើត ខែកត្តិក ឆ្នាំម្សាញ់ សប្តស័ក ព.ស.២៥៦៩</t>
  </si>
  <si>
    <t>ថ្ងៃសៅរ៍ ១១កើត ខែកត្តិក ឆ្នាំម្សាញ់ សប្តស័ក ព.ស.២៥៦៩</t>
  </si>
  <si>
    <t>ថ្ងៃអាទិត្យ ១២កើត ខែកត្តិក ឆ្នាំម្សាញ់ សប្តស័ក ព.ស.២៥៦៩</t>
  </si>
  <si>
    <t>ថ្ងៃចន្ទ ១៣កើត ខែកត្តិក ឆ្នាំម្សាញ់ សប្តស័ក ព.ស.២៥៦៩</t>
  </si>
  <si>
    <t>ថ្ងៃអង្គារ ១៤កើត ខែកត្តិក ឆ្នាំម្សាញ់ សប្តស័ក ព.ស.២៥៦៩</t>
  </si>
  <si>
    <t>ថ្ងៃពុធ ១៥កើត ខែកត្តិក ឆ្នាំម្សាញ់ សប្តស័ក ព.ស.២៥៦៩</t>
  </si>
  <si>
    <t>ថ្ងៃព្រហស្បតិ៍ ១រោច ខែកត្តិក ឆ្នាំម្សាញ់ សប្តស័ក ព.ស.២៥៦៩</t>
  </si>
  <si>
    <t>ថ្ងៃសុក្រ ២រោច ខែកត្តិក ឆ្នាំម្សាញ់ សប្តស័ក ព.ស.២៥៦៩</t>
  </si>
  <si>
    <t>ថ្ងៃសៅរ៍ ៣រោច ខែកត្តិក ឆ្នាំម្សាញ់ សប្តស័ក ព.ស.២៥៦៩</t>
  </si>
  <si>
    <t>ថ្ងៃអាទិត្យ ៤រោច ខែកត្តិក ឆ្នាំម្សាញ់ សប្តស័ក ព.ស.២៥៦៩</t>
  </si>
  <si>
    <t>ថ្ងៃចន្ទ ៥រោច ខែកត្តិក ឆ្នាំម្សាញ់ សប្តស័ក ព.ស.២៥៦៩</t>
  </si>
  <si>
    <t>ថ្ងៃអង្គារ ៦រោច ខែកត្តិក ឆ្នាំម្សាញ់ សប្តស័ក ព.ស.២៥៦៩</t>
  </si>
  <si>
    <t>ថ្ងៃពុធ ៧រោច ខែកត្តិក ឆ្នាំម្សាញ់ សប្តស័ក ព.ស.២៥៦៩</t>
  </si>
  <si>
    <t>ថ្ងៃព្រហស្បតិ៍ ៨រោច ខែកត្តិក ឆ្នាំម្សាញ់ សប្តស័ក ព.ស.២៥៦៩</t>
  </si>
  <si>
    <t>ថ្ងៃសុក្រ ៩រោច ខែកត្តិក ឆ្នាំម្សាញ់ សប្តស័ក ព.ស.២៥៦៩</t>
  </si>
  <si>
    <t>ថ្ងៃសៅរ៍ ១០រោច ខែកត្តិក ឆ្នាំម្សាញ់ សប្តស័ក ព.ស.២៥៦៩</t>
  </si>
  <si>
    <t>ថ្ងៃអាទិត្យ ១១រោច ខែកត្តិក ឆ្នាំម្សាញ់ សប្តស័ក ព.ស.២៥៦៩</t>
  </si>
  <si>
    <t>ថ្ងៃចន្ទ ១២រោច ខែកត្តិក ឆ្នាំម្សាញ់ សប្តស័ក ព.ស.២៥៦៩</t>
  </si>
  <si>
    <t>ថ្ងៃអង្គារ ១៣រោច ខែកត្តិក ឆ្នាំម្សាញ់ សប្តស័ក ព.ស.២៥៦៩</t>
  </si>
  <si>
    <t>ថ្ងៃពុធ ១៤រោច ខែកត្តិក ឆ្នាំម្សាញ់ សប្តស័ក ព.ស.២៥៦៩</t>
  </si>
  <si>
    <t>ថ្ងៃព្រហស្បតិ៍ ១៥រោច ខែកត្តិក ឆ្នាំម្សាញ់ សប្តស័ក ព.ស.២៥៦៩</t>
  </si>
  <si>
    <t>ថ្ងៃសុក្រ ១កើត ខែមិគសិរ ឆ្នាំម្សាញ់ សប្តស័ក ព.ស.២៥៦៩</t>
  </si>
  <si>
    <t>ថ្ងៃសៅរ៍ ២កើត ខែមិគសិរ ឆ្នាំម្សាញ់ សប្តស័ក ព.ស.២៥៦៩</t>
  </si>
  <si>
    <t>ថ្ងៃអាទិត្យ ៣កើត ខែមិគសិរ ឆ្នាំម្សាញ់ សប្តស័ក ព.ស.២៥៦៩</t>
  </si>
  <si>
    <t>ថ្ងៃចន្ទ ៤កើត ខែមិគសិរ ឆ្នាំម្សាញ់ សប្តស័ក ព.ស.២៥៦៩</t>
  </si>
  <si>
    <t>ថ្ងៃអង្គារ ៥កើត ខែមិគសិរ ឆ្នាំម្សាញ់ សប្តស័ក ព.ស.២៥៦៩</t>
  </si>
  <si>
    <t>ថ្ងៃពុធ ៦កើត ខែមិគសិរ ឆ្នាំម្សាញ់ សប្តស័ក ព.ស.២៥៦៩</t>
  </si>
  <si>
    <t>ថ្ងៃព្រហស្បតិ៍ ៧កើត ខែមិគសិរ ឆ្នាំម្សាញ់ សប្តស័ក ព.ស.២៥៦៩</t>
  </si>
  <si>
    <t>ថ្ងៃសុក្រ ៨កើត ខែមិគសិរ ឆ្នាំម្សាញ់ សប្តស័ក ព.ស.២៥៦៩</t>
  </si>
  <si>
    <t>ថ្ងៃសៅរ៍ ៩កើត ខែមិគសិរ ឆ្នាំម្សាញ់ សប្តស័ក ព.ស.២៥៦៩</t>
  </si>
  <si>
    <t>ថ្ងៃអាទិត្យ ១០កើត ខែមិគសិរ ឆ្នាំម្សាញ់ សប្តស័ក ព.ស.២៥៦៩</t>
  </si>
  <si>
    <t>ថ្ងៃចន្ទ ១១កើត ខែមិគសិរ ឆ្នាំម្សាញ់ សប្តស័ក ព.ស.២៥៦៩</t>
  </si>
  <si>
    <t>ថ្ងៃអង្គារ ១២កើត ខែមិគសិរ ឆ្នាំម្សាញ់ សប្តស័ក ព.ស.២៥៦៩</t>
  </si>
  <si>
    <t>ថ្ងៃពុធ ១៣កើត ខែមិគសិរ ឆ្នាំម្សាញ់ សប្តស័ក ព.ស.២៥៦៩</t>
  </si>
  <si>
    <t>ថ្ងៃព្រហស្បតិ៍ ១៤កើត ខែមិគសិរ ឆ្នាំម្សាញ់ សប្តស័ក ព.ស.២៥៦៩</t>
  </si>
  <si>
    <t>ថ្ងៃសុក្រ ១៥កើត ខែមិគសិរ ឆ្នាំម្សាញ់ សប្តស័ក ព.ស.២៥៦៩</t>
  </si>
  <si>
    <t>ថ្ងៃសៅរ៍ ១រោច ខែមិគសិរ ឆ្នាំម្សាញ់ សប្តស័ក ព.ស.២៥៦៩</t>
  </si>
  <si>
    <t>ថ្ងៃអាទិត្យ ២រោច ខែមិគសិរ ឆ្នាំម្សាញ់ សប្តស័ក ព.ស.២៥៦៩</t>
  </si>
  <si>
    <t>ថ្ងៃចន្ទ ៣រោច ខែមិគសិរ ឆ្នាំម្សាញ់ សប្តស័ក ព.ស.២៥៦៩</t>
  </si>
  <si>
    <t>ថ្ងៃអង្គារ ៤រោច ខែមិគសិរ ឆ្នាំម្សាញ់ សប្តស័ក ព.ស.២៥៦៩</t>
  </si>
  <si>
    <t>ថ្ងៃពុធ ៥រោច ខែមិគសិរ ឆ្នាំម្សាញ់ សប្តស័ក ព.ស.២៥៦៩</t>
  </si>
  <si>
    <t>ថ្ងៃព្រហស្បតិ៍ ៦រោច ខែមិគសិរ ឆ្នាំម្សាញ់ សប្តស័ក ព.ស.២៥៦៩</t>
  </si>
  <si>
    <t>ថ្ងៃសុក្រ ៧រោច ខែមិគសិរ ឆ្នាំម្សាញ់ សប្តស័ក ព.ស.២៥៦៩</t>
  </si>
  <si>
    <t>ថ្ងៃសៅរ៍ ៨រោច ខែមិគសិរ ឆ្នាំម្សាញ់ សប្តស័ក ព.ស.២៥៦៩</t>
  </si>
  <si>
    <t>ថ្ងៃអាទិត្យ ៩រោច ខែមិគសិរ ឆ្នាំម្សាញ់ សប្តស័ក ព.ស.២៥៦៩</t>
  </si>
  <si>
    <t>ថ្ងៃចន្ទ ១០រោច ខែមិគសិរ ឆ្នាំម្សាញ់ សប្តស័ក ព.ស.២៥៦៩</t>
  </si>
  <si>
    <t>ថ្ងៃអង្គារ ១១រោច ខែមិគសិរ ឆ្នាំម្សាញ់ សប្តស័ក ព.ស.២៥៦៩</t>
  </si>
  <si>
    <t>ថ្ងៃពុធ ១២រោច ខែមិគសិរ ឆ្នាំម្សាញ់ សប្តស័ក ព.ស.២៥៦៩</t>
  </si>
  <si>
    <t>ថ្ងៃព្រហស្បតិ៍ ១៣រោច ខែមិគសិរ ឆ្នាំម្សាញ់ សប្តស័ក ព.ស.២៥៦៩</t>
  </si>
  <si>
    <t>ថ្ងៃសុក្រ ១៤រោច ខែមិគសិរ ឆ្នាំម្សាញ់ សប្តស័ក ព.ស.២៥៦៩</t>
  </si>
  <si>
    <t>ថ្ងៃសៅរ៍ ១កើត ខែបុស្ស ឆ្នាំម្សាញ់ សប្តស័ក ព.ស.២៥៦៩</t>
  </si>
  <si>
    <t>ថ្ងៃអាទិត្យ ២កើត ខែបុស្ស ឆ្នាំម្សាញ់ សប្តស័ក ព.ស.២៥៦៩</t>
  </si>
  <si>
    <t>ថ្ងៃចន្ទ ៣កើត ខែបុស្ស ឆ្នាំម្សាញ់ សប្តស័ក ព.ស.២៥៦៩</t>
  </si>
  <si>
    <t>ថ្ងៃអង្គារ ៤កើត ខែបុស្ស ឆ្នាំម្សាញ់ សប្តស័ក ព.ស.២៥៦៩</t>
  </si>
  <si>
    <t>ថ្ងៃពុធ ៥កើត ខែបុស្ស ឆ្នាំម្សាញ់ សប្តស័ក ព.ស.២៥៦៩</t>
  </si>
  <si>
    <t>ថ្ងៃព្រហស្បតិ៍ ៦កើត ខែបុស្ស ឆ្នាំម្សាញ់ សប្តស័ក ព.ស.២៥៦៩</t>
  </si>
  <si>
    <t>ថ្ងៃសុក្រ ៧កើត ខែបុស្ស ឆ្នាំម្សាញ់ សប្តស័ក ព.ស.២៥៦៩</t>
  </si>
  <si>
    <t>ថ្ងៃសៅរ៍ ៨កើត ខែបុស្ស ឆ្នាំម្សាញ់ សប្តស័ក ព.ស.២៥៦៩</t>
  </si>
  <si>
    <t>ថ្ងៃអាទិត្យ ៩កើត ខែបុស្ស ឆ្នាំម្សាញ់ សប្តស័ក ព.ស.២៥៦៩</t>
  </si>
  <si>
    <t>ថ្ងៃចន្ទ ១០កើត ខែបុស្ស ឆ្នាំម្សាញ់ សប្តស័ក ព.ស.២៥៦៩</t>
  </si>
  <si>
    <t>ថ្ងៃអង្គារ ១១កើត ខែបុស្ស ឆ្នាំម្សាញ់ សប្តស័ក ព.ស.២៥៦៩</t>
  </si>
  <si>
    <t>ថ្ងៃពុធ ១២កើត ខែបុស្ស ឆ្នាំម្សាញ់ សប្តស័ក ព.ស.២៥៦៩</t>
  </si>
  <si>
    <t>[@ប្រតិទិនចន្ទគតិ១] &amp;[@ប្រតិទិនចន្ទគតិ២]&amp;[@ប្រតិទិនចន្ទគតិ៣]&amp;[@ប្រតិទិនចន្ទគតិ៤]&amp;[@ប្រតិទិនចន្ទគតិ៥]</t>
  </si>
  <si>
    <t>កាន់លិខិតឆ្លងដែនលេខ: AC5014016 ទូរសព្ទ័លេខ  093 544 566 ជាប្រធានក្រុមហ៊ុន SUVANNAPHUM INVESTMENT CO., LTD អត្តសញ្ញាណកម្មសារពើពន្ធ (VAT) លេខៈ L001-100114229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</si>
  <si>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កាន់លិខិតឆ្លងដែនលេខ: AB4555337 ទូរសព្ទ័លេខ 095 777 975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</si>
  <si>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LCKOS24533</t>
  </si>
  <si>
    <t>CHQ00TRP240711941</t>
  </si>
  <si>
    <t>CHQ00TRP240712474</t>
  </si>
  <si>
    <t>025/2024</t>
  </si>
  <si>
    <t>CHIANG IN V.2499</t>
  </si>
  <si>
    <t>PLASTIC WRAPPER, STICKER</t>
  </si>
  <si>
    <t>1.NYYU2344980-20GP</t>
  </si>
  <si>
    <t>MEKONG 26 V.028W</t>
  </si>
  <si>
    <t>NIMTOFTE MAERSK V.450S</t>
  </si>
  <si>
    <t>25001</t>
  </si>
  <si>
    <t>25002</t>
  </si>
  <si>
    <t>25003</t>
  </si>
  <si>
    <t>25004</t>
  </si>
  <si>
    <t>25005</t>
  </si>
  <si>
    <t>25006</t>
  </si>
  <si>
    <t>25007</t>
  </si>
  <si>
    <t>SHAWD074629</t>
  </si>
  <si>
    <t>E250781997180002</t>
  </si>
  <si>
    <t>1.MRSU6833274-40HQ
2.MRSU6840313-40HQ
3.MRSU6840397-40HQ
4.MRSU6840479-40HQ
5.MRSU6840566-40HQ
6.MRSU6859094-40HQ
7.MRSU6860006-40HQ
8.MRSU6867530-40HQ
9.MRSU7166730-40HQ
10.MRSU7170303-40HQ
11.MRSU7176560-40HQ
12.MRSU7177144-40HQ
13.MRSU7177524-40HQ
14.MRSU7177714-40HQ
15.MRSU7181078-40HQ</t>
  </si>
  <si>
    <t>SHAWD074646</t>
  </si>
  <si>
    <t>E250781997180009</t>
  </si>
  <si>
    <t>SHAWD074678</t>
  </si>
  <si>
    <t>E250781997180010</t>
  </si>
  <si>
    <t>NEW CAR MG RX9, 2025</t>
  </si>
  <si>
    <t>1.MRSU7137223-40HQ</t>
  </si>
  <si>
    <t>SHAWD074679</t>
  </si>
  <si>
    <t>E250781997180011</t>
  </si>
  <si>
    <t>SHAWD074680</t>
  </si>
  <si>
    <t>E250781997181156</t>
  </si>
  <si>
    <t>SHAWD074681</t>
  </si>
  <si>
    <t>E250781997181157</t>
  </si>
  <si>
    <t>SHAWD074563</t>
  </si>
  <si>
    <t>E250781997181151</t>
  </si>
  <si>
    <t>1.IAAU1697804 -40HQ
2.WHSU5086929 -40HQ
3.WHSU5132393 -40HQ
4.WHSU5837640 -40HQ
5.WHSU6157652 -40HQ
6.WHSU6177113 -40HQ
7.WHSU6464788 -40HQ
8.WHSU6609182 -40HQ
9.WHSU6639145 -40HQ
10.WHSU6896890 -40HQ
11.WHSU6899311 -40HQ
12.WHSU6951580 -40HQ</t>
  </si>
  <si>
    <t>25008</t>
  </si>
  <si>
    <t>SITTAGSV425306</t>
  </si>
  <si>
    <t>QZPM2407030203</t>
  </si>
  <si>
    <t>SITC JIANGSU V.2502S</t>
  </si>
  <si>
    <t>1.BMOU2873818-20GP, 2.TRHU8416170-40HC, 3.TCNU3972320-40HC</t>
  </si>
  <si>
    <t>34 REELS</t>
  </si>
  <si>
    <t>HENAN QINGZHOU</t>
  </si>
  <si>
    <t>25010</t>
  </si>
  <si>
    <t>105434SH116</t>
  </si>
  <si>
    <t>HS24SIE002</t>
  </si>
  <si>
    <t>INLACO BRIGHT V105434</t>
  </si>
  <si>
    <t>Pipe mixer, Integrated water purifier Q=250m3/h</t>
  </si>
  <si>
    <t>5 PACKAGES</t>
  </si>
  <si>
    <t>HAISUM</t>
  </si>
  <si>
    <t>25009</t>
  </si>
  <si>
    <t>25011</t>
  </si>
  <si>
    <t>SHAWD074548</t>
  </si>
  <si>
    <t>ZHONG GU DONG HAI V.452S</t>
  </si>
  <si>
    <t>NEWPORT CYPRESS 68 V.361W</t>
  </si>
  <si>
    <t>NEW CAR LEAPMOTOR T03, C10 530COM, C10 210COM, C16, MY 2025</t>
  </si>
  <si>
    <t>1.MRKU5709820-40HQ
2.MSKU9889321-40HQ</t>
  </si>
  <si>
    <t>LEAPMOTOR</t>
  </si>
  <si>
    <t>EIC 2024 013/0993112A/00920838</t>
  </si>
  <si>
    <t>RUN QING PING AN V.450E</t>
  </si>
  <si>
    <t>NEW MOTORCYCLE ROYAL ENFIELD, MY2024</t>
  </si>
  <si>
    <t>1.PONU7281327-40DRY</t>
  </si>
  <si>
    <t>25kV SAC Cable 185 sq.mm. AI/XLPE/XLPE,
16 sq.mm. AI/PVC (THW-A),
25 sq.mm. AI/PVC (THW-A),
35 sq.mm. AI/PVC (THW-A),
NYY 4C-16 sq.mm-G 16sq.mm. IEC01,
NYY 4C-25 sq.mm-G 16sq.mm. IEC01
(Remark: Electrical Cable)</t>
  </si>
  <si>
    <t>LPTF20241010</t>
  </si>
  <si>
    <t>E25MA7BTWXH40016</t>
  </si>
  <si>
    <t>WAN HAI 292 V. S045</t>
  </si>
  <si>
    <t>25012</t>
  </si>
  <si>
    <t>25013</t>
  </si>
  <si>
    <t>25014</t>
  </si>
  <si>
    <t>SITSKSVD587601</t>
  </si>
  <si>
    <t>24L870328180325-2</t>
  </si>
  <si>
    <t>NEW CAR AITO M9 EV, 2024</t>
  </si>
  <si>
    <t>1.BMOU6855221-40HC</t>
  </si>
  <si>
    <t>SITSKSVD587602</t>
  </si>
  <si>
    <t>24L870328180325</t>
  </si>
  <si>
    <t>NEW CAR AITO M5 PLUG-IN, 2024</t>
  </si>
  <si>
    <t>1.FFAU1125366-40HC</t>
  </si>
  <si>
    <t>កាន់លិខិតឆ្លងដែនលេខ: AC5014016 ទូរសព្ទ័លេខ 093 544 566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</si>
  <si>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កាន់លិខិតឆ្លងដែនលេខ: AC2134008 ទូរសព្ទ័លេខ 069 777 815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</si>
  <si>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កាន់លិខិតឆ្លងដែនលេខ: AD0667637 ទូរសព្ទ័លេខ 089 890 324 ជាប្រធានក្រុមហ៊ុន SUVANNAPHUM INVESTMENT CO., LTD អត្តសញ្ញាណកម្មសារពើពន្ធ (VAT) លេខៈ L001-901801901 ជានីតិបុគ្គលជើងសារគយដែលមានរូបវន្តបុគ្គលជើងសាគយតំណាងលោក/លោកស្រី ផេង សុវណ្ណា អត្តសញ្ញាណប័ណ្ណសញ្ជាតិខ្មែរលេខៈ 190228973 ទូរសព្ទ័លេខ 012 333 901 ប័ណ្ណសម្គាល់ជើងសាគយលេខ #699B ផុតសុពលភាពថ្ងៃទី 31 ខែ ធ្នូ ឆ្នាំ 2026 ។</t>
  </si>
  <si>
    <t>SDB</t>
  </si>
  <si>
    <t>ឈ្មោះ SDB MOTORS ដែលមានទីតាំង# ឃ្លាំងលេខ២ ផ្លូវមហាវិថីសហព័ន្ធរុស្សី ភូមិប៉ប្រកខាងជើង សង្កាត់កាកាបទី១ ខណ្ឌពោធិ៍សែនជ័យ រាជធានីភ្នំពេញ ទូរស័ព្ទលេខ 010399123 ។</t>
  </si>
  <si>
    <t>https://maps.app.goo.gl/BZAQoUEDz9qhgL6r5?g_st=com.google.maps.preview.copy</t>
  </si>
  <si>
    <r>
      <t xml:space="preserve">ភេទស្រី ដែលមានលិខិតឆ្លងដែនលេខៈ E42900722 ជាប្រធានក្រុមហ៊ុន ONE PLUS AUTO TRADING (CAMBODIA) CO., LTD. អត្តសញ្ញាណកម្មសារពើពន្ធ (VAT)លេខៈ L001-902302529 ទូរសព្ទ័លេខៈ </t>
    </r>
    <r>
      <rPr>
        <sz val="9"/>
        <color rgb="FF00B050"/>
        <rFont val="Khmer OS Siemreap"/>
      </rPr>
      <t>098 891 618</t>
    </r>
  </si>
  <si>
    <t>E42900722</t>
  </si>
  <si>
    <t>ASHKK871184150</t>
  </si>
  <si>
    <t>HS24-SI-E-003</t>
  </si>
  <si>
    <t>WAN HAI 173 V.S118</t>
  </si>
  <si>
    <t>AS PER ATT B/L</t>
  </si>
  <si>
    <t>59 PACKAGES</t>
  </si>
  <si>
    <t>25015</t>
  </si>
  <si>
    <t>EIC/2025/013/1033336A/00006144</t>
  </si>
  <si>
    <t>NEW MOTORCYCLE ROYAL ENFIELD, MY2025</t>
  </si>
  <si>
    <t>1.TCKU6983387 / ML-IN2124197</t>
  </si>
  <si>
    <t>SDB SHOWROOM</t>
  </si>
  <si>
    <t>CHQ00TRP24058552</t>
  </si>
  <si>
    <t>36 PACKAGES</t>
  </si>
  <si>
    <t>CUI BAO</t>
  </si>
  <si>
    <t>ឃ្លាំងលេខ២ ផ្លូវមហាវិថីសហព័ន្ធរុស្សី ភូមិប៉ប្រកខាងជើង សង្កាត់កាកាបទី១ ខណ្ឌពោធិ៍សែនជ័យ រាជធានីភ្នំពេញ 
(VAT)លេខៈ K010-902405547</t>
  </si>
  <si>
    <t>ឃ្លាំងលេខ២ ផ្លូវមហាវិថីសហព័ន្ធរុស្សី ភូមិប៉ប្រកខាងជើង សង្កាត់កាកាបទី១ ខណ្ឌពោធិ៍សែនជ័យ រាជធានីភ្នំពេញ (VAT)លេខៈ K010-902405547</t>
  </si>
  <si>
    <t>E68588012</t>
  </si>
  <si>
    <t>K010-902405547</t>
  </si>
  <si>
    <t>010 399 123</t>
  </si>
  <si>
    <t>25016</t>
  </si>
  <si>
    <t>24L870328180492</t>
  </si>
  <si>
    <t>NEW CAR LI AUTO L6 PLUG-IN, 2024
NEW CAR LI AUTO L9 PLUG-IN, 2024
NEW CAR LI AUTO  MEGA EV, 2024</t>
  </si>
  <si>
    <t>1.MRSU5421919-40DRY
2.MSKU8508842-40DRY
3.MRSU5631957-40DRY</t>
  </si>
  <si>
    <t>CHINA NATIONAL</t>
  </si>
  <si>
    <r>
      <t xml:space="preserve">ភេទប្រុស ដែលមានលិខិតឆ្លងដែនលេខៈ E68588012 ជាប្រធានក្រុមហ៊ុន LIXIANG SDB AUTO SALES CO.LTD. អត្តសញ្ញាណកម្មសារពើពន្ធ (VAT)លេខៈ K010-902405547 ទូរសព្ទ័លេខៈ </t>
    </r>
    <r>
      <rPr>
        <sz val="9"/>
        <color rgb="FF00B050"/>
        <rFont val="Khmer OS Siemreap"/>
      </rPr>
      <t>010 399 123</t>
    </r>
  </si>
  <si>
    <t>LIXIANG SDB AUTO SALES CO.LTD</t>
  </si>
  <si>
    <t>CHQ00TRP240713629</t>
  </si>
  <si>
    <t>CHQ00TRP240713611</t>
  </si>
  <si>
    <t>CHQ00TRP240713596</t>
  </si>
  <si>
    <t>25017</t>
  </si>
  <si>
    <t>SHAWD074647</t>
  </si>
  <si>
    <t>NEW CAR MAXUS D60, 2025</t>
  </si>
  <si>
    <t>25018</t>
  </si>
  <si>
    <t>SHAWD074695</t>
  </si>
  <si>
    <t>YZ202412301862-P-C-TT01</t>
  </si>
  <si>
    <t>1.IAAU1892992-40HQ</t>
  </si>
  <si>
    <t>25019</t>
  </si>
  <si>
    <t>SHAWD074694</t>
  </si>
  <si>
    <t>YZ202412301862-P-C-TT02</t>
  </si>
  <si>
    <t>NEW CAR MAXUS G70, 2025</t>
  </si>
  <si>
    <t>1.IAAU1791750-40HQ</t>
  </si>
  <si>
    <t>YZ202412301862-P-C-31-1</t>
  </si>
  <si>
    <t>02251072600000071</t>
  </si>
  <si>
    <t>02251072600000041</t>
  </si>
  <si>
    <t>02251072600000061</t>
  </si>
  <si>
    <t>LIXIANG</t>
  </si>
  <si>
    <t>MARINA VOYAGER V.501E</t>
  </si>
  <si>
    <r>
      <rPr>
        <sz val="11"/>
        <color rgb="FFFF0000"/>
        <rFont val="Calibri"/>
        <family val="2"/>
        <scheme val="minor"/>
      </rPr>
      <t>1.MRSU7156326-40HQ</t>
    </r>
    <r>
      <rPr>
        <sz val="11"/>
        <color theme="1"/>
        <rFont val="Calibri"/>
        <family val="2"/>
        <scheme val="minor"/>
      </rPr>
      <t xml:space="preserve">
</t>
    </r>
    <r>
      <rPr>
        <sz val="11"/>
        <color rgb="FFFF0000"/>
        <rFont val="Calibri"/>
        <family val="2"/>
        <scheme val="minor"/>
      </rPr>
      <t>2.MRSU7166664-40HQ</t>
    </r>
    <r>
      <rPr>
        <sz val="11"/>
        <color theme="1"/>
        <rFont val="Calibri"/>
        <family val="2"/>
        <scheme val="minor"/>
      </rPr>
      <t xml:space="preserve">
</t>
    </r>
    <r>
      <rPr>
        <sz val="11"/>
        <color rgb="FFFF0000"/>
        <rFont val="Calibri"/>
        <family val="2"/>
        <scheme val="minor"/>
      </rPr>
      <t>3.MRSU7178958-40HQ</t>
    </r>
  </si>
  <si>
    <r>
      <rPr>
        <sz val="11"/>
        <color rgb="FFFF0000"/>
        <rFont val="Calibri"/>
        <family val="2"/>
        <scheme val="minor"/>
      </rPr>
      <t>1.MRSU6830547-40HQ</t>
    </r>
    <r>
      <rPr>
        <sz val="11"/>
        <color theme="1"/>
        <rFont val="Calibri"/>
        <family val="2"/>
        <scheme val="minor"/>
      </rPr>
      <t xml:space="preserve">
</t>
    </r>
    <r>
      <rPr>
        <sz val="11"/>
        <color rgb="FFFF0000"/>
        <rFont val="Calibri"/>
        <family val="2"/>
        <scheme val="minor"/>
      </rPr>
      <t>2.MRSU6831409-40HQ</t>
    </r>
    <r>
      <rPr>
        <sz val="11"/>
        <color theme="1"/>
        <rFont val="Calibri"/>
        <family val="2"/>
        <scheme val="minor"/>
      </rPr>
      <t xml:space="preserve">
</t>
    </r>
    <r>
      <rPr>
        <sz val="11"/>
        <color rgb="FFFF0000"/>
        <rFont val="Calibri"/>
        <family val="2"/>
        <scheme val="minor"/>
      </rPr>
      <t>3.MRSU6831498-40HQ</t>
    </r>
    <r>
      <rPr>
        <sz val="11"/>
        <color theme="1"/>
        <rFont val="Calibri"/>
        <family val="2"/>
        <scheme val="minor"/>
      </rPr>
      <t xml:space="preserve">
</t>
    </r>
    <r>
      <rPr>
        <sz val="11"/>
        <color rgb="FFFF0000"/>
        <rFont val="Calibri"/>
        <family val="2"/>
        <scheme val="minor"/>
      </rPr>
      <t>4.MRSU6832160-40HQ</t>
    </r>
    <r>
      <rPr>
        <sz val="11"/>
        <color theme="1"/>
        <rFont val="Calibri"/>
        <family val="2"/>
        <scheme val="minor"/>
      </rPr>
      <t xml:space="preserve">
</t>
    </r>
    <r>
      <rPr>
        <sz val="11"/>
        <color rgb="FFFF0000"/>
        <rFont val="Calibri"/>
        <family val="2"/>
        <scheme val="minor"/>
      </rPr>
      <t>5.MRSU6832257-40HQ</t>
    </r>
    <r>
      <rPr>
        <sz val="11"/>
        <color theme="1"/>
        <rFont val="Calibri"/>
        <family val="2"/>
        <scheme val="minor"/>
      </rPr>
      <t xml:space="preserve">
</t>
    </r>
    <r>
      <rPr>
        <sz val="11"/>
        <color rgb="FFFF0000"/>
        <rFont val="Calibri"/>
        <family val="2"/>
        <scheme val="minor"/>
      </rPr>
      <t>6.MRSU6832318-40HQ
7.MRSU6846498-40HQ</t>
    </r>
    <r>
      <rPr>
        <sz val="11"/>
        <color theme="1"/>
        <rFont val="Calibri"/>
        <family val="2"/>
        <scheme val="minor"/>
      </rPr>
      <t xml:space="preserve">
</t>
    </r>
    <r>
      <rPr>
        <sz val="11"/>
        <color rgb="FFFF0000"/>
        <rFont val="Calibri"/>
        <family val="2"/>
        <scheme val="minor"/>
      </rPr>
      <t>8.MRSU7133418-40HQ</t>
    </r>
    <r>
      <rPr>
        <sz val="11"/>
        <color theme="1"/>
        <rFont val="Calibri"/>
        <family val="2"/>
        <scheme val="minor"/>
      </rPr>
      <t xml:space="preserve">
</t>
    </r>
    <r>
      <rPr>
        <sz val="11"/>
        <color rgb="FFFF0000"/>
        <rFont val="Calibri"/>
        <family val="2"/>
        <scheme val="minor"/>
      </rPr>
      <t>9.MRSU7177139-40HQ</t>
    </r>
  </si>
  <si>
    <r>
      <rPr>
        <sz val="11"/>
        <color rgb="FFFF0000"/>
        <rFont val="Calibri"/>
        <family val="2"/>
        <scheme val="minor"/>
      </rPr>
      <t>1.MRSU6830737-40HQ</t>
    </r>
    <r>
      <rPr>
        <sz val="11"/>
        <color theme="1"/>
        <rFont val="Calibri"/>
        <family val="2"/>
        <scheme val="minor"/>
      </rPr>
      <t xml:space="preserve">
</t>
    </r>
    <r>
      <rPr>
        <sz val="11"/>
        <color rgb="FFFF0000"/>
        <rFont val="Calibri"/>
        <family val="2"/>
        <scheme val="minor"/>
      </rPr>
      <t>2.MRSU6831420-40HQ</t>
    </r>
    <r>
      <rPr>
        <sz val="11"/>
        <color theme="1"/>
        <rFont val="Calibri"/>
        <family val="2"/>
        <scheme val="minor"/>
      </rPr>
      <t xml:space="preserve">
</t>
    </r>
    <r>
      <rPr>
        <sz val="11"/>
        <color rgb="FFFF0000"/>
        <rFont val="Calibri"/>
        <family val="2"/>
        <scheme val="minor"/>
      </rPr>
      <t>3.MRSU6831482-40HQ
4.MRSU6846179-40HQ</t>
    </r>
    <r>
      <rPr>
        <sz val="11"/>
        <color theme="1"/>
        <rFont val="Calibri"/>
        <family val="2"/>
        <scheme val="minor"/>
      </rPr>
      <t xml:space="preserve">
</t>
    </r>
    <r>
      <rPr>
        <sz val="11"/>
        <color rgb="FFFF0000"/>
        <rFont val="Calibri"/>
        <family val="2"/>
        <scheme val="minor"/>
      </rPr>
      <t>5.MRSU6861701-40HQ
6.MRSU7135555-40HQ</t>
    </r>
    <r>
      <rPr>
        <sz val="11"/>
        <color theme="1"/>
        <rFont val="Calibri"/>
        <family val="2"/>
        <scheme val="minor"/>
      </rPr>
      <t xml:space="preserve">
</t>
    </r>
    <r>
      <rPr>
        <sz val="11"/>
        <color rgb="FFFF0000"/>
        <rFont val="Calibri"/>
        <family val="2"/>
        <scheme val="minor"/>
      </rPr>
      <t>7.MRSU7137239-40HQ</t>
    </r>
    <r>
      <rPr>
        <sz val="11"/>
        <color theme="1"/>
        <rFont val="Calibri"/>
        <family val="2"/>
        <scheme val="minor"/>
      </rPr>
      <t xml:space="preserve">
</t>
    </r>
    <r>
      <rPr>
        <sz val="11"/>
        <color rgb="FFFF0000"/>
        <rFont val="Calibri"/>
        <family val="2"/>
        <scheme val="minor"/>
      </rPr>
      <t>8.MRSU7139801-40HQ</t>
    </r>
    <r>
      <rPr>
        <sz val="11"/>
        <color theme="1"/>
        <rFont val="Calibri"/>
        <family val="2"/>
        <scheme val="minor"/>
      </rPr>
      <t xml:space="preserve">
</t>
    </r>
    <r>
      <rPr>
        <sz val="11"/>
        <color rgb="FFFF0000"/>
        <rFont val="Calibri"/>
        <family val="2"/>
        <scheme val="minor"/>
      </rPr>
      <t>9.MRSU7177695-40HQ</t>
    </r>
  </si>
  <si>
    <r>
      <rPr>
        <sz val="11"/>
        <color rgb="FFFF0000"/>
        <rFont val="Calibri"/>
        <family val="2"/>
        <scheme val="minor"/>
      </rPr>
      <t>1.MRSU6861065-40HQ</t>
    </r>
    <r>
      <rPr>
        <sz val="11"/>
        <color theme="1"/>
        <rFont val="Calibri"/>
        <family val="2"/>
        <scheme val="minor"/>
      </rPr>
      <t xml:space="preserve">
</t>
    </r>
    <r>
      <rPr>
        <sz val="11"/>
        <color rgb="FFFF0000"/>
        <rFont val="Calibri"/>
        <family val="2"/>
        <scheme val="minor"/>
      </rPr>
      <t>2.MRSU7141820-40HQ</t>
    </r>
    <r>
      <rPr>
        <sz val="11"/>
        <color theme="1"/>
        <rFont val="Calibri"/>
        <family val="2"/>
        <scheme val="minor"/>
      </rPr>
      <t xml:space="preserve">
</t>
    </r>
    <r>
      <rPr>
        <sz val="11"/>
        <color rgb="FFFF0000"/>
        <rFont val="Calibri"/>
        <family val="2"/>
        <scheme val="minor"/>
      </rPr>
      <t>3.MRSU7173880-40HQ</t>
    </r>
  </si>
  <si>
    <t>25020</t>
  </si>
  <si>
    <t>SITSKSVD590781</t>
  </si>
  <si>
    <t xml:space="preserve">NEW CAR AITO M5 PLUG-IN, 2024, NEW CAR AITO M7 PLUG-IN, 2024, </t>
  </si>
  <si>
    <t>NEWPORT CYPRESS 16 V.379W</t>
  </si>
  <si>
    <t>WAN HAI 296 V.S037</t>
  </si>
  <si>
    <t>MORRIS GARAGES  ដែលមានអាសយដ្ឋាន #អគារ ១៧៤-១៧៥ (ប្លុក ១C, ១D និង ២C, ២D) នៃកាលីហ្វ័រញ៉ា សូសលហៅស៍ ផ្លូវ សហព័ន្ធរុស្ស៊ី សង្កាត់ទឹកថ្លា ខណ្ឌសែនសុខ រាជធានីភ្នំពេញ ជាទីតាំងបង្ហាញ (SHOWROOM)របស់ក្រុមហ៊ុន TF MOTORS (CAMBODIA) CO., LTD។</t>
  </si>
  <si>
    <t>MAXUS ដែលមានអាសយដ្ឋាន #អគារ ១៧៤-១៧៥ (ប្លុក ១C, ១D និង ២C, ២D) នៃកាលីហ្វ័រញ៉ា សូសលហៅស៍ ផ្លូវ សហព័ន្ធរុស្ស៊ី សង្កាត់ទឹកថ្លា ខណ្ឌសែនសុខ រាជធានីភ្នំពេញ ជាទីតាំងបង្ហាញ (SHOWROOM)របស់ក្រុមហ៊ុន TF MOTORS (CAMBODIA) CO., LTD។</t>
  </si>
  <si>
    <t>25021</t>
  </si>
  <si>
    <t>SHAWD074703</t>
  </si>
  <si>
    <t>E250781997181174</t>
  </si>
  <si>
    <t>25022</t>
  </si>
  <si>
    <t>SHAWD074743</t>
  </si>
  <si>
    <t>E250781997181173</t>
  </si>
  <si>
    <t>NO. 174-175 (BLOCK 1C, 1D AND 2C, 2D) OF CALIFORNIA HOUSE, RUSSIAN FEDERATION BLVD, SANGKAT TEUK THLA, PHNOM PENH, CAMBODIA VAT: L001-104008598, TEL: +855 888 772 209</t>
  </si>
  <si>
    <t>NO. 174-175 (BLOCK 1C, 1D AND 2C, 2D) OF CALIFORNIA HOUSE, RUSSIAN FEDERATION BLVD,
 SANGKAT TEUK THLA, PHNOM PENH, CAMBODIA
VAT: L001-104008598, TEL: +855 888 772 209</t>
  </si>
  <si>
    <t>GLS 16 V.503N</t>
  </si>
  <si>
    <t>25023</t>
  </si>
  <si>
    <t>TJCD2025010601A</t>
  </si>
  <si>
    <t>1.TCLU5699096-40DRY</t>
  </si>
  <si>
    <t>HANGZHOU LUYI</t>
  </si>
  <si>
    <r>
      <rPr>
        <sz val="11"/>
        <color rgb="FFFF0000"/>
        <rFont val="Calibri"/>
        <family val="2"/>
        <scheme val="minor"/>
      </rPr>
      <t>1.IAAU1788231-40HQ</t>
    </r>
    <r>
      <rPr>
        <sz val="11"/>
        <color theme="1"/>
        <rFont val="Calibri"/>
        <family val="2"/>
        <scheme val="minor"/>
      </rPr>
      <t xml:space="preserve">
</t>
    </r>
    <r>
      <rPr>
        <sz val="11"/>
        <color rgb="FFFF0000"/>
        <rFont val="Calibri"/>
        <family val="2"/>
        <scheme val="minor"/>
      </rPr>
      <t>2.IAAU1861538-40HQ</t>
    </r>
    <r>
      <rPr>
        <sz val="11"/>
        <color theme="1"/>
        <rFont val="Calibri"/>
        <family val="2"/>
        <scheme val="minor"/>
      </rPr>
      <t xml:space="preserve">
</t>
    </r>
    <r>
      <rPr>
        <sz val="11"/>
        <color rgb="FFFF0000"/>
        <rFont val="Calibri"/>
        <family val="2"/>
        <scheme val="minor"/>
      </rPr>
      <t>3.IAAU1890407-40HQ</t>
    </r>
  </si>
  <si>
    <r>
      <rPr>
        <sz val="11"/>
        <color rgb="FFFF0000"/>
        <rFont val="Calibri"/>
        <family val="2"/>
        <scheme val="minor"/>
      </rPr>
      <t>1.AXEU6001259-40HC,</t>
    </r>
    <r>
      <rPr>
        <sz val="11"/>
        <color theme="1"/>
        <rFont val="Calibri"/>
        <family val="2"/>
        <scheme val="minor"/>
      </rPr>
      <t xml:space="preserve"> </t>
    </r>
    <r>
      <rPr>
        <sz val="11"/>
        <color rgb="FFFF0000"/>
        <rFont val="Calibri"/>
        <family val="2"/>
        <scheme val="minor"/>
      </rPr>
      <t>2.AXEU6024824-40HC,</t>
    </r>
    <r>
      <rPr>
        <sz val="11"/>
        <color theme="1"/>
        <rFont val="Calibri"/>
        <family val="2"/>
        <scheme val="minor"/>
      </rPr>
      <t xml:space="preserve"> </t>
    </r>
    <r>
      <rPr>
        <sz val="11"/>
        <color rgb="FFFF0000"/>
        <rFont val="Calibri"/>
        <family val="2"/>
        <scheme val="minor"/>
      </rPr>
      <t>3.AXEU6026832-40HC,</t>
    </r>
    <r>
      <rPr>
        <sz val="11"/>
        <color theme="1"/>
        <rFont val="Calibri"/>
        <family val="2"/>
        <scheme val="minor"/>
      </rPr>
      <t xml:space="preserve"> </t>
    </r>
    <r>
      <rPr>
        <sz val="11"/>
        <color rgb="FFFF0000"/>
        <rFont val="Calibri"/>
        <family val="2"/>
        <scheme val="minor"/>
      </rPr>
      <t>4.JTMU6002561-4HC,</t>
    </r>
    <r>
      <rPr>
        <sz val="11"/>
        <color theme="1"/>
        <rFont val="Calibri"/>
        <family val="2"/>
        <scheme val="minor"/>
      </rPr>
      <t xml:space="preserve"> </t>
    </r>
    <r>
      <rPr>
        <sz val="11"/>
        <color rgb="FFFF0000"/>
        <rFont val="Calibri"/>
        <family val="2"/>
        <scheme val="minor"/>
      </rPr>
      <t>5.NLLU9501088-40HC,</t>
    </r>
    <r>
      <rPr>
        <sz val="11"/>
        <color theme="1"/>
        <rFont val="Calibri"/>
        <family val="2"/>
        <scheme val="minor"/>
      </rPr>
      <t xml:space="preserve"> </t>
    </r>
    <r>
      <rPr>
        <sz val="11"/>
        <color rgb="FFFF0000"/>
        <rFont val="Calibri"/>
        <family val="2"/>
        <scheme val="minor"/>
      </rPr>
      <t>6.NLLU9503542-40HC,</t>
    </r>
    <r>
      <rPr>
        <sz val="11"/>
        <color theme="1"/>
        <rFont val="Calibri"/>
        <family val="2"/>
        <scheme val="minor"/>
      </rPr>
      <t xml:space="preserve"> </t>
    </r>
    <r>
      <rPr>
        <sz val="11"/>
        <color rgb="FFFF0000"/>
        <rFont val="Calibri"/>
        <family val="2"/>
        <scheme val="minor"/>
      </rPr>
      <t>7.TGHU6810372-40HC</t>
    </r>
  </si>
  <si>
    <t>SHUN DA AUTO</t>
  </si>
  <si>
    <t>ឈ្មោះ SHUN DA AUTO ដែលមានទីតាំង#143 ផ្លូវ ទន្លេសាប ភូមិ ៣ សង្កាត់ ជ្រោយចង្វារ រាជធានីភ្នំពេញ ទូរស័ព្ទលេខ 070 557 817 ។</t>
  </si>
  <si>
    <t>11.5882787, 104.9277179</t>
  </si>
  <si>
    <t>CHQ00TRP240814867</t>
  </si>
  <si>
    <t>CHQ00TRP240814870</t>
  </si>
  <si>
    <t>25024</t>
  </si>
  <si>
    <t>25025</t>
  </si>
  <si>
    <t>OOLU2753952210</t>
  </si>
  <si>
    <t>KANWAY LUCKY 006S</t>
  </si>
  <si>
    <t>ELECTRIC CLEANING TRUCK,BAIYICQ,2025</t>
  </si>
  <si>
    <t>1.OOLU0386919-20GP</t>
  </si>
  <si>
    <t>02251076200002670</t>
  </si>
  <si>
    <t>GUANGZHOU TIEGE</t>
  </si>
  <si>
    <t>បញ្ចេញទំនិញនៅតំបន់សេដ្ឋកិច្ចពិសេសសុវណ្ណភូមិ</t>
  </si>
  <si>
    <t>ZHUNG GU DONG HAI V.502S</t>
  </si>
  <si>
    <t>GLS 16 V.505N</t>
  </si>
  <si>
    <t>TJCD2024I23001-3A</t>
  </si>
  <si>
    <t>25026</t>
  </si>
  <si>
    <t>24L870328180492-1</t>
  </si>
  <si>
    <t>NEW CAR AITO M5 PLUG-IN, 2025
NEW CAR AITO M9 PLUG-IN, 2025
NEW CAR AITO M9 EV, 2025</t>
  </si>
  <si>
    <t>25027</t>
  </si>
  <si>
    <t>SHAWD074858</t>
  </si>
  <si>
    <t>SHAWD074799</t>
  </si>
  <si>
    <t>20588706ETC</t>
  </si>
  <si>
    <t>E250781997181203</t>
  </si>
  <si>
    <t>25028</t>
  </si>
  <si>
    <t>E250781997181202</t>
  </si>
  <si>
    <r>
      <rPr>
        <sz val="11"/>
        <color rgb="FFFF0000"/>
        <rFont val="Calibri"/>
        <family val="2"/>
        <scheme val="minor"/>
      </rPr>
      <t>1.CAAU5244708-40HC</t>
    </r>
    <r>
      <rPr>
        <sz val="11"/>
        <color theme="1"/>
        <rFont val="Calibri"/>
        <family val="2"/>
        <scheme val="minor"/>
      </rPr>
      <t xml:space="preserve">
</t>
    </r>
    <r>
      <rPr>
        <sz val="11"/>
        <color rgb="FFFF0000"/>
        <rFont val="Calibri"/>
        <family val="2"/>
        <scheme val="minor"/>
      </rPr>
      <t>2.MSKU0042491-40HC</t>
    </r>
    <r>
      <rPr>
        <sz val="11"/>
        <color theme="1"/>
        <rFont val="Calibri"/>
        <family val="2"/>
        <scheme val="minor"/>
      </rPr>
      <t xml:space="preserve">
</t>
    </r>
    <r>
      <rPr>
        <sz val="11"/>
        <color rgb="FFFF0000"/>
        <rFont val="Calibri"/>
        <family val="2"/>
        <scheme val="minor"/>
      </rPr>
      <t>3.CAAU7045201-40HC</t>
    </r>
    <r>
      <rPr>
        <sz val="11"/>
        <color theme="1"/>
        <rFont val="Calibri"/>
        <family val="2"/>
        <scheme val="minor"/>
      </rPr>
      <t xml:space="preserve">
</t>
    </r>
    <r>
      <rPr>
        <sz val="11"/>
        <color rgb="FFFF0000"/>
        <rFont val="Calibri"/>
        <family val="2"/>
        <scheme val="minor"/>
      </rPr>
      <t>4.TCNU6390540-40HC
5.TCNU4411582-40HC</t>
    </r>
  </si>
  <si>
    <r>
      <rPr>
        <sz val="11"/>
        <color rgb="FFFF0000"/>
        <rFont val="Calibri"/>
        <family val="2"/>
        <scheme val="minor"/>
      </rPr>
      <t>1.SEGU6846989-40HC</t>
    </r>
    <r>
      <rPr>
        <sz val="11"/>
        <color theme="1"/>
        <rFont val="Calibri"/>
        <family val="2"/>
        <scheme val="minor"/>
      </rPr>
      <t xml:space="preserve">
</t>
    </r>
    <r>
      <rPr>
        <sz val="11"/>
        <color rgb="FFFF0000"/>
        <rFont val="Calibri"/>
        <family val="2"/>
        <scheme val="minor"/>
      </rPr>
      <t>2.CAIU7698111-40HC</t>
    </r>
    <r>
      <rPr>
        <sz val="11"/>
        <color theme="1"/>
        <rFont val="Calibri"/>
        <family val="2"/>
        <scheme val="minor"/>
      </rPr>
      <t xml:space="preserve">
3.TCNU1740352-40HC
</t>
    </r>
    <r>
      <rPr>
        <sz val="11"/>
        <color rgb="FFFF0000"/>
        <rFont val="Calibri"/>
        <family val="2"/>
        <scheme val="minor"/>
      </rPr>
      <t>4.FFAU4315800-40HC</t>
    </r>
    <r>
      <rPr>
        <sz val="11"/>
        <color theme="1"/>
        <rFont val="Calibri"/>
        <family val="2"/>
        <scheme val="minor"/>
      </rPr>
      <t xml:space="preserve">
</t>
    </r>
    <r>
      <rPr>
        <sz val="11"/>
        <color rgb="FFFF0000"/>
        <rFont val="Calibri"/>
        <family val="2"/>
        <scheme val="minor"/>
      </rPr>
      <t>5.SITU9084458-40HC</t>
    </r>
    <r>
      <rPr>
        <sz val="11"/>
        <color theme="1"/>
        <rFont val="Calibri"/>
        <family val="2"/>
        <scheme val="minor"/>
      </rPr>
      <t xml:space="preserve">
</t>
    </r>
    <r>
      <rPr>
        <sz val="11"/>
        <color rgb="FFFF0000"/>
        <rFont val="Calibri"/>
        <family val="2"/>
        <scheme val="minor"/>
      </rPr>
      <t>6.SLSU8035832-40HC
7.BMOU6497257-40HC</t>
    </r>
    <r>
      <rPr>
        <sz val="11"/>
        <color theme="1"/>
        <rFont val="Calibri"/>
        <family val="2"/>
        <scheme val="minor"/>
      </rPr>
      <t xml:space="preserve">
</t>
    </r>
    <r>
      <rPr>
        <sz val="11"/>
        <color rgb="FFFF0000"/>
        <rFont val="Calibri"/>
        <family val="2"/>
        <scheme val="minor"/>
      </rPr>
      <t>8.UETU5712801-40HC</t>
    </r>
    <r>
      <rPr>
        <sz val="11"/>
        <color theme="1"/>
        <rFont val="Calibri"/>
        <family val="2"/>
        <scheme val="minor"/>
      </rPr>
      <t xml:space="preserve">
</t>
    </r>
    <r>
      <rPr>
        <sz val="11"/>
        <color rgb="FFFF0000"/>
        <rFont val="Calibri"/>
        <family val="2"/>
        <scheme val="minor"/>
      </rPr>
      <t>9.TCKU7160378-40HC</t>
    </r>
    <r>
      <rPr>
        <sz val="11"/>
        <color theme="1"/>
        <rFont val="Calibri"/>
        <family val="2"/>
        <scheme val="minor"/>
      </rPr>
      <t xml:space="preserve">
</t>
    </r>
    <r>
      <rPr>
        <sz val="11"/>
        <color rgb="FFFF0000"/>
        <rFont val="Calibri"/>
        <family val="2"/>
        <scheme val="minor"/>
      </rPr>
      <t>10.BMOU6508460-40HC</t>
    </r>
    <r>
      <rPr>
        <sz val="11"/>
        <color theme="1"/>
        <rFont val="Calibri"/>
        <family val="2"/>
        <scheme val="minor"/>
      </rPr>
      <t xml:space="preserve">
</t>
    </r>
    <r>
      <rPr>
        <sz val="11"/>
        <color rgb="FFFF0000"/>
        <rFont val="Calibri"/>
        <family val="2"/>
        <scheme val="minor"/>
      </rPr>
      <t>11.UETU5430006-40HC</t>
    </r>
    <r>
      <rPr>
        <sz val="11"/>
        <color theme="1"/>
        <rFont val="Calibri"/>
        <family val="2"/>
        <scheme val="minor"/>
      </rPr>
      <t xml:space="preserve">
</t>
    </r>
    <r>
      <rPr>
        <sz val="11"/>
        <color rgb="FFFF0000"/>
        <rFont val="Calibri"/>
        <family val="2"/>
        <scheme val="minor"/>
      </rPr>
      <t>12.TIIU6062658-40HC</t>
    </r>
    <r>
      <rPr>
        <sz val="11"/>
        <color theme="1"/>
        <rFont val="Calibri"/>
        <family val="2"/>
        <scheme val="minor"/>
      </rPr>
      <t xml:space="preserve">
</t>
    </r>
    <r>
      <rPr>
        <sz val="11"/>
        <color rgb="FFFF0000"/>
        <rFont val="Calibri"/>
        <family val="2"/>
        <scheme val="minor"/>
      </rPr>
      <t>13.TEMU6150174-40HC
14.FBLU0208300-40HC
15.FFAU5283821-40HC</t>
    </r>
    <r>
      <rPr>
        <sz val="11"/>
        <color theme="1"/>
        <rFont val="Calibri"/>
        <family val="2"/>
        <scheme val="minor"/>
      </rPr>
      <t xml:space="preserve">
</t>
    </r>
    <r>
      <rPr>
        <sz val="11"/>
        <color rgb="FFFF0000"/>
        <rFont val="Calibri"/>
        <family val="2"/>
        <scheme val="minor"/>
      </rPr>
      <t>16.UETU5639526-40HC</t>
    </r>
    <r>
      <rPr>
        <sz val="11"/>
        <color theme="1"/>
        <rFont val="Calibri"/>
        <family val="2"/>
        <scheme val="minor"/>
      </rPr>
      <t xml:space="preserve">
</t>
    </r>
    <r>
      <rPr>
        <sz val="11"/>
        <color rgb="FFFF0000"/>
        <rFont val="Calibri"/>
        <family val="2"/>
        <scheme val="minor"/>
      </rPr>
      <t>17.SITU9151509-40HC</t>
    </r>
    <r>
      <rPr>
        <sz val="11"/>
        <color theme="1"/>
        <rFont val="Calibri"/>
        <family val="2"/>
        <scheme val="minor"/>
      </rPr>
      <t xml:space="preserve">
</t>
    </r>
    <r>
      <rPr>
        <sz val="11"/>
        <color rgb="FFFF0000"/>
        <rFont val="Calibri"/>
        <family val="2"/>
        <scheme val="minor"/>
      </rPr>
      <t>18.UETU5633805-40HC</t>
    </r>
  </si>
  <si>
    <t>25029</t>
  </si>
  <si>
    <t>25KH01GTB8EZS0012</t>
  </si>
  <si>
    <t>NEW CAR  L9 PLUG-IN, 2024</t>
  </si>
  <si>
    <t>1.UETU5615400-DRY
2.TIIU5886365-DRY
3.FFAU4835926-DRY</t>
  </si>
  <si>
    <t>25030</t>
  </si>
  <si>
    <t>ONEYRICETK938600</t>
  </si>
  <si>
    <t>ACR2025.E014</t>
  </si>
  <si>
    <t>NEW CAR CADILLAC ESCALADE SPORT, 2025</t>
  </si>
  <si>
    <t>1.MOTU1426905-40HQ</t>
  </si>
  <si>
    <t>LUCKY FREIGHT, INC</t>
  </si>
  <si>
    <t>25031</t>
  </si>
  <si>
    <t>ឈ្មោះ HYDRA ដែលមានទីតាំង CHH IV0235, Russian Federation Blvd, Kbal Damrey I Village, Sangkat Kakap 1, Khann Por Senchey, Phnom Penh រាជធានីភ្នំពេញ ទូរស័ព្ទលេខ 017924492 ។</t>
  </si>
  <si>
    <t>HYDRA</t>
  </si>
  <si>
    <t>https://maps.app.goo.gl/GxewmX7TLuHwQp4J7</t>
  </si>
  <si>
    <t>TWBPP20250205HDR20A</t>
  </si>
  <si>
    <t>HDR2025.EP020A</t>
  </si>
  <si>
    <t>NEW CAR CADILLAC ESCALADE PREMIUM LUXURY, 2025</t>
  </si>
  <si>
    <t>CAPRICORN TRANSPORT</t>
  </si>
  <si>
    <t>25032</t>
  </si>
  <si>
    <t>SHAWD074894</t>
  </si>
  <si>
    <t>20590074ETC</t>
  </si>
  <si>
    <t>NEW CAR MG 7, 1.5T AT DEL, 2025
NEW CAR MG ZS, 2025</t>
  </si>
  <si>
    <r>
      <rPr>
        <sz val="11"/>
        <color rgb="FFFF0000"/>
        <rFont val="Calibri"/>
        <family val="2"/>
        <scheme val="minor"/>
      </rPr>
      <t>1.AMFU8514313-40HQ
2.MSKU8486722-40HQ
3.MSKU8526810-40HQ</t>
    </r>
    <r>
      <rPr>
        <sz val="11"/>
        <color theme="1"/>
        <rFont val="Calibri"/>
        <family val="2"/>
        <scheme val="minor"/>
      </rPr>
      <t xml:space="preserve">
</t>
    </r>
    <r>
      <rPr>
        <sz val="11"/>
        <color rgb="FFFF0000"/>
        <rFont val="Calibri"/>
        <family val="2"/>
        <scheme val="minor"/>
      </rPr>
      <t>4.MSKU8661893-40HQ</t>
    </r>
    <r>
      <rPr>
        <sz val="11"/>
        <color theme="1"/>
        <rFont val="Calibri"/>
        <family val="2"/>
        <scheme val="minor"/>
      </rPr>
      <t xml:space="preserve">
</t>
    </r>
    <r>
      <rPr>
        <sz val="11"/>
        <color rgb="FFFF0000"/>
        <rFont val="Calibri"/>
        <family val="2"/>
        <scheme val="minor"/>
      </rPr>
      <t>5.MSKU8666792-40HQ</t>
    </r>
    <r>
      <rPr>
        <sz val="11"/>
        <color theme="1"/>
        <rFont val="Calibri"/>
        <family val="2"/>
        <scheme val="minor"/>
      </rPr>
      <t xml:space="preserve">
</t>
    </r>
    <r>
      <rPr>
        <sz val="11"/>
        <color rgb="FFFF0000"/>
        <rFont val="Calibri"/>
        <family val="2"/>
        <scheme val="minor"/>
      </rPr>
      <t>6.MSKU8970697-40HQ</t>
    </r>
    <r>
      <rPr>
        <sz val="11"/>
        <color theme="1"/>
        <rFont val="Calibri"/>
        <family val="2"/>
        <scheme val="minor"/>
      </rPr>
      <t xml:space="preserve">
</t>
    </r>
    <r>
      <rPr>
        <sz val="11"/>
        <color rgb="FFFF0000"/>
        <rFont val="Calibri"/>
        <family val="2"/>
        <scheme val="minor"/>
      </rPr>
      <t>7.SUDU5627965-40HQ</t>
    </r>
    <r>
      <rPr>
        <sz val="11"/>
        <color theme="1"/>
        <rFont val="Calibri"/>
        <family val="2"/>
        <scheme val="minor"/>
      </rPr>
      <t xml:space="preserve">
</t>
    </r>
    <r>
      <rPr>
        <sz val="11"/>
        <color rgb="FFFF0000"/>
        <rFont val="Calibri"/>
        <family val="2"/>
        <scheme val="minor"/>
      </rPr>
      <t>8.TGHU6806243-40HQ</t>
    </r>
  </si>
  <si>
    <r>
      <rPr>
        <sz val="11"/>
        <color rgb="FFFF0000"/>
        <rFont val="Calibri"/>
        <family val="2"/>
        <scheme val="minor"/>
      </rPr>
      <t>1.CAAU5404600-40HQ</t>
    </r>
    <r>
      <rPr>
        <sz val="11"/>
        <color theme="1"/>
        <rFont val="Calibri"/>
        <family val="2"/>
        <scheme val="minor"/>
      </rPr>
      <t xml:space="preserve">
</t>
    </r>
    <r>
      <rPr>
        <sz val="11"/>
        <color rgb="FFFF0000"/>
        <rFont val="Calibri"/>
        <family val="2"/>
        <scheme val="minor"/>
      </rPr>
      <t>2.FFAU4772704-40HQ</t>
    </r>
    <r>
      <rPr>
        <sz val="11"/>
        <color theme="1"/>
        <rFont val="Calibri"/>
        <family val="2"/>
        <scheme val="minor"/>
      </rPr>
      <t xml:space="preserve">
</t>
    </r>
    <r>
      <rPr>
        <sz val="11"/>
        <color rgb="FFFF0000"/>
        <rFont val="Calibri"/>
        <family val="2"/>
        <scheme val="minor"/>
      </rPr>
      <t>3.GAOU7215130-40HQ</t>
    </r>
    <r>
      <rPr>
        <sz val="11"/>
        <color theme="1"/>
        <rFont val="Calibri"/>
        <family val="2"/>
        <scheme val="minor"/>
      </rPr>
      <t xml:space="preserve">
</t>
    </r>
    <r>
      <rPr>
        <sz val="11"/>
        <color rgb="FFFF0000"/>
        <rFont val="Calibri"/>
        <family val="2"/>
        <scheme val="minor"/>
      </rPr>
      <t>4.MRKU4890441-40HQ</t>
    </r>
    <r>
      <rPr>
        <sz val="11"/>
        <color theme="1"/>
        <rFont val="Calibri"/>
        <family val="2"/>
        <scheme val="minor"/>
      </rPr>
      <t xml:space="preserve">
</t>
    </r>
    <r>
      <rPr>
        <sz val="11"/>
        <color rgb="FFFF0000"/>
        <rFont val="Calibri"/>
        <family val="2"/>
        <scheme val="minor"/>
      </rPr>
      <t>5.MRSU3973837-40HQ</t>
    </r>
    <r>
      <rPr>
        <sz val="11"/>
        <color theme="1"/>
        <rFont val="Calibri"/>
        <family val="2"/>
        <scheme val="minor"/>
      </rPr>
      <t xml:space="preserve">
</t>
    </r>
    <r>
      <rPr>
        <sz val="11"/>
        <color rgb="FFFF0000"/>
        <rFont val="Calibri"/>
        <family val="2"/>
        <scheme val="minor"/>
      </rPr>
      <t>6.MRSU4023470-40HQ
7.MRSU4139752-40HQ</t>
    </r>
    <r>
      <rPr>
        <sz val="11"/>
        <color theme="1"/>
        <rFont val="Calibri"/>
        <family val="2"/>
        <scheme val="minor"/>
      </rPr>
      <t xml:space="preserve">
</t>
    </r>
    <r>
      <rPr>
        <sz val="11"/>
        <color rgb="FFFF0000"/>
        <rFont val="Calibri"/>
        <family val="2"/>
        <scheme val="minor"/>
      </rPr>
      <t>8.MRSU4374788-40HQ
9.MSKU0343807-40HQ</t>
    </r>
    <r>
      <rPr>
        <sz val="11"/>
        <color theme="1"/>
        <rFont val="Calibri"/>
        <family val="2"/>
        <scheme val="minor"/>
      </rPr>
      <t xml:space="preserve">
</t>
    </r>
    <r>
      <rPr>
        <sz val="11"/>
        <color rgb="FFFF0000"/>
        <rFont val="Calibri"/>
        <family val="2"/>
        <scheme val="minor"/>
      </rPr>
      <t>10.MSKU1889840-40HQ</t>
    </r>
    <r>
      <rPr>
        <sz val="11"/>
        <color theme="1"/>
        <rFont val="Calibri"/>
        <family val="2"/>
        <scheme val="minor"/>
      </rPr>
      <t xml:space="preserve">
</t>
    </r>
    <r>
      <rPr>
        <sz val="11"/>
        <color rgb="FFFF0000"/>
        <rFont val="Calibri"/>
        <family val="2"/>
        <scheme val="minor"/>
      </rPr>
      <t>11.TCNU3197305-40HQ</t>
    </r>
    <r>
      <rPr>
        <sz val="11"/>
        <color theme="1"/>
        <rFont val="Calibri"/>
        <family val="2"/>
        <scheme val="minor"/>
      </rPr>
      <t xml:space="preserve">
</t>
    </r>
    <r>
      <rPr>
        <sz val="11"/>
        <color rgb="FFFF0000"/>
        <rFont val="Calibri"/>
        <family val="2"/>
        <scheme val="minor"/>
      </rPr>
      <t>12.UETU6822505-40HQ</t>
    </r>
  </si>
  <si>
    <r>
      <rPr>
        <sz val="11"/>
        <color rgb="FFFF0000"/>
        <rFont val="Calibri"/>
        <family val="2"/>
        <scheme val="minor"/>
      </rPr>
      <t>1.SUDU6937564-40DRY</t>
    </r>
    <r>
      <rPr>
        <sz val="11"/>
        <color theme="1"/>
        <rFont val="Calibri"/>
        <family val="2"/>
        <scheme val="minor"/>
      </rPr>
      <t xml:space="preserve">
</t>
    </r>
    <r>
      <rPr>
        <sz val="11"/>
        <color rgb="FFFF0000"/>
        <rFont val="Calibri"/>
        <family val="2"/>
        <scheme val="minor"/>
      </rPr>
      <t>2.CAXU9189619-40DRY</t>
    </r>
    <r>
      <rPr>
        <sz val="11"/>
        <color theme="1"/>
        <rFont val="Calibri"/>
        <family val="2"/>
        <scheme val="minor"/>
      </rPr>
      <t xml:space="preserve">
</t>
    </r>
    <r>
      <rPr>
        <sz val="11"/>
        <color rgb="FFFF0000"/>
        <rFont val="Calibri"/>
        <family val="2"/>
        <scheme val="minor"/>
      </rPr>
      <t>3.SUDU5829903-40DRY</t>
    </r>
    <r>
      <rPr>
        <sz val="11"/>
        <color theme="1"/>
        <rFont val="Calibri"/>
        <family val="2"/>
        <scheme val="minor"/>
      </rPr>
      <t xml:space="preserve">
</t>
    </r>
    <r>
      <rPr>
        <sz val="11"/>
        <color rgb="FFFF0000"/>
        <rFont val="Calibri"/>
        <family val="2"/>
        <scheme val="minor"/>
      </rPr>
      <t>4.HASU5108490-40DRY</t>
    </r>
    <r>
      <rPr>
        <sz val="11"/>
        <color theme="1"/>
        <rFont val="Calibri"/>
        <family val="2"/>
        <scheme val="minor"/>
      </rPr>
      <t xml:space="preserve">
</t>
    </r>
    <r>
      <rPr>
        <sz val="11"/>
        <color rgb="FFFF0000"/>
        <rFont val="Calibri"/>
        <family val="2"/>
        <scheme val="minor"/>
      </rPr>
      <t>5.TGHU9721854-40DRY
6.MRKU5176059-40DRY</t>
    </r>
    <r>
      <rPr>
        <sz val="11"/>
        <color theme="1"/>
        <rFont val="Calibri"/>
        <family val="2"/>
        <scheme val="minor"/>
      </rPr>
      <t xml:space="preserve">
</t>
    </r>
    <r>
      <rPr>
        <sz val="11"/>
        <color rgb="FFFF0000"/>
        <rFont val="Calibri"/>
        <family val="2"/>
        <scheme val="minor"/>
      </rPr>
      <t>7.MRKU2018208-40DRY</t>
    </r>
  </si>
  <si>
    <t>E250781997181253</t>
  </si>
  <si>
    <t>25033</t>
  </si>
  <si>
    <t>TWBPP20250215HDR27</t>
  </si>
  <si>
    <t>HDR2025.EP027</t>
  </si>
  <si>
    <t>NEW CAR CADILLAC ESCALADE PREMIUM LUXURY PLATINUM, 2025
NEW CAR CADILLAC ESCALADE SPORT PLATINUM, 2025</t>
  </si>
  <si>
    <t>25034</t>
  </si>
  <si>
    <t>1.MRSU3019686-40DRY</t>
  </si>
  <si>
    <t>32 UNITS</t>
  </si>
  <si>
    <t>25035</t>
  </si>
  <si>
    <t>GLSN165064979</t>
  </si>
  <si>
    <t>1.FCIU8012559-40HC</t>
  </si>
  <si>
    <t>45 UNITS</t>
  </si>
  <si>
    <t>25036</t>
  </si>
  <si>
    <t>HBCBD241401</t>
  </si>
  <si>
    <t>F&amp;N FOODS (CAMBODIA) CO., LTD</t>
  </si>
  <si>
    <t>F&amp;N</t>
  </si>
  <si>
    <t>CBD.24.14/IV1</t>
  </si>
  <si>
    <t>PVG15</t>
  </si>
  <si>
    <t>408 PACKAGES</t>
  </si>
  <si>
    <t>BMB</t>
  </si>
  <si>
    <t>ការិយាល័យគយ និងរដ្ឋាករមាត់ច្រកអន្តរជាតិម៉ឺនជ័យ</t>
  </si>
  <si>
    <t>ផ្ទះលេខ ៥២ ផ្លូវ ៥៩៨ ភូមិ ៥ សង្កាត់បឹងកក់ ២ ខណ្ឌទួលគោគ រាជធានីភ្នំពេញ
VAT: L001-902400750</t>
  </si>
  <si>
    <t>L001-902400750</t>
  </si>
  <si>
    <t>WICHAI ON-SRI..</t>
  </si>
  <si>
    <t>ភេទប្រុស ដែលមានលិខិតឆ្លងដែនលេខៈ AB2484839 នាយករដ្ឋាបាលនៃក្រុមហ៊ុន F&amp;N FOODS(CAMBODIA) CO., LTD អត្តសញ្ញាណកម្មសារពើពន្ធ (VAT)លេខៈ L001-902400750 ទូរសព្ទ័លេខៈ 089 890 324 ទីតាំងនៅផ្ទះលេខ ៥២ ផ្លូវ ៥៩៨ ភូមិ ៥ សង្កាត់បឹងកក់ ២ ខណ្ឌទួលគោគ រាជធានីភ្នំពេញ ។</t>
  </si>
  <si>
    <t>25037</t>
  </si>
  <si>
    <t>ROAD SWEEPER MACHINE, WIRE BRUSH</t>
  </si>
  <si>
    <t>3 PACKAGES</t>
  </si>
  <si>
    <t>BKK</t>
  </si>
  <si>
    <t>PL25/0051</t>
  </si>
  <si>
    <t>CAI MEP 48 V.013W</t>
  </si>
  <si>
    <t>WAN HAI 292 V.S046</t>
  </si>
  <si>
    <t>VN-KH 25/03/000464</t>
  </si>
  <si>
    <t>BKK20250201</t>
  </si>
  <si>
    <t>25038</t>
  </si>
  <si>
    <t>GLSN075095049</t>
  </si>
  <si>
    <t>20250218/VP-BJC-KH</t>
  </si>
  <si>
    <t>VN-KH 25/01/009399</t>
  </si>
  <si>
    <t>PHUC KHANH 356S</t>
  </si>
  <si>
    <t>GLS07 V509N</t>
  </si>
  <si>
    <t>1.GAOU7906940-40HC</t>
  </si>
  <si>
    <t>TRUCK: 79-6790</t>
  </si>
  <si>
    <t>25039</t>
  </si>
  <si>
    <t>SHAWD074974</t>
  </si>
  <si>
    <t>NEW CAR MG 7, 2.0T AT LUX, 2025</t>
  </si>
  <si>
    <t>25040</t>
  </si>
  <si>
    <t>SHAWD075010</t>
  </si>
  <si>
    <t>1.MRSU7428321-40HQ
2.MRSU7428851-40HQ
3.MRSU7432450-40HQ
4.MRSU7518317-40HQ
5.MRSU7518370-40HQ
6.MRSU7527469-40HQ
7.MRSU7527495-40HQ
8.MRSU7557904-40HQ
9.MRSU7562829-40HQ
10.MRSU7563620-40HQ
11.MRSU7563804-40HQ
12.MRSU7563893-40HQ</t>
  </si>
  <si>
    <t>25041</t>
  </si>
  <si>
    <t>SHAWD075008</t>
  </si>
  <si>
    <t>NEW CAR MG GT, 1.5T DCT DEL, 2025</t>
  </si>
  <si>
    <t>25042</t>
  </si>
  <si>
    <t>SHAWD074908</t>
  </si>
  <si>
    <t>25043</t>
  </si>
  <si>
    <t>SHAWD074984</t>
  </si>
  <si>
    <t>NEW CAR MG RX9, 2.0T AT LUXPLUS, 2025</t>
  </si>
  <si>
    <t>E250781997181288</t>
  </si>
  <si>
    <t>E250781997181287</t>
  </si>
  <si>
    <t>E250781997181286</t>
  </si>
  <si>
    <t>E250781997181274</t>
  </si>
  <si>
    <t>E250781997181262</t>
  </si>
  <si>
    <t>TRUONG HAI STAR 2 2503S</t>
  </si>
  <si>
    <t>GLS 16 V.506N</t>
  </si>
  <si>
    <r>
      <rPr>
        <sz val="11"/>
        <color rgb="FFFF0000"/>
        <rFont val="Calibri"/>
        <family val="2"/>
        <scheme val="minor"/>
      </rPr>
      <t>1.IAAU1709762-40HQ</t>
    </r>
    <r>
      <rPr>
        <sz val="11"/>
        <color theme="1"/>
        <rFont val="Calibri"/>
        <family val="2"/>
        <scheme val="minor"/>
      </rPr>
      <t xml:space="preserve">
</t>
    </r>
    <r>
      <rPr>
        <sz val="11"/>
        <color rgb="FFFF0000"/>
        <rFont val="Calibri"/>
        <family val="2"/>
        <scheme val="minor"/>
      </rPr>
      <t>2.IAAU1747438-40HQ</t>
    </r>
    <r>
      <rPr>
        <sz val="11"/>
        <color theme="1"/>
        <rFont val="Calibri"/>
        <family val="2"/>
        <scheme val="minor"/>
      </rPr>
      <t xml:space="preserve">
</t>
    </r>
    <r>
      <rPr>
        <sz val="11"/>
        <color rgb="FFFF0000"/>
        <rFont val="Calibri"/>
        <family val="2"/>
        <scheme val="minor"/>
      </rPr>
      <t>3.IAAU1758582-40HQ</t>
    </r>
    <r>
      <rPr>
        <sz val="11"/>
        <color theme="1"/>
        <rFont val="Calibri"/>
        <family val="2"/>
        <scheme val="minor"/>
      </rPr>
      <t xml:space="preserve">
</t>
    </r>
    <r>
      <rPr>
        <sz val="11"/>
        <color rgb="FFFF0000"/>
        <rFont val="Calibri"/>
        <family val="2"/>
        <scheme val="minor"/>
      </rPr>
      <t>4.IAAU1827148-40HQ</t>
    </r>
    <r>
      <rPr>
        <sz val="11"/>
        <color theme="1"/>
        <rFont val="Calibri"/>
        <family val="2"/>
        <scheme val="minor"/>
      </rPr>
      <t xml:space="preserve">
</t>
    </r>
    <r>
      <rPr>
        <sz val="11"/>
        <color rgb="FFFF0000"/>
        <rFont val="Calibri"/>
        <family val="2"/>
        <scheme val="minor"/>
      </rPr>
      <t>5.IAAU1863398-40HQ</t>
    </r>
    <r>
      <rPr>
        <sz val="11"/>
        <color theme="1"/>
        <rFont val="Calibri"/>
        <family val="2"/>
        <scheme val="minor"/>
      </rPr>
      <t xml:space="preserve">
</t>
    </r>
    <r>
      <rPr>
        <sz val="11"/>
        <color rgb="FFFF0000"/>
        <rFont val="Calibri"/>
        <family val="2"/>
        <scheme val="minor"/>
      </rPr>
      <t>6.IAAU1863700-40HQ</t>
    </r>
    <r>
      <rPr>
        <sz val="11"/>
        <color theme="1"/>
        <rFont val="Calibri"/>
        <family val="2"/>
        <scheme val="minor"/>
      </rPr>
      <t xml:space="preserve">
</t>
    </r>
    <r>
      <rPr>
        <sz val="11"/>
        <color rgb="FFFF0000"/>
        <rFont val="Calibri"/>
        <family val="2"/>
        <scheme val="minor"/>
      </rPr>
      <t>7.IAAU1893411-40HQ</t>
    </r>
    <r>
      <rPr>
        <sz val="11"/>
        <color theme="1"/>
        <rFont val="Calibri"/>
        <family val="2"/>
        <scheme val="minor"/>
      </rPr>
      <t xml:space="preserve">
</t>
    </r>
    <r>
      <rPr>
        <sz val="11"/>
        <color rgb="FFFF0000"/>
        <rFont val="Calibri"/>
        <family val="2"/>
        <scheme val="minor"/>
      </rPr>
      <t>8.IAAU1903417-40HQ</t>
    </r>
    <r>
      <rPr>
        <sz val="11"/>
        <color theme="1"/>
        <rFont val="Calibri"/>
        <family val="2"/>
        <scheme val="minor"/>
      </rPr>
      <t xml:space="preserve">
</t>
    </r>
    <r>
      <rPr>
        <sz val="11"/>
        <color rgb="FFFF0000"/>
        <rFont val="Calibri"/>
        <family val="2"/>
        <scheme val="minor"/>
      </rPr>
      <t>9.IAAU1936719-40HQ</t>
    </r>
    <r>
      <rPr>
        <sz val="11"/>
        <color theme="1"/>
        <rFont val="Calibri"/>
        <family val="2"/>
        <scheme val="minor"/>
      </rPr>
      <t xml:space="preserve">
</t>
    </r>
    <r>
      <rPr>
        <sz val="11"/>
        <color rgb="FFFF0000"/>
        <rFont val="Calibri"/>
        <family val="2"/>
        <scheme val="minor"/>
      </rPr>
      <t>10.IAAU1945048-40HQ</t>
    </r>
    <r>
      <rPr>
        <sz val="11"/>
        <color theme="1"/>
        <rFont val="Calibri"/>
        <family val="2"/>
        <scheme val="minor"/>
      </rPr>
      <t xml:space="preserve">
</t>
    </r>
    <r>
      <rPr>
        <sz val="11"/>
        <color rgb="FFFF0000"/>
        <rFont val="Calibri"/>
        <family val="2"/>
        <scheme val="minor"/>
      </rPr>
      <t>11.IAAU1945644-40HQ</t>
    </r>
  </si>
  <si>
    <r>
      <rPr>
        <sz val="11"/>
        <color rgb="FFFF0000"/>
        <rFont val="Calibri"/>
        <family val="2"/>
        <scheme val="minor"/>
      </rPr>
      <t>1.IAAU1772810-40HQ</t>
    </r>
    <r>
      <rPr>
        <sz val="11"/>
        <color theme="1"/>
        <rFont val="Calibri"/>
        <family val="2"/>
        <scheme val="minor"/>
      </rPr>
      <t xml:space="preserve">
</t>
    </r>
    <r>
      <rPr>
        <sz val="11"/>
        <color rgb="FFFF0000"/>
        <rFont val="Calibri"/>
        <family val="2"/>
        <scheme val="minor"/>
      </rPr>
      <t>2.IAAU1789433-40HQ</t>
    </r>
    <r>
      <rPr>
        <sz val="11"/>
        <color theme="1"/>
        <rFont val="Calibri"/>
        <family val="2"/>
        <scheme val="minor"/>
      </rPr>
      <t xml:space="preserve">
</t>
    </r>
    <r>
      <rPr>
        <sz val="11"/>
        <color rgb="FFFF0000"/>
        <rFont val="Calibri"/>
        <family val="2"/>
        <scheme val="minor"/>
      </rPr>
      <t>3.IAAU1852747-40HQ</t>
    </r>
    <r>
      <rPr>
        <sz val="11"/>
        <color theme="1"/>
        <rFont val="Calibri"/>
        <family val="2"/>
        <scheme val="minor"/>
      </rPr>
      <t xml:space="preserve">
</t>
    </r>
    <r>
      <rPr>
        <sz val="11"/>
        <color rgb="FFFF0000"/>
        <rFont val="Calibri"/>
        <family val="2"/>
        <scheme val="minor"/>
      </rPr>
      <t>4.IAAU1910946-40HQ</t>
    </r>
    <r>
      <rPr>
        <sz val="11"/>
        <color theme="1"/>
        <rFont val="Calibri"/>
        <family val="2"/>
        <scheme val="minor"/>
      </rPr>
      <t xml:space="preserve">
</t>
    </r>
    <r>
      <rPr>
        <sz val="11"/>
        <color rgb="FFFF0000"/>
        <rFont val="Calibri"/>
        <family val="2"/>
        <scheme val="minor"/>
      </rPr>
      <t>5.IAAU1957795-40HQ</t>
    </r>
    <r>
      <rPr>
        <sz val="11"/>
        <color theme="1"/>
        <rFont val="Calibri"/>
        <family val="2"/>
        <scheme val="minor"/>
      </rPr>
      <t xml:space="preserve">
</t>
    </r>
    <r>
      <rPr>
        <sz val="11"/>
        <color rgb="FFFF0000"/>
        <rFont val="Calibri"/>
        <family val="2"/>
        <scheme val="minor"/>
      </rPr>
      <t>6.IAAU1967330-40HQ
7.TCKU6014316-40HQ</t>
    </r>
  </si>
  <si>
    <r>
      <rPr>
        <sz val="11"/>
        <color rgb="FFFF0000"/>
        <rFont val="Calibri"/>
        <family val="2"/>
        <scheme val="minor"/>
      </rPr>
      <t>1.MRSU7400129-40HQ</t>
    </r>
    <r>
      <rPr>
        <sz val="11"/>
        <color theme="1"/>
        <rFont val="Calibri"/>
        <family val="2"/>
        <scheme val="minor"/>
      </rPr>
      <t xml:space="preserve">
</t>
    </r>
    <r>
      <rPr>
        <sz val="11"/>
        <color rgb="FFFF0000"/>
        <rFont val="Calibri"/>
        <family val="2"/>
        <scheme val="minor"/>
      </rPr>
      <t>2.MRSU7406507-40HQ</t>
    </r>
    <r>
      <rPr>
        <sz val="11"/>
        <color theme="1"/>
        <rFont val="Calibri"/>
        <family val="2"/>
        <scheme val="minor"/>
      </rPr>
      <t xml:space="preserve">
</t>
    </r>
    <r>
      <rPr>
        <sz val="11"/>
        <color rgb="FFFF0000"/>
        <rFont val="Calibri"/>
        <family val="2"/>
        <scheme val="minor"/>
      </rPr>
      <t>3.MRSU7407993-40HQ</t>
    </r>
    <r>
      <rPr>
        <sz val="11"/>
        <color theme="1"/>
        <rFont val="Calibri"/>
        <family val="2"/>
        <scheme val="minor"/>
      </rPr>
      <t xml:space="preserve">
</t>
    </r>
    <r>
      <rPr>
        <sz val="11"/>
        <color rgb="FFFF0000"/>
        <rFont val="Calibri"/>
        <family val="2"/>
        <scheme val="minor"/>
      </rPr>
      <t>4.MRSU7408367-40HQ</t>
    </r>
    <r>
      <rPr>
        <sz val="11"/>
        <color theme="1"/>
        <rFont val="Calibri"/>
        <family val="2"/>
        <scheme val="minor"/>
      </rPr>
      <t xml:space="preserve">
</t>
    </r>
    <r>
      <rPr>
        <sz val="11"/>
        <color rgb="FFFF0000"/>
        <rFont val="Calibri"/>
        <family val="2"/>
        <scheme val="minor"/>
      </rPr>
      <t>5.MRSU7408407-40HQ</t>
    </r>
    <r>
      <rPr>
        <sz val="11"/>
        <color theme="1"/>
        <rFont val="Calibri"/>
        <family val="2"/>
        <scheme val="minor"/>
      </rPr>
      <t xml:space="preserve">
</t>
    </r>
    <r>
      <rPr>
        <sz val="11"/>
        <color rgb="FFFF0000"/>
        <rFont val="Calibri"/>
        <family val="2"/>
        <scheme val="minor"/>
      </rPr>
      <t>6.MRSU7412217-40HQ</t>
    </r>
    <r>
      <rPr>
        <sz val="11"/>
        <color theme="1"/>
        <rFont val="Calibri"/>
        <family val="2"/>
        <scheme val="minor"/>
      </rPr>
      <t xml:space="preserve">
</t>
    </r>
    <r>
      <rPr>
        <sz val="11"/>
        <color rgb="FFFF0000"/>
        <rFont val="Calibri"/>
        <family val="2"/>
        <scheme val="minor"/>
      </rPr>
      <t>7.MRSU7415345-40HQ</t>
    </r>
    <r>
      <rPr>
        <sz val="11"/>
        <color theme="1"/>
        <rFont val="Calibri"/>
        <family val="2"/>
        <scheme val="minor"/>
      </rPr>
      <t xml:space="preserve">
</t>
    </r>
    <r>
      <rPr>
        <sz val="11"/>
        <color rgb="FFFF0000"/>
        <rFont val="Calibri"/>
        <family val="2"/>
        <scheme val="minor"/>
      </rPr>
      <t>8.MRSU7415812-40HQ
9.MRSU7415860-40HQ</t>
    </r>
    <r>
      <rPr>
        <sz val="11"/>
        <color theme="1"/>
        <rFont val="Calibri"/>
        <family val="2"/>
        <scheme val="minor"/>
      </rPr>
      <t xml:space="preserve">
</t>
    </r>
    <r>
      <rPr>
        <sz val="11"/>
        <color rgb="FFFF0000"/>
        <rFont val="Calibri"/>
        <family val="2"/>
        <scheme val="minor"/>
      </rPr>
      <t>10.MRSU7416254-40HQ</t>
    </r>
    <r>
      <rPr>
        <sz val="11"/>
        <color theme="1"/>
        <rFont val="Calibri"/>
        <family val="2"/>
        <scheme val="minor"/>
      </rPr>
      <t xml:space="preserve">
</t>
    </r>
    <r>
      <rPr>
        <sz val="11"/>
        <color rgb="FFFF0000"/>
        <rFont val="Calibri"/>
        <family val="2"/>
        <scheme val="minor"/>
      </rPr>
      <t>11.MRSU7416280-40HQ</t>
    </r>
    <r>
      <rPr>
        <sz val="11"/>
        <color theme="1"/>
        <rFont val="Calibri"/>
        <family val="2"/>
        <scheme val="minor"/>
      </rPr>
      <t xml:space="preserve">
</t>
    </r>
    <r>
      <rPr>
        <sz val="11"/>
        <color rgb="FFFF0000"/>
        <rFont val="Calibri"/>
        <family val="2"/>
        <scheme val="minor"/>
      </rPr>
      <t>12.MRSU7417435-40HQ</t>
    </r>
    <r>
      <rPr>
        <sz val="11"/>
        <color theme="1"/>
        <rFont val="Calibri"/>
        <family val="2"/>
        <scheme val="minor"/>
      </rPr>
      <t xml:space="preserve">
</t>
    </r>
    <r>
      <rPr>
        <sz val="11"/>
        <color rgb="FFFF0000"/>
        <rFont val="Calibri"/>
        <family val="2"/>
        <scheme val="minor"/>
      </rPr>
      <t>13.MRSU7417461-40HQ</t>
    </r>
  </si>
  <si>
    <t>25044</t>
  </si>
  <si>
    <t>TWB250305HDR033</t>
  </si>
  <si>
    <t>HDR2025.EPP33</t>
  </si>
  <si>
    <t>CAPRICORN TRANSPORT CO.,LTD</t>
  </si>
  <si>
    <t>25045</t>
  </si>
  <si>
    <t>SHAWD074972</t>
  </si>
  <si>
    <t>E250781997181278</t>
  </si>
  <si>
    <t>25046</t>
  </si>
  <si>
    <t>SHAWD074996</t>
  </si>
  <si>
    <t>E250781997181279</t>
  </si>
  <si>
    <r>
      <rPr>
        <sz val="11"/>
        <color rgb="FFFF0000"/>
        <rFont val="Calibri"/>
        <family val="2"/>
        <scheme val="minor"/>
      </rPr>
      <t>1.MRSU7527601-40HQ</t>
    </r>
    <r>
      <rPr>
        <sz val="11"/>
        <color theme="1"/>
        <rFont val="Calibri"/>
        <family val="2"/>
        <scheme val="minor"/>
      </rPr>
      <t xml:space="preserve">
</t>
    </r>
    <r>
      <rPr>
        <sz val="11"/>
        <color rgb="FFFF0000"/>
        <rFont val="Calibri"/>
        <family val="2"/>
        <scheme val="minor"/>
      </rPr>
      <t>2.MRSU7560003-40HQ
3.MRSU7563131-40HQ
4.MRSU7564014-40HQ</t>
    </r>
  </si>
  <si>
    <r>
      <rPr>
        <sz val="11"/>
        <color rgb="FFFF0000"/>
        <rFont val="Calibri"/>
        <family val="2"/>
        <scheme val="minor"/>
      </rPr>
      <t>1.MRSU7524860-40HQ</t>
    </r>
    <r>
      <rPr>
        <sz val="11"/>
        <color theme="1"/>
        <rFont val="Calibri"/>
        <family val="2"/>
        <scheme val="minor"/>
      </rPr>
      <t xml:space="preserve">
</t>
    </r>
    <r>
      <rPr>
        <sz val="11"/>
        <color rgb="FFFF0000"/>
        <rFont val="Calibri"/>
        <family val="2"/>
        <scheme val="minor"/>
      </rPr>
      <t>2.MRSU7563698-40HQ</t>
    </r>
  </si>
  <si>
    <t>25047</t>
  </si>
  <si>
    <t>SITSKSVD603009</t>
  </si>
  <si>
    <t>24L870328180325-1</t>
  </si>
  <si>
    <t>NEW CAR AITO M5 PLUG-IN, 2025
NEW CAR AITO M7 PLUG-IN, 2025
NEW CAR AITO M9 PLUG-IN, 2025
NEW CAR AITO M9 EV, 2025</t>
  </si>
  <si>
    <t>25048</t>
  </si>
  <si>
    <t>SITSKSVD602960</t>
  </si>
  <si>
    <t>24L870328180492-3</t>
  </si>
  <si>
    <t>NEW CAR LI L6 PLUG-IN, 2025
NEW CAR LI MEGA EV, 2025</t>
  </si>
  <si>
    <t>25049</t>
  </si>
  <si>
    <t>YSH2025-7014</t>
  </si>
  <si>
    <t>NEW CAR GAC GN8, 2025
NEW CAR GAC GN8, 2024</t>
  </si>
  <si>
    <t>HAINAN</t>
  </si>
  <si>
    <t>INTERASIA VISION V.S077</t>
  </si>
  <si>
    <t>MEKONG 22 V.010W</t>
  </si>
  <si>
    <t>WAN HAI 292 V.S047</t>
  </si>
  <si>
    <t>25050</t>
  </si>
  <si>
    <t>25051</t>
  </si>
  <si>
    <t>SHJLSP25020158</t>
  </si>
  <si>
    <t>LCKOS25102</t>
  </si>
  <si>
    <t>001/2025</t>
  </si>
  <si>
    <t>1.NYYU2789560-20GP</t>
  </si>
  <si>
    <t>LK-20250227</t>
  </si>
  <si>
    <t>Agitator</t>
  </si>
  <si>
    <t>3 sets</t>
  </si>
  <si>
    <t>2ND ML</t>
  </si>
  <si>
    <t>SHAWD075042</t>
  </si>
  <si>
    <t>25052</t>
  </si>
  <si>
    <t>25053</t>
  </si>
  <si>
    <t>SHAWD075006</t>
  </si>
  <si>
    <t>25054</t>
  </si>
  <si>
    <t>OISHI F&amp;B (CAMBODIA) CO.,LTD</t>
  </si>
  <si>
    <t>សឿង ឌីណា</t>
  </si>
  <si>
    <t>ភេទស្រី មានអត្តសញ្ញាណប័ណ្ណសញ្ជាតិខ្មែរលេខៈ 010514479(01) មានតួនាទី Head of Procurement នៃក្រុមហ៊ុន OISHI F&amp;B (CAMBODIA) CO.,LTD អត្តសញ្ញាណកម្មសារពើពន្ធ (VAT)លេខៈ L001-902006587</t>
  </si>
  <si>
    <t>ផ្ទះលេខ ៥២ ផ្លូវ ៥៩៨ ភូមិ ៥ សង្កាត់បឹងកក់ ២ ខណ្ឌទួលគោគ រាជធានីភ្នំពេញ VAT: L001-902400750</t>
  </si>
  <si>
    <t>010514479(01)</t>
  </si>
  <si>
    <t>L001-902006587</t>
  </si>
  <si>
    <t xml:space="preserve">017 892 891 </t>
  </si>
  <si>
    <t>S25040001</t>
  </si>
  <si>
    <t>lAND-LCL</t>
  </si>
  <si>
    <t>OISHI</t>
  </si>
  <si>
    <t>170826/2025</t>
  </si>
  <si>
    <t>COOLING PLANT</t>
  </si>
  <si>
    <r>
      <rPr>
        <sz val="11"/>
        <color rgb="FFFF0000"/>
        <rFont val="Calibri"/>
        <family val="2"/>
        <scheme val="minor"/>
      </rPr>
      <t>1.BMOU6475582-40HC
2.DFSU7061151-40HC
3.BEAU4336855-40HC</t>
    </r>
    <r>
      <rPr>
        <sz val="11"/>
        <color theme="1"/>
        <rFont val="Calibri"/>
        <family val="2"/>
        <scheme val="minor"/>
      </rPr>
      <t xml:space="preserve">
</t>
    </r>
    <r>
      <rPr>
        <sz val="11"/>
        <color rgb="FFFF0000"/>
        <rFont val="Calibri"/>
        <family val="2"/>
        <scheme val="minor"/>
      </rPr>
      <t>4.SITU2622968-20GP</t>
    </r>
    <r>
      <rPr>
        <sz val="11"/>
        <color theme="1"/>
        <rFont val="Calibri"/>
        <family val="2"/>
        <scheme val="minor"/>
      </rPr>
      <t xml:space="preserve">
</t>
    </r>
    <r>
      <rPr>
        <sz val="11"/>
        <color rgb="FFFF0000"/>
        <rFont val="Calibri"/>
        <family val="2"/>
        <scheme val="minor"/>
      </rPr>
      <t>5.TIIU6058597-40HC</t>
    </r>
    <r>
      <rPr>
        <sz val="11"/>
        <color theme="1"/>
        <rFont val="Calibri"/>
        <family val="2"/>
        <scheme val="minor"/>
      </rPr>
      <t xml:space="preserve">
</t>
    </r>
    <r>
      <rPr>
        <sz val="11"/>
        <color rgb="FFFF0000"/>
        <rFont val="Calibri"/>
        <family val="2"/>
        <scheme val="minor"/>
      </rPr>
      <t>6.FFAU4189467-40HC</t>
    </r>
    <r>
      <rPr>
        <sz val="11"/>
        <color theme="1"/>
        <rFont val="Calibri"/>
        <family val="2"/>
        <scheme val="minor"/>
      </rPr>
      <t xml:space="preserve">
</t>
    </r>
    <r>
      <rPr>
        <sz val="11"/>
        <color rgb="FFFF0000"/>
        <rFont val="Calibri"/>
        <family val="2"/>
        <scheme val="minor"/>
      </rPr>
      <t>7.UETU5236217-40HC
8.SELU4216405-40HC</t>
    </r>
    <r>
      <rPr>
        <sz val="11"/>
        <color theme="1"/>
        <rFont val="Calibri"/>
        <family val="2"/>
        <scheme val="minor"/>
      </rPr>
      <t xml:space="preserve">
</t>
    </r>
    <r>
      <rPr>
        <sz val="11"/>
        <color rgb="FFFF0000"/>
        <rFont val="Calibri"/>
        <family val="2"/>
        <scheme val="minor"/>
      </rPr>
      <t>9.TCKU6481769-40HC</t>
    </r>
    <r>
      <rPr>
        <sz val="11"/>
        <color theme="1"/>
        <rFont val="Calibri"/>
        <family val="2"/>
        <scheme val="minor"/>
      </rPr>
      <t xml:space="preserve">
</t>
    </r>
    <r>
      <rPr>
        <sz val="11"/>
        <color rgb="FFFF0000"/>
        <rFont val="Calibri"/>
        <family val="2"/>
        <scheme val="minor"/>
      </rPr>
      <t>10.UETU5795107-40HC
11.BMOU4904630-40HC</t>
    </r>
  </si>
  <si>
    <r>
      <rPr>
        <sz val="11"/>
        <color rgb="FFFF0000"/>
        <rFont val="Calibri"/>
        <family val="2"/>
        <scheme val="minor"/>
      </rPr>
      <t>1.IAAU1723230-40HQ</t>
    </r>
    <r>
      <rPr>
        <sz val="11"/>
        <color theme="1"/>
        <rFont val="Calibri"/>
        <family val="2"/>
        <scheme val="minor"/>
      </rPr>
      <t xml:space="preserve">
</t>
    </r>
    <r>
      <rPr>
        <sz val="11"/>
        <color rgb="FFFF0000"/>
        <rFont val="Calibri"/>
        <family val="2"/>
        <scheme val="minor"/>
      </rPr>
      <t>2.IAAU1911726-40HQ</t>
    </r>
    <r>
      <rPr>
        <sz val="11"/>
        <color theme="1"/>
        <rFont val="Calibri"/>
        <family val="2"/>
        <scheme val="minor"/>
      </rPr>
      <t xml:space="preserve">
</t>
    </r>
    <r>
      <rPr>
        <sz val="11"/>
        <color rgb="FFFF0000"/>
        <rFont val="Calibri"/>
        <family val="2"/>
        <scheme val="minor"/>
      </rPr>
      <t>3.IAAU1971200-40HQ</t>
    </r>
    <r>
      <rPr>
        <sz val="11"/>
        <color theme="1"/>
        <rFont val="Calibri"/>
        <family val="2"/>
        <scheme val="minor"/>
      </rPr>
      <t xml:space="preserve">
</t>
    </r>
    <r>
      <rPr>
        <sz val="11"/>
        <color rgb="FFFF0000"/>
        <rFont val="Calibri"/>
        <family val="2"/>
        <scheme val="minor"/>
      </rPr>
      <t>4.TCLU8237065-40HQ</t>
    </r>
  </si>
  <si>
    <r>
      <rPr>
        <sz val="11"/>
        <color rgb="FFFF0000"/>
        <rFont val="Calibri"/>
        <family val="2"/>
        <scheme val="minor"/>
      </rPr>
      <t>1.IAAU1021569-40HQ</t>
    </r>
    <r>
      <rPr>
        <sz val="11"/>
        <color theme="1"/>
        <rFont val="Calibri"/>
        <family val="2"/>
        <scheme val="minor"/>
      </rPr>
      <t xml:space="preserve">
</t>
    </r>
    <r>
      <rPr>
        <sz val="11"/>
        <color rgb="FFFF0000"/>
        <rFont val="Calibri"/>
        <family val="2"/>
        <scheme val="minor"/>
      </rPr>
      <t>2.IAAU1878464-40HQ</t>
    </r>
    <r>
      <rPr>
        <sz val="11"/>
        <color theme="1"/>
        <rFont val="Calibri"/>
        <family val="2"/>
        <scheme val="minor"/>
      </rPr>
      <t xml:space="preserve">
</t>
    </r>
    <r>
      <rPr>
        <sz val="11"/>
        <color rgb="FFFF0000"/>
        <rFont val="Calibri"/>
        <family val="2"/>
        <scheme val="minor"/>
      </rPr>
      <t>3.IAAU1893469-40HQ</t>
    </r>
    <r>
      <rPr>
        <sz val="11"/>
        <color theme="1"/>
        <rFont val="Calibri"/>
        <family val="2"/>
        <scheme val="minor"/>
      </rPr>
      <t xml:space="preserve">
</t>
    </r>
    <r>
      <rPr>
        <sz val="11"/>
        <color rgb="FFFF0000"/>
        <rFont val="Calibri"/>
        <family val="2"/>
        <scheme val="minor"/>
      </rPr>
      <t>4.IAAU1927975-40HQ</t>
    </r>
    <r>
      <rPr>
        <sz val="11"/>
        <color theme="1"/>
        <rFont val="Calibri"/>
        <family val="2"/>
        <scheme val="minor"/>
      </rPr>
      <t xml:space="preserve">
</t>
    </r>
    <r>
      <rPr>
        <sz val="11"/>
        <color rgb="FFFF0000"/>
        <rFont val="Calibri"/>
        <family val="2"/>
        <scheme val="minor"/>
      </rPr>
      <t>5.IAAU1968640-40HQ</t>
    </r>
  </si>
  <si>
    <r>
      <rPr>
        <sz val="11"/>
        <color rgb="FFFF0000"/>
        <rFont val="Calibri"/>
        <family val="2"/>
        <scheme val="minor"/>
      </rPr>
      <t>1.FDCU0321910-40HQ</t>
    </r>
    <r>
      <rPr>
        <sz val="11"/>
        <color theme="1"/>
        <rFont val="Calibri"/>
        <family val="2"/>
        <scheme val="minor"/>
      </rPr>
      <t xml:space="preserve">
</t>
    </r>
    <r>
      <rPr>
        <sz val="11"/>
        <color rgb="FFFF0000"/>
        <rFont val="Calibri"/>
        <family val="2"/>
        <scheme val="minor"/>
      </rPr>
      <t>2.IAAU1701864-40HQ</t>
    </r>
    <r>
      <rPr>
        <sz val="11"/>
        <color theme="1"/>
        <rFont val="Calibri"/>
        <family val="2"/>
        <scheme val="minor"/>
      </rPr>
      <t xml:space="preserve">
</t>
    </r>
    <r>
      <rPr>
        <sz val="11"/>
        <color rgb="FFFF0000"/>
        <rFont val="Calibri"/>
        <family val="2"/>
        <scheme val="minor"/>
      </rPr>
      <t>3.IAAU1740140-40HQ</t>
    </r>
    <r>
      <rPr>
        <sz val="11"/>
        <color theme="1"/>
        <rFont val="Calibri"/>
        <family val="2"/>
        <scheme val="minor"/>
      </rPr>
      <t xml:space="preserve">
</t>
    </r>
    <r>
      <rPr>
        <sz val="11"/>
        <color rgb="FFFF0000"/>
        <rFont val="Calibri"/>
        <family val="2"/>
        <scheme val="minor"/>
      </rPr>
      <t>4.IAAU1872996-40HQ</t>
    </r>
    <r>
      <rPr>
        <sz val="11"/>
        <color theme="1"/>
        <rFont val="Calibri"/>
        <family val="2"/>
        <scheme val="minor"/>
      </rPr>
      <t xml:space="preserve">
</t>
    </r>
    <r>
      <rPr>
        <sz val="11"/>
        <color rgb="FFFF0000"/>
        <rFont val="Calibri"/>
        <family val="2"/>
        <scheme val="minor"/>
      </rPr>
      <t>5.IAAU1948073-40HQ</t>
    </r>
    <r>
      <rPr>
        <sz val="11"/>
        <color theme="1"/>
        <rFont val="Calibri"/>
        <family val="2"/>
        <scheme val="minor"/>
      </rPr>
      <t xml:space="preserve">
</t>
    </r>
    <r>
      <rPr>
        <sz val="11"/>
        <color rgb="FFFF0000"/>
        <rFont val="Calibri"/>
        <family val="2"/>
        <scheme val="minor"/>
      </rPr>
      <t>6.TLLU5935672-40HQ</t>
    </r>
  </si>
  <si>
    <r>
      <rPr>
        <sz val="11"/>
        <color rgb="FFFF0000"/>
        <rFont val="Calibri"/>
        <family val="2"/>
        <scheme val="minor"/>
      </rPr>
      <t>1.CAAU6298740-40HC</t>
    </r>
    <r>
      <rPr>
        <sz val="11"/>
        <color theme="1"/>
        <rFont val="Calibri"/>
        <family val="2"/>
        <scheme val="minor"/>
      </rPr>
      <t xml:space="preserve">
</t>
    </r>
    <r>
      <rPr>
        <sz val="11"/>
        <color rgb="FFFF0000"/>
        <rFont val="Calibri"/>
        <family val="2"/>
        <scheme val="minor"/>
      </rPr>
      <t>2.TRHU6956585-40HC</t>
    </r>
    <r>
      <rPr>
        <sz val="11"/>
        <color theme="1"/>
        <rFont val="Calibri"/>
        <family val="2"/>
        <scheme val="minor"/>
      </rPr>
      <t xml:space="preserve">
</t>
    </r>
    <r>
      <rPr>
        <sz val="11"/>
        <color rgb="FFFF0000"/>
        <rFont val="Calibri"/>
        <family val="2"/>
        <scheme val="minor"/>
      </rPr>
      <t>3.RFCU5072204-40HC</t>
    </r>
    <r>
      <rPr>
        <sz val="11"/>
        <color theme="1"/>
        <rFont val="Calibri"/>
        <family val="2"/>
        <scheme val="minor"/>
      </rPr>
      <t xml:space="preserve">
</t>
    </r>
    <r>
      <rPr>
        <sz val="11"/>
        <color rgb="FFFF0000"/>
        <rFont val="Calibri"/>
        <family val="2"/>
        <scheme val="minor"/>
      </rPr>
      <t>4.UETU5766583-40HC</t>
    </r>
    <r>
      <rPr>
        <sz val="11"/>
        <color theme="1"/>
        <rFont val="Calibri"/>
        <family val="2"/>
        <scheme val="minor"/>
      </rPr>
      <t xml:space="preserve">
</t>
    </r>
    <r>
      <rPr>
        <sz val="11"/>
        <color rgb="FFFF0000"/>
        <rFont val="Calibri"/>
        <family val="2"/>
        <scheme val="minor"/>
      </rPr>
      <t>5.UETU5966175-40HC</t>
    </r>
    <r>
      <rPr>
        <sz val="11"/>
        <color theme="1"/>
        <rFont val="Calibri"/>
        <family val="2"/>
        <scheme val="minor"/>
      </rPr>
      <t xml:space="preserve">
</t>
    </r>
    <r>
      <rPr>
        <sz val="11"/>
        <color rgb="FFFF0000"/>
        <rFont val="Calibri"/>
        <family val="2"/>
        <scheme val="minor"/>
      </rPr>
      <t>6.SITU9132788-40HC</t>
    </r>
    <r>
      <rPr>
        <sz val="11"/>
        <color theme="1"/>
        <rFont val="Calibri"/>
        <family val="2"/>
        <scheme val="minor"/>
      </rPr>
      <t xml:space="preserve">
</t>
    </r>
    <r>
      <rPr>
        <sz val="11"/>
        <color rgb="FFFF0000"/>
        <rFont val="Calibri"/>
        <family val="2"/>
        <scheme val="minor"/>
      </rPr>
      <t>7.UETU5763460-40HC</t>
    </r>
    <r>
      <rPr>
        <sz val="11"/>
        <color theme="1"/>
        <rFont val="Calibri"/>
        <family val="2"/>
        <scheme val="minor"/>
      </rPr>
      <t xml:space="preserve">
</t>
    </r>
    <r>
      <rPr>
        <sz val="11"/>
        <color rgb="FFFF0000"/>
        <rFont val="Calibri"/>
        <family val="2"/>
        <scheme val="minor"/>
      </rPr>
      <t>8.FFAU4314450-40HC</t>
    </r>
    <r>
      <rPr>
        <sz val="11"/>
        <color theme="1"/>
        <rFont val="Calibri"/>
        <family val="2"/>
        <scheme val="minor"/>
      </rPr>
      <t xml:space="preserve">
</t>
    </r>
    <r>
      <rPr>
        <sz val="11"/>
        <color rgb="FFFF0000"/>
        <rFont val="Calibri"/>
        <family val="2"/>
        <scheme val="minor"/>
      </rPr>
      <t>9.BMOU6477203-40HC</t>
    </r>
  </si>
  <si>
    <r>
      <rPr>
        <sz val="11"/>
        <color rgb="FFFF0000"/>
        <rFont val="Calibri"/>
        <family val="2"/>
        <scheme val="minor"/>
      </rPr>
      <t>1.IAAU1688103-40HQ</t>
    </r>
    <r>
      <rPr>
        <sz val="11"/>
        <color theme="1"/>
        <rFont val="Calibri"/>
        <family val="2"/>
        <scheme val="minor"/>
      </rPr>
      <t xml:space="preserve">
</t>
    </r>
    <r>
      <rPr>
        <sz val="11"/>
        <color rgb="FFFF0000"/>
        <rFont val="Calibri"/>
        <family val="2"/>
        <scheme val="minor"/>
      </rPr>
      <t>2.IAAU1704800-40HQ</t>
    </r>
    <r>
      <rPr>
        <sz val="11"/>
        <color theme="1"/>
        <rFont val="Calibri"/>
        <family val="2"/>
        <scheme val="minor"/>
      </rPr>
      <t xml:space="preserve">
</t>
    </r>
    <r>
      <rPr>
        <sz val="11"/>
        <color rgb="FFFF0000"/>
        <rFont val="Calibri"/>
        <family val="2"/>
        <scheme val="minor"/>
      </rPr>
      <t>3.IAAU1710953-40HQ</t>
    </r>
    <r>
      <rPr>
        <sz val="11"/>
        <color theme="1"/>
        <rFont val="Calibri"/>
        <family val="2"/>
        <scheme val="minor"/>
      </rPr>
      <t xml:space="preserve">
</t>
    </r>
    <r>
      <rPr>
        <sz val="11"/>
        <color rgb="FFFF0000"/>
        <rFont val="Calibri"/>
        <family val="2"/>
        <scheme val="minor"/>
      </rPr>
      <t>4.IAAU1766700-40HQ</t>
    </r>
    <r>
      <rPr>
        <sz val="11"/>
        <color theme="1"/>
        <rFont val="Calibri"/>
        <family val="2"/>
        <scheme val="minor"/>
      </rPr>
      <t xml:space="preserve">
</t>
    </r>
    <r>
      <rPr>
        <sz val="11"/>
        <color rgb="FFFF0000"/>
        <rFont val="Calibri"/>
        <family val="2"/>
        <scheme val="minor"/>
      </rPr>
      <t>5.IAAU1797510-40HQ</t>
    </r>
    <r>
      <rPr>
        <sz val="11"/>
        <color theme="1"/>
        <rFont val="Calibri"/>
        <family val="2"/>
        <scheme val="minor"/>
      </rPr>
      <t xml:space="preserve">
</t>
    </r>
    <r>
      <rPr>
        <sz val="11"/>
        <color rgb="FFFF0000"/>
        <rFont val="Calibri"/>
        <family val="2"/>
        <scheme val="minor"/>
      </rPr>
      <t>6.IAAU1806530-40HQ</t>
    </r>
    <r>
      <rPr>
        <sz val="11"/>
        <color theme="1"/>
        <rFont val="Calibri"/>
        <family val="2"/>
        <scheme val="minor"/>
      </rPr>
      <t xml:space="preserve">
</t>
    </r>
    <r>
      <rPr>
        <sz val="11"/>
        <color rgb="FFFF0000"/>
        <rFont val="Calibri"/>
        <family val="2"/>
        <scheme val="minor"/>
      </rPr>
      <t>7.IAAU1821999-40HQ</t>
    </r>
    <r>
      <rPr>
        <sz val="11"/>
        <color theme="1"/>
        <rFont val="Calibri"/>
        <family val="2"/>
        <scheme val="minor"/>
      </rPr>
      <t xml:space="preserve">
</t>
    </r>
    <r>
      <rPr>
        <sz val="11"/>
        <color rgb="FFFF0000"/>
        <rFont val="Calibri"/>
        <family val="2"/>
        <scheme val="minor"/>
      </rPr>
      <t>8.IAAU1863546-40HQ</t>
    </r>
    <r>
      <rPr>
        <sz val="11"/>
        <color theme="1"/>
        <rFont val="Calibri"/>
        <family val="2"/>
        <scheme val="minor"/>
      </rPr>
      <t xml:space="preserve">
</t>
    </r>
    <r>
      <rPr>
        <sz val="11"/>
        <color rgb="FFFF0000"/>
        <rFont val="Calibri"/>
        <family val="2"/>
        <scheme val="minor"/>
      </rPr>
      <t>9.TCKU6573844-40HQ</t>
    </r>
  </si>
  <si>
    <r>
      <rPr>
        <sz val="11"/>
        <color rgb="FFFF0000"/>
        <rFont val="Calibri"/>
        <family val="2"/>
        <scheme val="minor"/>
      </rPr>
      <t>1.MRSU3439138-40HC</t>
    </r>
    <r>
      <rPr>
        <sz val="11"/>
        <color theme="1"/>
        <rFont val="Calibri"/>
        <family val="2"/>
        <scheme val="minor"/>
      </rPr>
      <t xml:space="preserve">
</t>
    </r>
    <r>
      <rPr>
        <sz val="11"/>
        <color rgb="FFFF0000"/>
        <rFont val="Calibri"/>
        <family val="2"/>
        <scheme val="minor"/>
      </rPr>
      <t>2.MRKU2561067-40HC</t>
    </r>
    <r>
      <rPr>
        <sz val="11"/>
        <color theme="1"/>
        <rFont val="Calibri"/>
        <family val="2"/>
        <scheme val="minor"/>
      </rPr>
      <t xml:space="preserve">
</t>
    </r>
    <r>
      <rPr>
        <sz val="11"/>
        <color rgb="FFFF0000"/>
        <rFont val="Calibri"/>
        <family val="2"/>
        <scheme val="minor"/>
      </rPr>
      <t>3.HASU4010981-40HC</t>
    </r>
  </si>
  <si>
    <t>#២ ផ្លូវ១៣៤ ភូមិ ១២ សង្កាត់ វាលវង់ ខណ្ឌ ៧មករា រាជធានីភ្នំពេញ
VAT: L001-902006587</t>
  </si>
  <si>
    <t>#២ ផ្លូវ១៣៤ ភូមិ ១២ សង្កាត់ វាលវង់ ខណ្ឌ ៧មករា រាជធានីភ្នំពេញ VAT: L001-902006587</t>
  </si>
  <si>
    <t>E250781997181349</t>
  </si>
  <si>
    <t>20594739ETC</t>
  </si>
  <si>
    <t>E250781997181338</t>
  </si>
  <si>
    <t>1.MRKU2560158-40HQ
2.MRKU2941494-40HQ
3.MRKU5911981-40HQ
4.MRSU3799155-40HQ
5.MRSU6067585-40HQ
6.MSKU1171087-40HQ
7.MSKU1910612-40HQ
8.MSKU9151596-40HQ
9.SUDU8517940-40HQ
10.TCKU7644177-40HQ
11.TCLU5722914-40HQ
12.TIIU5227305-40HQ</t>
  </si>
  <si>
    <t>CHIANG IN V.2519</t>
  </si>
  <si>
    <t>25055</t>
  </si>
  <si>
    <t>SITSKSVD602990</t>
  </si>
  <si>
    <t>Z D G(CAMBODIA) CO., LTD</t>
  </si>
  <si>
    <t>ZDG</t>
  </si>
  <si>
    <t>LAKH2500102-1</t>
  </si>
  <si>
    <t>NEW CAR LYNK&amp;CO 06 PLUG-IN,
NEW CAR LYNK&amp;CO 08 PLUG-IN</t>
  </si>
  <si>
    <t>1.TIIU5663530-40HC</t>
  </si>
  <si>
    <t>LYNK AND CO AUTOMOBILE INTERNATIONAL SALES CO.,LTD.</t>
  </si>
  <si>
    <t>DONG HUAIGUI</t>
  </si>
  <si>
    <t>ភេទប្រុស ដែលមានលិខិតឆ្លងដែនលេខៈ EK4993418 នាយករដ្ឋាបាលនៃក្រុមហ៊ុន Z D G(CAMBODIA) CO., LTD អត្តសញ្ញាណកម្មសារពើពន្ធ (VAT)លេខៈ K010-902404193 ទូរសព្ទ័លេខៈ 010 399 123។</t>
  </si>
  <si>
    <t xml:space="preserve"> #ឃ្លាំងលេខ៣ ផ្លូវ មហាវិថីសហព័ន្ធរុស្សី ភូមិ ប៉ប្រកខាងជើង សង្កាត់ កាកាបទី១ ខណ្ឌពោធិសែនជ័យ រាជធានីភ្នំពេញ
VAT: K010-902404193</t>
  </si>
  <si>
    <t xml:space="preserve"> #ឃ្លាំងលេខ៣ ផ្លូវ មហាវិថីសហព័ន្ធរុស្សី ភូមិ ប៉ប្រកខាងជើង សង្កាត់ កាកាបទី១ ខណ្ឌពោធិសែនជ័យ រាជធានីភ្នំពេញ VAT: K010-902404193</t>
  </si>
  <si>
    <t>EK4993418</t>
  </si>
  <si>
    <t>K010-902404193</t>
  </si>
  <si>
    <t>ឈ្មោះ Z D G (CAMBODIA) CO.,LTD ដែលមានទីតាំង #ឃ្លាំងលេខ៣ ផ្លូវ មហាវិថីសហព័ន្ធរុស្សី ភូមិ ប៉ប្រកខាងជើង សង្កាត់ កាកាបទី១ ខណ្ឌពោធិសែនជ័យ រាជធានីភ្នំពេញ ទូរស័ព្ទលេខ 010 399 123 ។</t>
  </si>
  <si>
    <t>https://maps.app.goo.gl/mwwdRx38mvW6sEPr9?g_st=it</t>
  </si>
  <si>
    <t>EIC/2025/013/0511271A/00119367</t>
  </si>
  <si>
    <t>25056</t>
  </si>
  <si>
    <t>25057</t>
  </si>
  <si>
    <t>2ND ML-IAA</t>
  </si>
  <si>
    <t>HJ2503DN039</t>
  </si>
  <si>
    <t>WM/EXP 02-68</t>
  </si>
  <si>
    <t>STATIC MIXER 3 ELEMENT</t>
  </si>
  <si>
    <t>WESTON</t>
  </si>
  <si>
    <t>SHSIH25045979</t>
  </si>
  <si>
    <t>WP25C5047</t>
  </si>
  <si>
    <t>180-500mm Butt Welding Machine 380V, 50Hz, 3PH</t>
  </si>
  <si>
    <r>
      <rPr>
        <sz val="11"/>
        <color rgb="FFFF0000"/>
        <rFont val="Calibri"/>
        <family val="2"/>
        <scheme val="minor"/>
      </rPr>
      <t>1.MRSU7512812-40HQ</t>
    </r>
    <r>
      <rPr>
        <sz val="11"/>
        <color theme="1"/>
        <rFont val="Calibri"/>
        <family val="2"/>
        <scheme val="minor"/>
      </rPr>
      <t xml:space="preserve">
</t>
    </r>
    <r>
      <rPr>
        <sz val="11"/>
        <color rgb="FFFF0000"/>
        <rFont val="Calibri"/>
        <family val="2"/>
        <scheme val="minor"/>
      </rPr>
      <t>2.MRSU7513676-40HQ</t>
    </r>
    <r>
      <rPr>
        <sz val="11"/>
        <color theme="1"/>
        <rFont val="Calibri"/>
        <family val="2"/>
        <scheme val="minor"/>
      </rPr>
      <t xml:space="preserve">
</t>
    </r>
    <r>
      <rPr>
        <sz val="11"/>
        <color rgb="FFFF0000"/>
        <rFont val="Calibri"/>
        <family val="2"/>
        <scheme val="minor"/>
      </rPr>
      <t>3.MRSU7515895-40HQ</t>
    </r>
    <r>
      <rPr>
        <sz val="11"/>
        <color theme="1"/>
        <rFont val="Calibri"/>
        <family val="2"/>
        <scheme val="minor"/>
      </rPr>
      <t xml:space="preserve">
</t>
    </r>
    <r>
      <rPr>
        <sz val="11"/>
        <color rgb="FFFF0000"/>
        <rFont val="Calibri"/>
        <family val="2"/>
        <scheme val="minor"/>
      </rPr>
      <t>4.MRSU7516335-40HQ</t>
    </r>
    <r>
      <rPr>
        <sz val="11"/>
        <color theme="1"/>
        <rFont val="Calibri"/>
        <family val="2"/>
        <scheme val="minor"/>
      </rPr>
      <t xml:space="preserve">
</t>
    </r>
    <r>
      <rPr>
        <sz val="11"/>
        <color rgb="FFFF0000"/>
        <rFont val="Calibri"/>
        <family val="2"/>
        <scheme val="minor"/>
      </rPr>
      <t>5.MRSU7517136-40HQ
6.MRSU7517408-40HQ
7.MRSU7528470-40HQ
8.MRSU7529435-40HQ</t>
    </r>
    <r>
      <rPr>
        <sz val="11"/>
        <color theme="1"/>
        <rFont val="Calibri"/>
        <family val="2"/>
        <scheme val="minor"/>
      </rPr>
      <t xml:space="preserve">
</t>
    </r>
    <r>
      <rPr>
        <sz val="11"/>
        <color rgb="FFFF0000"/>
        <rFont val="Calibri"/>
        <family val="2"/>
        <scheme val="minor"/>
      </rPr>
      <t>9.MRSU7529522-40HQ</t>
    </r>
    <r>
      <rPr>
        <sz val="11"/>
        <color theme="1"/>
        <rFont val="Calibri"/>
        <family val="2"/>
        <scheme val="minor"/>
      </rPr>
      <t xml:space="preserve">
</t>
    </r>
    <r>
      <rPr>
        <sz val="11"/>
        <color rgb="FFFF0000"/>
        <rFont val="Calibri"/>
        <family val="2"/>
        <scheme val="minor"/>
      </rPr>
      <t>10.MRSU7560451-40HQ</t>
    </r>
  </si>
  <si>
    <t>25058</t>
  </si>
  <si>
    <t>SHAWD075007</t>
  </si>
  <si>
    <t>E250781997181362</t>
  </si>
  <si>
    <t>NEW CAR MG RX8, 2.0T AT LUX, 2025</t>
  </si>
  <si>
    <t>SHAWD075039</t>
  </si>
  <si>
    <t>25059</t>
  </si>
  <si>
    <t>E250781997181366</t>
  </si>
  <si>
    <t>NEW CAR MG HS, 1.5T AT COM, 2025</t>
  </si>
  <si>
    <t>1.TXGU8072622-40HQ</t>
  </si>
  <si>
    <t>25060</t>
  </si>
  <si>
    <t>25061</t>
  </si>
  <si>
    <t>SITTAGSV457960</t>
  </si>
  <si>
    <t>PO6802-00003</t>
  </si>
  <si>
    <t>1.SELU4347405-40HC, 2.SELU4385684-40HC, 3.UETU6011940-40HC</t>
  </si>
  <si>
    <t>509 PIECES</t>
  </si>
  <si>
    <t>HENAN JIASHANG</t>
  </si>
  <si>
    <t>PO6802-00003A</t>
  </si>
  <si>
    <t>Rubber Gasket Ring</t>
  </si>
  <si>
    <t xml:space="preserve">PART OF </t>
  </si>
  <si>
    <t>4 PIECES</t>
  </si>
  <si>
    <t>25062</t>
  </si>
  <si>
    <t>SHAWD075064</t>
  </si>
  <si>
    <t>25063</t>
  </si>
  <si>
    <t>SHAWD075128</t>
  </si>
  <si>
    <t>NEW CAR MG ZS, 2025
NEW CAR MG 7, 2025</t>
  </si>
  <si>
    <t>25064</t>
  </si>
  <si>
    <t>SHAWD075203</t>
  </si>
  <si>
    <t>25065</t>
  </si>
  <si>
    <t>SHAWD075143</t>
  </si>
  <si>
    <t>25066</t>
  </si>
  <si>
    <t>TWB250328HDR041</t>
  </si>
  <si>
    <t>HDR2025.EPP41</t>
  </si>
  <si>
    <t>25067</t>
  </si>
  <si>
    <t>EIC/2025/013/0510498A/00112835</t>
  </si>
  <si>
    <t>1.MRSU6382904-40DRY</t>
  </si>
  <si>
    <t>25068</t>
  </si>
  <si>
    <t>EIC/2025/013/0565413A/00126370</t>
  </si>
  <si>
    <t>1.TRHU4145085-40DRY</t>
  </si>
  <si>
    <t>GLS 16 V.513N</t>
  </si>
  <si>
    <t>PHOENIX D V.511S</t>
  </si>
  <si>
    <t>GLS 16 V.508N</t>
  </si>
  <si>
    <t>WAN HAI 309 V.506E</t>
  </si>
  <si>
    <t>SITC GUANGDONG V.2508S</t>
  </si>
  <si>
    <t>20597228ETC</t>
  </si>
  <si>
    <t>E250781997181389</t>
  </si>
  <si>
    <t>25069</t>
  </si>
  <si>
    <t>HLCUCA4250379390</t>
  </si>
  <si>
    <t>SAND FILTER</t>
  </si>
  <si>
    <t>CHANGSHA</t>
  </si>
  <si>
    <t>3F-0840</t>
  </si>
  <si>
    <t>73-5547, 78-6542</t>
  </si>
  <si>
    <t>NEWPORT CYPRESS 79 V.325W</t>
  </si>
  <si>
    <t>KMTC TOKYO V.2504S</t>
  </si>
  <si>
    <t>MAERSK VIGO V.511S</t>
  </si>
  <si>
    <t>25070</t>
  </si>
  <si>
    <t>BK1-HOT-2504-001</t>
  </si>
  <si>
    <t>PO-SEZ-25011</t>
  </si>
  <si>
    <t>Raw Water Supply</t>
  </si>
  <si>
    <t>25071</t>
  </si>
  <si>
    <t>CCISEA285635831</t>
  </si>
  <si>
    <t>T250122P</t>
  </si>
  <si>
    <t>20FT EXPANDABLE CONTAINER HOUSE</t>
  </si>
  <si>
    <t>1.MSKU1478540-40HC</t>
  </si>
  <si>
    <t>2 SETS</t>
  </si>
  <si>
    <t>TESITE</t>
  </si>
  <si>
    <t>25072</t>
  </si>
  <si>
    <t>OTSSIH2533232</t>
  </si>
  <si>
    <t>MST2510C</t>
  </si>
  <si>
    <t>AIR BLOWER 450 M3/H, HEAD 3 M</t>
  </si>
  <si>
    <t>3 PLYWOOD CASES</t>
  </si>
  <si>
    <t>SHIJIAZHUANG</t>
  </si>
  <si>
    <t>1ST ML_TC&amp;UNLOAD:LYUNY_TRUC:LP</t>
  </si>
  <si>
    <t>63-6557</t>
  </si>
  <si>
    <t>3E-3679</t>
  </si>
  <si>
    <t>E250781997181397</t>
  </si>
  <si>
    <t>20595968ETC</t>
  </si>
  <si>
    <t>E250781997181398</t>
  </si>
  <si>
    <t>25073</t>
  </si>
  <si>
    <t>25074</t>
  </si>
  <si>
    <t>OOLU2757316020</t>
  </si>
  <si>
    <t>OOLU2757316021</t>
  </si>
  <si>
    <t>HS24-SI-E-004</t>
  </si>
  <si>
    <t>HS24-SI-E-005</t>
  </si>
  <si>
    <t xml:space="preserve">INGENUITY V.097S </t>
  </si>
  <si>
    <t>WATER TREATMENT PLANT, WASTEWATER TREATMENT PLANT</t>
  </si>
  <si>
    <t>110 PACKAGE</t>
  </si>
  <si>
    <t>1.TCLU9781200-40HC, 2.OOCU8590028-40HC, 3.CSNU6954979-40HC, 4.TIIU5184306-40HC</t>
  </si>
  <si>
    <t>1ST ML</t>
  </si>
  <si>
    <t>LONG SON 02 V.514N</t>
  </si>
  <si>
    <t>RUN QING PING AN 511E</t>
  </si>
  <si>
    <t>25075</t>
  </si>
  <si>
    <t>SHAWD075165</t>
  </si>
  <si>
    <t>1.CIPU5172205-40HQ,
2.DFSU7331679-40HQ,
3.FFAU5928495-40HQ,
4.REGU5137951-40HQ,
5.REGU5166137-40HQ,
6.TGBU8065528-40HQ,
7.TXGU7267450-40HQ,
8.TXGU8146788-40HQ</t>
  </si>
  <si>
    <t>E250781997181408</t>
  </si>
  <si>
    <t>E250781997181406</t>
  </si>
  <si>
    <t>HDPE pipe, HDPE butt fusion reducer, 
HDPE butt fusion Tee, 
HDPE butt fusion Elbow, 
HDPE butt fusion Stub End, 
Valve Butterfly, Valve Check, 
Flexible Joint, HDPE butt fusion Flange Liner, 
Rubber Gasket Ring, Blind Flange, 
Multi purpose repair coupling, 
Emergency saddle clamp</t>
  </si>
  <si>
    <t>3RD ML_IAA_CL &amp; TR TENG LAY</t>
  </si>
  <si>
    <t>3RD ML_IAA_TRUC:CSVB COMBINE WITH 25056</t>
  </si>
  <si>
    <t>GLS 07 V.515N</t>
  </si>
  <si>
    <t>JOSEPHINE MAERSK V.512S</t>
  </si>
  <si>
    <t xml:space="preserve">1. CSNU6954979-40HC (PART OF) </t>
  </si>
  <si>
    <t>25076</t>
  </si>
  <si>
    <t>25077</t>
  </si>
  <si>
    <t>S25040090-A</t>
  </si>
  <si>
    <t>Water Treatment Plant</t>
  </si>
  <si>
    <t>Liquid Purification</t>
  </si>
  <si>
    <t>S25040090-B</t>
  </si>
  <si>
    <t>I680691A</t>
  </si>
  <si>
    <t>25078</t>
  </si>
  <si>
    <t>I680691/1</t>
  </si>
  <si>
    <t>10 PACKAGES</t>
  </si>
  <si>
    <t>I680691/2</t>
  </si>
  <si>
    <t>1.SKYT2023021-40HC, 2.SKYT2023014-40HC, 3.SKRF5543129-40HC, 4.SKYT2023013-40HC, 5.SKYT2023012-40HC</t>
  </si>
  <si>
    <t>57 PACKAGES</t>
  </si>
  <si>
    <t>1.HLBU3857476-20GP</t>
  </si>
  <si>
    <t>SHAWD075138</t>
  </si>
  <si>
    <t>SMIL202503192067-P-C</t>
  </si>
  <si>
    <t>02251072600000138</t>
  </si>
  <si>
    <t>NEW CAR MAXUS G90, 2025</t>
  </si>
  <si>
    <t>1.CIPU5129282-40HQ</t>
  </si>
  <si>
    <t>25079</t>
  </si>
  <si>
    <t>TRUCK: 67-2062,67-8967,68-4471,69-5253,72-9569</t>
  </si>
  <si>
    <t>TRUCK:3A-0864,3A-0849,3A-0872,3A-0894,3A-0897</t>
  </si>
  <si>
    <t>TRUCK:73-7504,67-4831</t>
  </si>
  <si>
    <t>TRUCK:3E-5470,3C-8597</t>
  </si>
  <si>
    <t>25080</t>
  </si>
  <si>
    <r>
      <rPr>
        <sz val="11"/>
        <color rgb="FFFF0000"/>
        <rFont val="Calibri"/>
        <family val="2"/>
        <scheme val="minor"/>
      </rPr>
      <t>1.CAAU9120222-40HQ,</t>
    </r>
    <r>
      <rPr>
        <sz val="11"/>
        <color theme="1"/>
        <rFont val="Calibri"/>
        <family val="2"/>
        <scheme val="minor"/>
      </rPr>
      <t xml:space="preserve">
</t>
    </r>
    <r>
      <rPr>
        <sz val="11"/>
        <color rgb="FFFF0000"/>
        <rFont val="Calibri"/>
        <family val="2"/>
        <scheme val="minor"/>
      </rPr>
      <t>2.HASU4888679-40HQ,</t>
    </r>
    <r>
      <rPr>
        <sz val="11"/>
        <color theme="1"/>
        <rFont val="Calibri"/>
        <family val="2"/>
        <scheme val="minor"/>
      </rPr>
      <t xml:space="preserve">
</t>
    </r>
    <r>
      <rPr>
        <sz val="11"/>
        <color rgb="FFFF0000"/>
        <rFont val="Calibri"/>
        <family val="2"/>
        <scheme val="minor"/>
      </rPr>
      <t>3.MRKU5194047-40HQ,</t>
    </r>
    <r>
      <rPr>
        <sz val="11"/>
        <color theme="1"/>
        <rFont val="Calibri"/>
        <family val="2"/>
        <scheme val="minor"/>
      </rPr>
      <t xml:space="preserve">
</t>
    </r>
    <r>
      <rPr>
        <sz val="11"/>
        <color rgb="FFFF0000"/>
        <rFont val="Calibri"/>
        <family val="2"/>
        <scheme val="minor"/>
      </rPr>
      <t>4.MRKU5435313-40HQ,</t>
    </r>
    <r>
      <rPr>
        <sz val="11"/>
        <color theme="1"/>
        <rFont val="Calibri"/>
        <family val="2"/>
        <scheme val="minor"/>
      </rPr>
      <t xml:space="preserve">
</t>
    </r>
    <r>
      <rPr>
        <sz val="11"/>
        <color rgb="FFFF0000"/>
        <rFont val="Calibri"/>
        <family val="2"/>
        <scheme val="minor"/>
      </rPr>
      <t>5.MRKU5783670-40HQ,</t>
    </r>
    <r>
      <rPr>
        <sz val="11"/>
        <color theme="1"/>
        <rFont val="Calibri"/>
        <family val="2"/>
        <scheme val="minor"/>
      </rPr>
      <t xml:space="preserve">
</t>
    </r>
    <r>
      <rPr>
        <sz val="11"/>
        <color rgb="FFFF0000"/>
        <rFont val="Calibri"/>
        <family val="2"/>
        <scheme val="minor"/>
      </rPr>
      <t>6.MRSU3082380-40HQ,
7.MRSU4104611-40HQ,
8.MRSU4367665-40HQ,</t>
    </r>
    <r>
      <rPr>
        <sz val="11"/>
        <color theme="1"/>
        <rFont val="Calibri"/>
        <family val="2"/>
        <scheme val="minor"/>
      </rPr>
      <t xml:space="preserve">
</t>
    </r>
    <r>
      <rPr>
        <sz val="11"/>
        <color rgb="FFFF0000"/>
        <rFont val="Calibri"/>
        <family val="2"/>
        <scheme val="minor"/>
      </rPr>
      <t>9.MRSU6582667-40HQ,</t>
    </r>
    <r>
      <rPr>
        <sz val="11"/>
        <color theme="1"/>
        <rFont val="Calibri"/>
        <family val="2"/>
        <scheme val="minor"/>
      </rPr>
      <t xml:space="preserve">
</t>
    </r>
    <r>
      <rPr>
        <sz val="11"/>
        <color rgb="FFFF0000"/>
        <rFont val="Calibri"/>
        <family val="2"/>
        <scheme val="minor"/>
      </rPr>
      <t>10.MSKU0117440-40HQ,</t>
    </r>
    <r>
      <rPr>
        <sz val="11"/>
        <color theme="1"/>
        <rFont val="Calibri"/>
        <family val="2"/>
        <scheme val="minor"/>
      </rPr>
      <t xml:space="preserve">
</t>
    </r>
    <r>
      <rPr>
        <sz val="11"/>
        <color rgb="FFFF0000"/>
        <rFont val="Calibri"/>
        <family val="2"/>
        <scheme val="minor"/>
      </rPr>
      <t>11.MSKU8880485-40HQ,</t>
    </r>
    <r>
      <rPr>
        <sz val="11"/>
        <color theme="1"/>
        <rFont val="Calibri"/>
        <family val="2"/>
        <scheme val="minor"/>
      </rPr>
      <t xml:space="preserve">
</t>
    </r>
    <r>
      <rPr>
        <sz val="11"/>
        <color rgb="FFFF0000"/>
        <rFont val="Calibri"/>
        <family val="2"/>
        <scheme val="minor"/>
      </rPr>
      <t>12.TCKU6150246-40HQ,</t>
    </r>
    <r>
      <rPr>
        <sz val="11"/>
        <color theme="1"/>
        <rFont val="Calibri"/>
        <family val="2"/>
        <scheme val="minor"/>
      </rPr>
      <t xml:space="preserve">
</t>
    </r>
    <r>
      <rPr>
        <sz val="11"/>
        <color rgb="FFFF0000"/>
        <rFont val="Calibri"/>
        <family val="2"/>
        <scheme val="minor"/>
      </rPr>
      <t>13.TCKU7006059-40HQ</t>
    </r>
  </si>
  <si>
    <t>INV TL-2504154
REV DATE: 21/04/25_CLEAR_ TENG LAY</t>
  </si>
  <si>
    <r>
      <rPr>
        <sz val="11"/>
        <color rgb="FFFF0000"/>
        <rFont val="Calibri"/>
        <family val="2"/>
        <scheme val="minor"/>
      </rPr>
      <t>1.MRSU7527387-40HQ,</t>
    </r>
    <r>
      <rPr>
        <sz val="11"/>
        <color theme="1"/>
        <rFont val="Calibri"/>
        <family val="2"/>
        <scheme val="minor"/>
      </rPr>
      <t xml:space="preserve">
</t>
    </r>
    <r>
      <rPr>
        <sz val="11"/>
        <color rgb="FFFF0000"/>
        <rFont val="Calibri"/>
        <family val="2"/>
        <scheme val="minor"/>
      </rPr>
      <t>2.MRSU7528906-40HQ,</t>
    </r>
    <r>
      <rPr>
        <sz val="11"/>
        <color theme="1"/>
        <rFont val="Calibri"/>
        <family val="2"/>
        <scheme val="minor"/>
      </rPr>
      <t xml:space="preserve">
</t>
    </r>
    <r>
      <rPr>
        <sz val="11"/>
        <color rgb="FFFF0000"/>
        <rFont val="Calibri"/>
        <family val="2"/>
        <scheme val="minor"/>
      </rPr>
      <t>3.MRSU7543639-40HQ,</t>
    </r>
    <r>
      <rPr>
        <sz val="11"/>
        <color theme="1"/>
        <rFont val="Calibri"/>
        <family val="2"/>
        <scheme val="minor"/>
      </rPr>
      <t xml:space="preserve">
</t>
    </r>
    <r>
      <rPr>
        <sz val="11"/>
        <color rgb="FFFF0000"/>
        <rFont val="Calibri"/>
        <family val="2"/>
        <scheme val="minor"/>
      </rPr>
      <t>4.MRSU7544276-40HQ,</t>
    </r>
    <r>
      <rPr>
        <sz val="11"/>
        <color theme="1"/>
        <rFont val="Calibri"/>
        <family val="2"/>
        <scheme val="minor"/>
      </rPr>
      <t xml:space="preserve">
</t>
    </r>
    <r>
      <rPr>
        <sz val="11"/>
        <color rgb="FFFF0000"/>
        <rFont val="Calibri"/>
        <family val="2"/>
        <scheme val="minor"/>
      </rPr>
      <t>5.MRSU7544609-40HQ,</t>
    </r>
    <r>
      <rPr>
        <sz val="11"/>
        <color theme="1"/>
        <rFont val="Calibri"/>
        <family val="2"/>
        <scheme val="minor"/>
      </rPr>
      <t xml:space="preserve">
</t>
    </r>
    <r>
      <rPr>
        <sz val="11"/>
        <color rgb="FFFF0000"/>
        <rFont val="Calibri"/>
        <family val="2"/>
        <scheme val="minor"/>
      </rPr>
      <t>6.MRSU7544620-40HQ,</t>
    </r>
    <r>
      <rPr>
        <sz val="11"/>
        <color theme="1"/>
        <rFont val="Calibri"/>
        <family val="2"/>
        <scheme val="minor"/>
      </rPr>
      <t xml:space="preserve">
</t>
    </r>
    <r>
      <rPr>
        <sz val="11"/>
        <color rgb="FFFF0000"/>
        <rFont val="Calibri"/>
        <family val="2"/>
        <scheme val="minor"/>
      </rPr>
      <t>7.MRSU7545550-40HQ,</t>
    </r>
    <r>
      <rPr>
        <sz val="11"/>
        <color theme="1"/>
        <rFont val="Calibri"/>
        <family val="2"/>
        <scheme val="minor"/>
      </rPr>
      <t xml:space="preserve">
</t>
    </r>
    <r>
      <rPr>
        <sz val="11"/>
        <color rgb="FFFF0000"/>
        <rFont val="Calibri"/>
        <family val="2"/>
        <scheme val="minor"/>
      </rPr>
      <t>8.MRSU7545879-40HQ,</t>
    </r>
    <r>
      <rPr>
        <sz val="11"/>
        <color theme="1"/>
        <rFont val="Calibri"/>
        <family val="2"/>
        <scheme val="minor"/>
      </rPr>
      <t xml:space="preserve">
</t>
    </r>
    <r>
      <rPr>
        <sz val="11"/>
        <color rgb="FFFF0000"/>
        <rFont val="Calibri"/>
        <family val="2"/>
        <scheme val="minor"/>
      </rPr>
      <t>9.MRSU7545884-40HQ,</t>
    </r>
    <r>
      <rPr>
        <sz val="11"/>
        <color theme="1"/>
        <rFont val="Calibri"/>
        <family val="2"/>
        <scheme val="minor"/>
      </rPr>
      <t xml:space="preserve">
</t>
    </r>
    <r>
      <rPr>
        <sz val="11"/>
        <color rgb="FFFF0000"/>
        <rFont val="Calibri"/>
        <family val="2"/>
        <scheme val="minor"/>
      </rPr>
      <t>10.MRSU7546155-40HQ,</t>
    </r>
    <r>
      <rPr>
        <sz val="11"/>
        <color theme="1"/>
        <rFont val="Calibri"/>
        <family val="2"/>
        <scheme val="minor"/>
      </rPr>
      <t xml:space="preserve">
</t>
    </r>
    <r>
      <rPr>
        <sz val="11"/>
        <color rgb="FFFF0000"/>
        <rFont val="Calibri"/>
        <family val="2"/>
        <scheme val="minor"/>
      </rPr>
      <t>11.MRSU7546221-40HQ,</t>
    </r>
    <r>
      <rPr>
        <sz val="11"/>
        <color theme="1"/>
        <rFont val="Calibri"/>
        <family val="2"/>
        <scheme val="minor"/>
      </rPr>
      <t xml:space="preserve">
</t>
    </r>
    <r>
      <rPr>
        <sz val="11"/>
        <color rgb="FFFF0000"/>
        <rFont val="Calibri"/>
        <family val="2"/>
        <scheme val="minor"/>
      </rPr>
      <t>12.MRSU7557890-40HQ</t>
    </r>
  </si>
  <si>
    <r>
      <rPr>
        <sz val="11"/>
        <color rgb="FFFF0000"/>
        <rFont val="Calibri"/>
        <family val="2"/>
        <scheme val="minor"/>
      </rPr>
      <t>1.MRSU7485189-40HQ,2.MRSU7485194-40HQ,3.MRSU7495232-40HQ,4.MRSU7495248-40HQ,5.MRSU7495269-40HQ,6.MRSU7495314-40HQ,7.MRSU7503343-40HQ,8.MRSU7503364-40HQ</t>
    </r>
    <r>
      <rPr>
        <sz val="11"/>
        <color theme="1"/>
        <rFont val="Calibri"/>
        <family val="2"/>
        <scheme val="minor"/>
      </rPr>
      <t>,</t>
    </r>
    <r>
      <rPr>
        <sz val="11"/>
        <color rgb="FFFF0000"/>
        <rFont val="Calibri"/>
        <family val="2"/>
        <scheme val="minor"/>
      </rPr>
      <t>9.MRSU7803910-40HQ,10.MRSU7804007-40HQ,</t>
    </r>
  </si>
  <si>
    <t>4TH ML_USE CO</t>
  </si>
  <si>
    <t>MOTOR CONTROL CENTER (MCC) AND INPUT/OUTPUT (IO) CABINET</t>
  </si>
  <si>
    <t>1ST ML_CUT STOCK_CLSINAN_TRSINAN</t>
  </si>
  <si>
    <t>25081</t>
  </si>
  <si>
    <t>105666SH011/012</t>
  </si>
  <si>
    <t>DF24CV-423KH007-3</t>
  </si>
  <si>
    <t>New Tractor Head DONGFENG DFL4251A9, 2 UNITS, 2025
'New Dump Truck DONGFENG DFH3250A, 33 UNITS, 2025</t>
  </si>
  <si>
    <t>NEWPORT CYPRESS 39 V.377W</t>
  </si>
  <si>
    <t>WHUTTHI BHUM V.057S</t>
  </si>
  <si>
    <t>INV TL-2504289
REV DATE: 24/04/25_CLEAR_ TENG LAY</t>
  </si>
  <si>
    <t>INV TL-2504290
REV DATE: 24/04/25_CLEAR_ TENG LAY</t>
  </si>
  <si>
    <r>
      <rPr>
        <sz val="11"/>
        <color rgb="FFFF0000"/>
        <rFont val="Calibri"/>
        <family val="2"/>
        <scheme val="minor"/>
      </rPr>
      <t>1.MRKU2734856-40HQ,</t>
    </r>
    <r>
      <rPr>
        <sz val="11"/>
        <color theme="1"/>
        <rFont val="Calibri"/>
        <family val="2"/>
        <scheme val="minor"/>
      </rPr>
      <t xml:space="preserve">
</t>
    </r>
    <r>
      <rPr>
        <sz val="11"/>
        <color rgb="FFFF0000"/>
        <rFont val="Calibri"/>
        <family val="2"/>
        <scheme val="minor"/>
      </rPr>
      <t>2.MRKU5626428-40HQ,</t>
    </r>
    <r>
      <rPr>
        <sz val="11"/>
        <color theme="1"/>
        <rFont val="Calibri"/>
        <family val="2"/>
        <scheme val="minor"/>
      </rPr>
      <t xml:space="preserve">
</t>
    </r>
    <r>
      <rPr>
        <sz val="11"/>
        <color rgb="FFFF0000"/>
        <rFont val="Calibri"/>
        <family val="2"/>
        <scheme val="minor"/>
      </rPr>
      <t>3.MRKU5856945-40HQ,</t>
    </r>
    <r>
      <rPr>
        <sz val="11"/>
        <color theme="1"/>
        <rFont val="Calibri"/>
        <family val="2"/>
        <scheme val="minor"/>
      </rPr>
      <t xml:space="preserve">
</t>
    </r>
    <r>
      <rPr>
        <sz val="11"/>
        <color rgb="FFFF0000"/>
        <rFont val="Calibri"/>
        <family val="2"/>
        <scheme val="minor"/>
      </rPr>
      <t>4.MRSU5524922-40HQ,</t>
    </r>
    <r>
      <rPr>
        <sz val="11"/>
        <color theme="1"/>
        <rFont val="Calibri"/>
        <family val="2"/>
        <scheme val="minor"/>
      </rPr>
      <t xml:space="preserve">
</t>
    </r>
    <r>
      <rPr>
        <sz val="11"/>
        <color rgb="FFFF0000"/>
        <rFont val="Calibri"/>
        <family val="2"/>
        <scheme val="minor"/>
      </rPr>
      <t>5.MRSU5704101-40HQ,</t>
    </r>
    <r>
      <rPr>
        <sz val="11"/>
        <color theme="1"/>
        <rFont val="Calibri"/>
        <family val="2"/>
        <scheme val="minor"/>
      </rPr>
      <t xml:space="preserve">
</t>
    </r>
    <r>
      <rPr>
        <sz val="11"/>
        <color rgb="FFFF0000"/>
        <rFont val="Calibri"/>
        <family val="2"/>
        <scheme val="minor"/>
      </rPr>
      <t>6.MRSU6900808-40HQ,</t>
    </r>
    <r>
      <rPr>
        <sz val="11"/>
        <color theme="1"/>
        <rFont val="Calibri"/>
        <family val="2"/>
        <scheme val="minor"/>
      </rPr>
      <t xml:space="preserve">
</t>
    </r>
    <r>
      <rPr>
        <sz val="11"/>
        <color rgb="FFFF0000"/>
        <rFont val="Calibri"/>
        <family val="2"/>
        <scheme val="minor"/>
      </rPr>
      <t>7.MSKU1174810-40HQ,
8.TGHU6468090-40HQ</t>
    </r>
  </si>
  <si>
    <r>
      <rPr>
        <sz val="11"/>
        <color rgb="FFFF0000"/>
        <rFont val="Calibri"/>
        <family val="2"/>
        <scheme val="minor"/>
      </rPr>
      <t>1.MRSU7799019-40HQ,</t>
    </r>
    <r>
      <rPr>
        <sz val="11"/>
        <color theme="1"/>
        <rFont val="Calibri"/>
        <family val="2"/>
        <scheme val="minor"/>
      </rPr>
      <t xml:space="preserve">
</t>
    </r>
    <r>
      <rPr>
        <sz val="11"/>
        <color rgb="FFFF0000"/>
        <rFont val="Calibri"/>
        <family val="2"/>
        <scheme val="minor"/>
      </rPr>
      <t>2.MRSU7803248-40HQ,</t>
    </r>
    <r>
      <rPr>
        <sz val="11"/>
        <color theme="1"/>
        <rFont val="Calibri"/>
        <family val="2"/>
        <scheme val="minor"/>
      </rPr>
      <t xml:space="preserve">
</t>
    </r>
    <r>
      <rPr>
        <sz val="11"/>
        <color rgb="FFFF0000"/>
        <rFont val="Calibri"/>
        <family val="2"/>
        <scheme val="minor"/>
      </rPr>
      <t>3.MRSU7803253-40HQ,</t>
    </r>
    <r>
      <rPr>
        <sz val="11"/>
        <color theme="1"/>
        <rFont val="Calibri"/>
        <family val="2"/>
        <scheme val="minor"/>
      </rPr>
      <t xml:space="preserve">
</t>
    </r>
    <r>
      <rPr>
        <sz val="11"/>
        <color rgb="FFFF0000"/>
        <rFont val="Calibri"/>
        <family val="2"/>
        <scheme val="minor"/>
      </rPr>
      <t>4.MRSU7803274-40HQ,</t>
    </r>
    <r>
      <rPr>
        <sz val="11"/>
        <color theme="1"/>
        <rFont val="Calibri"/>
        <family val="2"/>
        <scheme val="minor"/>
      </rPr>
      <t xml:space="preserve">
</t>
    </r>
    <r>
      <rPr>
        <sz val="11"/>
        <color rgb="FFFF0000"/>
        <rFont val="Calibri"/>
        <family val="2"/>
        <scheme val="minor"/>
      </rPr>
      <t>5.MRSU7803989-40HQ,</t>
    </r>
    <r>
      <rPr>
        <sz val="11"/>
        <color theme="1"/>
        <rFont val="Calibri"/>
        <family val="2"/>
        <scheme val="minor"/>
      </rPr>
      <t xml:space="preserve">
</t>
    </r>
    <r>
      <rPr>
        <sz val="11"/>
        <color rgb="FFFF0000"/>
        <rFont val="Calibri"/>
        <family val="2"/>
        <scheme val="minor"/>
      </rPr>
      <t>6.MRSU7804028-40HQ,</t>
    </r>
    <r>
      <rPr>
        <sz val="11"/>
        <color theme="1"/>
        <rFont val="Calibri"/>
        <family val="2"/>
        <scheme val="minor"/>
      </rPr>
      <t xml:space="preserve">
</t>
    </r>
    <r>
      <rPr>
        <sz val="11"/>
        <color rgb="FFFF0000"/>
        <rFont val="Calibri"/>
        <family val="2"/>
        <scheme val="minor"/>
      </rPr>
      <t>7.MRSU7804049-40HQ,
8.MRSU7804199-40HQ,
9.MRSU7814746-40HQ,</t>
    </r>
    <r>
      <rPr>
        <sz val="11"/>
        <color theme="1"/>
        <rFont val="Calibri"/>
        <family val="2"/>
        <scheme val="minor"/>
      </rPr>
      <t xml:space="preserve">
</t>
    </r>
    <r>
      <rPr>
        <sz val="11"/>
        <color rgb="FFFF0000"/>
        <rFont val="Calibri"/>
        <family val="2"/>
        <scheme val="minor"/>
      </rPr>
      <t>10.MRSU7814849-40HQ,</t>
    </r>
    <r>
      <rPr>
        <sz val="11"/>
        <color theme="1"/>
        <rFont val="Calibri"/>
        <family val="2"/>
        <scheme val="minor"/>
      </rPr>
      <t xml:space="preserve">
</t>
    </r>
    <r>
      <rPr>
        <sz val="11"/>
        <color rgb="FFFF0000"/>
        <rFont val="Calibri"/>
        <family val="2"/>
        <scheme val="minor"/>
      </rPr>
      <t>11.MRSU7818058-40HQ</t>
    </r>
  </si>
  <si>
    <t>PHUOC LONG 36 V.425W</t>
  </si>
  <si>
    <t>MARINA VOYAGER 512E</t>
  </si>
  <si>
    <t>25082</t>
  </si>
  <si>
    <t>25083</t>
  </si>
  <si>
    <t>HF16SG2504155</t>
  </si>
  <si>
    <t xml:space="preserve">WM/EXP 05-68  </t>
  </si>
  <si>
    <t>Utility System</t>
  </si>
  <si>
    <t>4 PALLETS</t>
  </si>
  <si>
    <t>HENGSHUI HONGWO</t>
  </si>
  <si>
    <t>25084</t>
  </si>
  <si>
    <t>170827/2025</t>
  </si>
  <si>
    <t>COOLING TOWER</t>
  </si>
  <si>
    <t>1.MSKU9417120-40'HC</t>
  </si>
  <si>
    <t>60 PACKAGES</t>
  </si>
  <si>
    <t>SIRAYOOTH</t>
  </si>
  <si>
    <t>25085</t>
  </si>
  <si>
    <t>NSSLICHCC2500209</t>
  </si>
  <si>
    <t>XI25/013</t>
  </si>
  <si>
    <t>BOILER PLANT</t>
  </si>
  <si>
    <t>1.FFAU4322435-40'HC, 2.FFAU4905279-40'HC</t>
  </si>
  <si>
    <t>GETABEC PUBLIC</t>
  </si>
  <si>
    <t>AMIGL250143144A</t>
  </si>
  <si>
    <t>LK-20250403</t>
  </si>
  <si>
    <t>Filtrate water storage and dosing unit</t>
  </si>
  <si>
    <t>23 BOXES</t>
  </si>
  <si>
    <t>HENAN ECO</t>
  </si>
  <si>
    <t>25086</t>
  </si>
  <si>
    <t>25087</t>
  </si>
  <si>
    <t>25088</t>
  </si>
  <si>
    <t>SZSIH25040030B</t>
  </si>
  <si>
    <t>WM/EXP 03-68</t>
  </si>
  <si>
    <t>WATER TREATMENT PLANT</t>
  </si>
  <si>
    <t>1.EGSU9404150-40'HQ</t>
  </si>
  <si>
    <t>6 PACKAGE</t>
  </si>
  <si>
    <t>2ND ML_CL&amp;TR TL</t>
  </si>
  <si>
    <t>1ST ML_CUT STOCK_CL LYUNY &amp; TR LP</t>
  </si>
  <si>
    <t>2ND ML_CLRUN &amp; TR TIGER</t>
  </si>
  <si>
    <t>XI25/014</t>
  </si>
  <si>
    <t xml:space="preserve"> BOILER PLANT</t>
  </si>
  <si>
    <t>Waste Water Treatment Plant</t>
  </si>
  <si>
    <t>3RD ML</t>
  </si>
  <si>
    <t>4TH ML_IAA</t>
  </si>
  <si>
    <t>2ND ML-IAA_CL &amp; TR LYUNY</t>
  </si>
  <si>
    <t>BEE2504-0286-01</t>
  </si>
  <si>
    <t>25089</t>
  </si>
  <si>
    <t>SHAWD075275</t>
  </si>
  <si>
    <t>E250781997181498</t>
  </si>
  <si>
    <t>NEW CAR MG ZS,1.5 COM 4AT, 2025</t>
  </si>
  <si>
    <t>1.MRSU7484496-40HQ,2.MRSU7484705-40HQ,3.MRSU7484731-40HQ,4.MRSU7484752-40HQ,5.MRSU7484773-40HQ,6.MRSU7484794-40HQ,7.MRSU7484813-40HQ,8.MRSU7750580-40HQ,9.MRSU7841593-40HQ,10.MRSU7842265-40HQ,11.MRSU7842769-40HQ,12.MRSU7843533-40HQ,13.MRSU7843765-40HQ,14.MRSU7844720-40HQ,15.MRSU7847713-40HQ</t>
  </si>
  <si>
    <t>25090</t>
  </si>
  <si>
    <t>SHAWD075254</t>
  </si>
  <si>
    <t>E250781997181471</t>
  </si>
  <si>
    <t>25091</t>
  </si>
  <si>
    <t>SHAWD075301</t>
  </si>
  <si>
    <t>E250781997181494</t>
  </si>
  <si>
    <t>NEW CAR MG G50, 1.5T AT LUX PLUS, 2025</t>
  </si>
  <si>
    <t>25092</t>
  </si>
  <si>
    <t>SHAWD075244</t>
  </si>
  <si>
    <t>E250781997181458</t>
  </si>
  <si>
    <t>INV 20250599
REV DATE: 29/04/25_CLEAR_ LYUTNY</t>
  </si>
  <si>
    <t>25093</t>
  </si>
  <si>
    <t>GLSN075185289</t>
  </si>
  <si>
    <t>20250421/VP-BJC-KH</t>
  </si>
  <si>
    <t>PHUC KHANH 365S</t>
  </si>
  <si>
    <t>64 ROLLS</t>
  </si>
  <si>
    <t>INV TIV-2025-0058
REV DATE: 29/04/25_CLEAR_ SS LOGISTICS</t>
  </si>
  <si>
    <t>25094</t>
  </si>
  <si>
    <t>25095</t>
  </si>
  <si>
    <t>SITSKSVD617162</t>
  </si>
  <si>
    <t>LAKHX2500200</t>
  </si>
  <si>
    <t>NEW LHD CAR LYNK&amp;CO 08 PLUG-IN, 2025
NEW LHD CAR LYNK&amp;CO 06 PLUG-IN, 2025</t>
  </si>
  <si>
    <t>LYNK AND CO AUTOMOBILE</t>
  </si>
  <si>
    <t>SITSKSVD619996</t>
  </si>
  <si>
    <t>25KH01GTB8EZS0135</t>
  </si>
  <si>
    <t>NEW LHD CAR LI AUTO L9 PLUG-IN, 2025
NEW LHD CAR DENZA D9 DM-I PLUG-IN, 2025</t>
  </si>
  <si>
    <t>INV TI2025-0073
REV DATE: 30/04/25_CLEAR_ BIG BEAR LOGISTICS</t>
  </si>
  <si>
    <t>25096</t>
  </si>
  <si>
    <t>SITGSHSVA31286C</t>
  </si>
  <si>
    <t>SEZ-25012</t>
  </si>
  <si>
    <t>Floating Ball Valve DN150 PN16</t>
  </si>
  <si>
    <t>DVK</t>
  </si>
  <si>
    <t>SAWASDEE DENEB V.2504S</t>
  </si>
  <si>
    <t xml:space="preserve"> PHUOC LONG 6 V.327W</t>
  </si>
  <si>
    <t>GREEN CELEBRITY V.0296-097A</t>
  </si>
  <si>
    <t>25097</t>
  </si>
  <si>
    <t>PAY TAX</t>
  </si>
  <si>
    <t>25098</t>
  </si>
  <si>
    <t>MEKONG 26 V.043W</t>
  </si>
  <si>
    <t>WAN HAI 292 V. S049</t>
  </si>
  <si>
    <t>ST SUCCESS V.0031S</t>
  </si>
  <si>
    <t>25099</t>
  </si>
  <si>
    <t>25100</t>
  </si>
  <si>
    <t>1.SKYT2023023/40HC</t>
  </si>
  <si>
    <t>10 Packages</t>
  </si>
  <si>
    <t>S.Napa</t>
  </si>
  <si>
    <t>SNT25003001-02</t>
  </si>
  <si>
    <t>SNT25003001-01</t>
  </si>
  <si>
    <t>25101</t>
  </si>
  <si>
    <t>EIC/2025/013/0144495A/00042013</t>
  </si>
  <si>
    <t>1.OOLU9467760 / OOLJYZ5075</t>
  </si>
  <si>
    <t>30 Package</t>
  </si>
  <si>
    <t>3RD ML_IAA_CL &amp; TR BY TL</t>
  </si>
  <si>
    <t>S01379374</t>
  </si>
  <si>
    <t>25102</t>
  </si>
  <si>
    <t>25103</t>
  </si>
  <si>
    <t>25104</t>
  </si>
  <si>
    <t>027F581803</t>
  </si>
  <si>
    <t>HS24-SI-E-007</t>
  </si>
  <si>
    <t>PVC FITTING</t>
  </si>
  <si>
    <t>12 PKGS</t>
  </si>
  <si>
    <t>25050016-01</t>
  </si>
  <si>
    <t>70-1496</t>
  </si>
  <si>
    <t>S25050016-02</t>
  </si>
  <si>
    <t>25 Packages</t>
  </si>
  <si>
    <t>62-8858,70-7459,71-0494,63-5656,63-0247</t>
  </si>
  <si>
    <t>3A-7567,3E-9321,3A-2227,3F-9207,3A-2225</t>
  </si>
  <si>
    <t>1.GAOU7906575-40HC, 2.GAOU7905028-40HC</t>
  </si>
  <si>
    <t>LONG SON 02 V.518N</t>
  </si>
  <si>
    <t>027F581804</t>
  </si>
  <si>
    <t>027F580234</t>
  </si>
  <si>
    <t>CENTRIFUGAL PUMP Q=20 M3/H HEAD 10 M</t>
  </si>
  <si>
    <t>POWER AND CONTROL CABLE
POWER AND CONTROL CABLE</t>
  </si>
  <si>
    <t>25105</t>
  </si>
  <si>
    <t>SITSKSVD619998</t>
  </si>
  <si>
    <t>404-HK-1-2025</t>
  </si>
  <si>
    <t>NEW LHD CAR LI L7 PLUG-IN, 2025</t>
  </si>
  <si>
    <t>1.UETU7253743-40HC</t>
  </si>
  <si>
    <t>LEADING IDEAL</t>
  </si>
  <si>
    <t>25106</t>
  </si>
  <si>
    <t>SHAWD075290</t>
  </si>
  <si>
    <t>E250781997181519</t>
  </si>
  <si>
    <t>NEW CAR MG RX5, 1.5T TST LUX, 2025</t>
  </si>
  <si>
    <t>25107</t>
  </si>
  <si>
    <t>SHAWD075359</t>
  </si>
  <si>
    <t>E250781997181520</t>
  </si>
  <si>
    <t>1.IAAU1705216-40HQ, 2.IAAU1716669-40HQ, 3.SEGU6770775-40HQ,</t>
  </si>
  <si>
    <t>HS24-SI-E-006</t>
  </si>
  <si>
    <t>1.WHSU2515634-20GP, 2.WHSU5384271-40HC</t>
  </si>
  <si>
    <t>24 PKGS</t>
  </si>
  <si>
    <t>SEA-PART</t>
  </si>
  <si>
    <t>HS24-SI-E-008</t>
  </si>
  <si>
    <t>1.WHSU2515634-20GP (PART OF)</t>
  </si>
  <si>
    <t>5 PKGS</t>
  </si>
  <si>
    <t>1.WHSU5384271-40'HC (PART OF)</t>
  </si>
  <si>
    <t>1ST ML_CL&amp;TR TL</t>
  </si>
  <si>
    <t>4TH ML_IAA_CL&amp;TR TL</t>
  </si>
  <si>
    <t>3A-0897</t>
  </si>
  <si>
    <t>64-3979</t>
  </si>
  <si>
    <t>25108</t>
  </si>
  <si>
    <t>SHAWD075239</t>
  </si>
  <si>
    <t>SMIL202504072106-P-C</t>
  </si>
  <si>
    <t>NEW CAR MAXUS D60, 1.5T AT LUX (Black Kit), 2025</t>
  </si>
  <si>
    <t xml:space="preserve">1.CAAU8833960-40HQ, 2.IAAU1785422-40HQ, 3.IAAU1899976-40HQ, </t>
  </si>
  <si>
    <t>RIVER DRAGON V.105W</t>
  </si>
  <si>
    <t>1.TXGU6683685-40HQ, 2.TXGU7967876-40HQ, 3.TXGU8260358-40HQ</t>
  </si>
  <si>
    <t>WAN HAI 292 V.S049</t>
  </si>
  <si>
    <t>INV TL-2504944
REV DATE: 08/05/25_CLEAR_ TENG LAY</t>
  </si>
  <si>
    <t>25109</t>
  </si>
  <si>
    <t>SHAWD075338</t>
  </si>
  <si>
    <t>E250781997181538</t>
  </si>
  <si>
    <t>1.CAIU4458225-40HQ, 2.HMMU6436218-40HQ, 3.HMMU6940975-40HQ, 4.HMMU6947840-40HQ, 5.HMMU7021880-40HQ, 6.HMMU7056779-40HQ, 7.HMMU7195840-40HQ, 8.KOCU4285037-40HQ, 9.KOCU4574338-40HQ, 10.KOCU4801093-40HQ, 11.KOCU4868461-40HQ, 12.KOCU4920847-40HQ, 13.KOCU5197481-40HQ, 14.TCNU5101473-40HQ, 15.TXGU7811219-40HQ</t>
  </si>
  <si>
    <t>NORDLEOPARD V.517N</t>
  </si>
  <si>
    <t>VN-KH 25/01/023470</t>
  </si>
  <si>
    <t>GLSN075195291</t>
  </si>
  <si>
    <t>20250424/VP-BJC-KH</t>
  </si>
  <si>
    <t>LONG SON 02 V519N</t>
  </si>
  <si>
    <t>02251072600000178</t>
  </si>
  <si>
    <t>VN-KH 25/01/024787</t>
  </si>
  <si>
    <t>TWB2404107</t>
  </si>
  <si>
    <t>PO-SEZ-25014</t>
  </si>
  <si>
    <t>MDB AND MOTOR CONTROL PANEL FOR MDB SET NO.3</t>
  </si>
  <si>
    <t>1 Plywood Case</t>
  </si>
  <si>
    <t>ENSERGY</t>
  </si>
  <si>
    <t>1.CAAU5218740-40HC, 2.CAAU5218870-40HC</t>
  </si>
  <si>
    <t>TAN CANG 36 V.101W</t>
  </si>
  <si>
    <t>PHUC THAI 209S</t>
  </si>
  <si>
    <t>CAI MEP 48 V.020W</t>
  </si>
  <si>
    <t>WAN HAI 296 S.S041</t>
  </si>
  <si>
    <t>WAN HAI 173 V.S123</t>
  </si>
  <si>
    <t>25110</t>
  </si>
  <si>
    <t>S25050069</t>
  </si>
  <si>
    <t>SNT25003002</t>
  </si>
  <si>
    <t xml:space="preserve">Waste Water Treatment Plant </t>
  </si>
  <si>
    <t>1.SKYT2023024-40HC</t>
  </si>
  <si>
    <t>AMIGL250159914A</t>
  </si>
  <si>
    <t>PO 6804-002</t>
  </si>
  <si>
    <t>Water Distribution System</t>
  </si>
  <si>
    <t>42 PACKAGES</t>
  </si>
  <si>
    <t>PO 6804-002A</t>
  </si>
  <si>
    <t>30 PCS</t>
  </si>
  <si>
    <t>25111</t>
  </si>
  <si>
    <t>4TH ML</t>
  </si>
  <si>
    <t>TAX</t>
  </si>
  <si>
    <t>INV TIV-2025-0073
REV DATE: 13/05/25_CLEAR_ SS LOGISTICS</t>
  </si>
  <si>
    <t>INV TIV-2025-0058
REV DATE: 14/05/25_CLEAR_ SS LOGISTICS</t>
  </si>
  <si>
    <t>INV 20250682
REV DATE: 13/05/25_CLEAR_ LYUTNY</t>
  </si>
  <si>
    <r>
      <rPr>
        <sz val="11"/>
        <color rgb="FFFF0000"/>
        <rFont val="Calibri"/>
        <family val="2"/>
        <scheme val="minor"/>
      </rPr>
      <t>1.IAAU1781330-40HQ,</t>
    </r>
    <r>
      <rPr>
        <sz val="11"/>
        <color theme="1"/>
        <rFont val="Calibri"/>
        <family val="2"/>
        <scheme val="minor"/>
      </rPr>
      <t xml:space="preserve"> </t>
    </r>
    <r>
      <rPr>
        <sz val="11"/>
        <color rgb="FFFF0000"/>
        <rFont val="Calibri"/>
        <family val="2"/>
        <scheme val="minor"/>
      </rPr>
      <t>2.IAAU1873776-40HQ,</t>
    </r>
    <r>
      <rPr>
        <sz val="11"/>
        <color theme="1"/>
        <rFont val="Calibri"/>
        <family val="2"/>
        <scheme val="minor"/>
      </rPr>
      <t xml:space="preserve"> </t>
    </r>
    <r>
      <rPr>
        <sz val="11"/>
        <color rgb="FFFF0000"/>
        <rFont val="Calibri"/>
        <family val="2"/>
        <scheme val="minor"/>
      </rPr>
      <t>3.SEKU4113800-40HQ, 4.TGBU7708851-40HQ</t>
    </r>
  </si>
  <si>
    <r>
      <rPr>
        <sz val="11"/>
        <color rgb="FFFF0000"/>
        <rFont val="Calibri"/>
        <family val="2"/>
        <scheme val="minor"/>
      </rPr>
      <t>1.CAIU7846076-40HQ,</t>
    </r>
    <r>
      <rPr>
        <sz val="11"/>
        <color theme="1"/>
        <rFont val="Calibri"/>
        <family val="2"/>
        <scheme val="minor"/>
      </rPr>
      <t xml:space="preserve"> </t>
    </r>
    <r>
      <rPr>
        <sz val="11"/>
        <color rgb="FFFF0000"/>
        <rFont val="Calibri"/>
        <family val="2"/>
        <scheme val="minor"/>
      </rPr>
      <t>2.IAAU1779604-40HQ,</t>
    </r>
    <r>
      <rPr>
        <sz val="11"/>
        <color theme="1"/>
        <rFont val="Calibri"/>
        <family val="2"/>
        <scheme val="minor"/>
      </rPr>
      <t xml:space="preserve"> </t>
    </r>
    <r>
      <rPr>
        <sz val="11"/>
        <color rgb="FFFF0000"/>
        <rFont val="Calibri"/>
        <family val="2"/>
        <scheme val="minor"/>
      </rPr>
      <t>3.IAAU1828165-40HQ, 4.IAAU1870530-40HQ,</t>
    </r>
    <r>
      <rPr>
        <sz val="11"/>
        <color theme="1"/>
        <rFont val="Calibri"/>
        <family val="2"/>
        <scheme val="minor"/>
      </rPr>
      <t xml:space="preserve"> </t>
    </r>
    <r>
      <rPr>
        <sz val="11"/>
        <color rgb="FFFF0000"/>
        <rFont val="Calibri"/>
        <family val="2"/>
        <scheme val="minor"/>
      </rPr>
      <t>5.SEKU4120538-40HQ</t>
    </r>
  </si>
  <si>
    <r>
      <rPr>
        <sz val="11"/>
        <color rgb="FFFF0000"/>
        <rFont val="Calibri"/>
        <family val="2"/>
        <scheme val="minor"/>
      </rPr>
      <t>1.BMOU6500704-40HC,2.BEAU6398856-40HC,3.BMOU6502538-40HC,4.TIIU6545743-40HC,5.TIIU5762929-40HC</t>
    </r>
    <r>
      <rPr>
        <sz val="11"/>
        <color theme="1"/>
        <rFont val="Calibri"/>
        <family val="2"/>
        <scheme val="minor"/>
      </rPr>
      <t>,</t>
    </r>
    <r>
      <rPr>
        <sz val="11"/>
        <color rgb="FFFF0000"/>
        <rFont val="Calibri"/>
        <family val="2"/>
        <scheme val="minor"/>
      </rPr>
      <t>6.TIIU6530682-40HC,7.TCKU7377954-40HC,</t>
    </r>
  </si>
  <si>
    <t>1.FFAU4185965-40HC,2.SITU2802825-20GP</t>
  </si>
  <si>
    <t>25112</t>
  </si>
  <si>
    <t>SHAWD075337</t>
  </si>
  <si>
    <t>E250781997181540</t>
  </si>
  <si>
    <t>SHAWD075388</t>
  </si>
  <si>
    <t>E250781997181539</t>
  </si>
  <si>
    <t>OTSSIH2543145</t>
  </si>
  <si>
    <t>EGLV149502789077</t>
  </si>
  <si>
    <t>VCFCHY-250458</t>
  </si>
  <si>
    <t>NEW CAR GAC GS8, 2025</t>
  </si>
  <si>
    <t>25113</t>
  </si>
  <si>
    <t>25114</t>
  </si>
  <si>
    <t>25115</t>
  </si>
  <si>
    <t>ឈ្មោះ ANKEN AUTO ដែលមានទីតាំងទី១នៅ ផ្លូវ 78 សង្កាត់ទន្លេបាសាក ខណ្ឌចំការមន រាជធានីភ្នំពេញ ទូរស័ព្ទលេខ 017 760 671 នឹងទីតាំងទី២ ផ្ទះលេខ១៦០ ផ្លូវជាតិលេខ១ ភូមិបឹងឈូក ​សង្កាត់និរោធ ខណ្ឌច្បារអំពៅ រាជធានីភ្នំពេញ ទូរស័ព្ទលេខ 081 337 933។</t>
  </si>
  <si>
    <t>1.EGHU9341166-40HC, 2.EGHU9264136-40HC</t>
  </si>
  <si>
    <t>68-4471</t>
  </si>
  <si>
    <t>3A-0895</t>
  </si>
  <si>
    <t>INV TL-2505153
REV DATE: 19/05/25_CLEAR_ TENG LAY</t>
  </si>
  <si>
    <t>INV TL-2505248
REV DATE: 19/05/25_CLEAR_ TENG LAY</t>
  </si>
  <si>
    <t>BORUI</t>
  </si>
  <si>
    <t>https://maps.app.goo.gl/E37xdAE6zNHZAV8N6</t>
  </si>
  <si>
    <t>25116</t>
  </si>
  <si>
    <t>ឈ្មោះ BORUI ដែលមានទីតាំង #គ្មាន ផ្លូវសម្ដេចតេជោហ៊ុនសែន60ម ភូមិព្រែកតានូ សង្កាត់ចាក់អង្រែលើ ខណ្ឌមានជ័យ រាជធានីភ្នំពេញ ទូរស័ព្ទលេខ 070 816 755 ។</t>
  </si>
  <si>
    <t>MRSU4467751</t>
  </si>
  <si>
    <t>NEW CAR CADILLAC ESCALADE SPORT PLATINUM, 2025</t>
  </si>
  <si>
    <t>1.MRSU4467751-40DRY</t>
  </si>
  <si>
    <t>LINEAR SHIPPING</t>
  </si>
  <si>
    <t>EXP03/2025</t>
  </si>
  <si>
    <t>HANSA BREITENBURG V.520N</t>
  </si>
  <si>
    <t>Netherlands</t>
  </si>
  <si>
    <t>Compressor</t>
  </si>
  <si>
    <t>1.MSKU5224478-20GP, 2.MSKU1325069-40HC</t>
  </si>
  <si>
    <t>16 PACKAGES</t>
  </si>
  <si>
    <t>Refritech</t>
  </si>
  <si>
    <t>2ND ML_IAA</t>
  </si>
  <si>
    <t>INV TIV-2025-0074
REV DATE: 13/05/25_CLEAR_SS LOGISTICS</t>
  </si>
  <si>
    <t>25117</t>
  </si>
  <si>
    <t>GLSN165205343</t>
  </si>
  <si>
    <t>NEW PEUGEOT MOTORCYCLE DJANGO</t>
  </si>
  <si>
    <t>1.GAOU7903386 / GLS2145134</t>
  </si>
  <si>
    <t>PEUGEOT</t>
  </si>
  <si>
    <t>VN-KH 25/01/027193</t>
  </si>
  <si>
    <t>SITC ZHEJIANG V.2508S</t>
  </si>
  <si>
    <t>TRHU8908544 (ទំនិញរាយ)</t>
  </si>
  <si>
    <t>Flange Liner HDPE Ø150</t>
  </si>
  <si>
    <t>25118</t>
  </si>
  <si>
    <t>SHAWD075289</t>
  </si>
  <si>
    <t xml:space="preserve">NEW ELECTRIC CAR MG CYBERSTER AWD DEL, 2025 </t>
  </si>
  <si>
    <t>1.TLLU5238662-40HQ, 2.TRHU7449630-40HQ</t>
  </si>
  <si>
    <t>25119</t>
  </si>
  <si>
    <t>S25050166</t>
  </si>
  <si>
    <t>SNT25003003</t>
  </si>
  <si>
    <t>WASTE WATER TREATMENT PLANT</t>
  </si>
  <si>
    <t>40 PACKAGE</t>
  </si>
  <si>
    <t>S.NAPA</t>
  </si>
  <si>
    <t>1ST ML_SS</t>
  </si>
  <si>
    <t>INTERASIA VISION V.S080</t>
  </si>
  <si>
    <t>MEKONG 26 V.046W</t>
  </si>
  <si>
    <t>25120</t>
  </si>
  <si>
    <t>SHAWD075377</t>
  </si>
  <si>
    <t>E250781997181614</t>
  </si>
  <si>
    <t>25121</t>
  </si>
  <si>
    <t>SHAWD075446</t>
  </si>
  <si>
    <t>E250781997181613</t>
  </si>
  <si>
    <t>25122</t>
  </si>
  <si>
    <t>SHAWD075447</t>
  </si>
  <si>
    <t>E250781997181617</t>
  </si>
  <si>
    <t>1.HASU4631084-40HQ, 2.MRKU4419914-40HQ, 3.MRSU3720947-40HQ, 4.MRSU7568431-40HQ, 5.MRSU7571970-40HQ, 6.MRSU7576695-40HQ, 7.MRSU7576904-40HQ, 8.MRSU7579272-40HQ, 9.MRSU7580015-40HQ, 10.MRSU7581048-40HQ, 11.MRSU7589877-40HQ, 12.PONU8237720-40HQ</t>
  </si>
  <si>
    <t>25123</t>
  </si>
  <si>
    <t>SHJPSIH250500130</t>
  </si>
  <si>
    <t>ST20250508</t>
  </si>
  <si>
    <t>PP TUBE SETTLER SHEET</t>
  </si>
  <si>
    <t>HEBEI SINTA</t>
  </si>
  <si>
    <t>MST2510C-01</t>
  </si>
  <si>
    <t>12 PLYWOOD CASE</t>
  </si>
  <si>
    <t>1.MRKU3658806-40HQ, 2.MRSU6083987-40HQ, 3.TCNU3192772-40HQ</t>
  </si>
  <si>
    <t>1.FFAU1168671-40HC (ទំនិញរាយ)</t>
  </si>
  <si>
    <t>WHITE DRAGON V.2510S </t>
  </si>
  <si>
    <t>GLS 07 V.520N</t>
  </si>
  <si>
    <t xml:space="preserve">TRUONG HAI STAR 3 2515S
</t>
  </si>
  <si>
    <t>LONG SON 01 V.521N</t>
  </si>
  <si>
    <t>1.SITU2756102-20GP (ទំនិញរាយ)</t>
  </si>
  <si>
    <t>INV VR2025-0053
REV DATE: 27/05/25_CLEAR_SVR WORLDWIDE LOGISTICS</t>
  </si>
  <si>
    <t>INV TL-2505564
REV DATE: 26/05/25_CLEAR_ TENG LAY</t>
  </si>
  <si>
    <t>INV TIV-2025-0083
REV DATE: 26/05/25_CLEAR_ SS LOGISTICS</t>
  </si>
  <si>
    <t>INV TIV-2025-0085
REV DATE: 26/05/25_CLEAR_SS LOGISTICS</t>
  </si>
  <si>
    <t>25124</t>
  </si>
  <si>
    <t>S01388207</t>
  </si>
  <si>
    <t>EIC/2025/013/0309834A/00092243</t>
  </si>
  <si>
    <t>1.CSLU1770858 / OOLKHF2236</t>
  </si>
  <si>
    <t>25125</t>
  </si>
  <si>
    <t>170829/2025</t>
  </si>
  <si>
    <t>INV TL-2506166
REV DATE: 30/05/25_CLEAR_TENG LAY</t>
  </si>
  <si>
    <t>INV TIV-2025-0090
REV DATE: 30/05/25_CLEAR_ SS LOGISTICS</t>
  </si>
  <si>
    <t>-TRUCK INV TI2025-0099
REV DATE: 30/05/25_CLEAR_BIG BEAR</t>
  </si>
  <si>
    <t>-INV VR2025-0055
REV DATE: 27/05/25_CLEAR_SVR WORLDWIDE LOGISTICS
-TRUCK_INV TI2025-0094
REV DATE: 30/05/25_BIG BEAR</t>
  </si>
  <si>
    <t>-CLEAR_INV VR2025-0057
REV DATE: 30/05/25_VR WORLDWIDE LOGISTICS
-TRUCK INV TI2025-0099
REV DATE: 30/05/25_BIG BEAR</t>
  </si>
  <si>
    <t>-CLEAR_INV VR2025-0054
REV DATE: 27/05/25_VR WORLDWIDE LOGISTICS
-TRUCK_INV TI2025-0093
REV DATE: 30/05/25_BIG BEAR</t>
  </si>
  <si>
    <t>-TRUCK_INV CSVB-18452
REV DATE: 30/05/25_CSVB</t>
  </si>
  <si>
    <r>
      <rPr>
        <sz val="11"/>
        <color rgb="FFFF0000"/>
        <rFont val="Calibri"/>
        <family val="2"/>
        <scheme val="minor"/>
      </rPr>
      <t>1.BHCU5000326-40HQ,</t>
    </r>
    <r>
      <rPr>
        <sz val="11"/>
        <color theme="1"/>
        <rFont val="Calibri"/>
        <family val="2"/>
        <scheme val="minor"/>
      </rPr>
      <t xml:space="preserve"> </t>
    </r>
    <r>
      <rPr>
        <sz val="11"/>
        <color rgb="FFFF0000"/>
        <rFont val="Calibri"/>
        <family val="2"/>
        <scheme val="minor"/>
      </rPr>
      <t>2.CAAU8820387-40HQ,</t>
    </r>
    <r>
      <rPr>
        <sz val="11"/>
        <color theme="1"/>
        <rFont val="Calibri"/>
        <family val="2"/>
        <scheme val="minor"/>
      </rPr>
      <t xml:space="preserve"> </t>
    </r>
    <r>
      <rPr>
        <sz val="11"/>
        <color rgb="FFFF0000"/>
        <rFont val="Calibri"/>
        <family val="2"/>
        <scheme val="minor"/>
      </rPr>
      <t>3.IAAU1020304-40HQ,</t>
    </r>
    <r>
      <rPr>
        <sz val="11"/>
        <color theme="1"/>
        <rFont val="Calibri"/>
        <family val="2"/>
        <scheme val="minor"/>
      </rPr>
      <t xml:space="preserve"> </t>
    </r>
    <r>
      <rPr>
        <sz val="11"/>
        <color rgb="FFFF0000"/>
        <rFont val="Calibri"/>
        <family val="2"/>
        <scheme val="minor"/>
      </rPr>
      <t>4.IAAU1762561-40HQ</t>
    </r>
    <r>
      <rPr>
        <sz val="11"/>
        <color theme="1"/>
        <rFont val="Calibri"/>
        <family val="2"/>
        <scheme val="minor"/>
      </rPr>
      <t xml:space="preserve">, </t>
    </r>
    <r>
      <rPr>
        <sz val="11"/>
        <color rgb="FFFF0000"/>
        <rFont val="Calibri"/>
        <family val="2"/>
        <scheme val="minor"/>
      </rPr>
      <t>5.IAAU1789346-40HQ,</t>
    </r>
    <r>
      <rPr>
        <sz val="11"/>
        <color theme="1"/>
        <rFont val="Calibri"/>
        <family val="2"/>
        <scheme val="minor"/>
      </rPr>
      <t xml:space="preserve"> </t>
    </r>
    <r>
      <rPr>
        <sz val="11"/>
        <color rgb="FFFF0000"/>
        <rFont val="Calibri"/>
        <family val="2"/>
        <scheme val="minor"/>
      </rPr>
      <t>6.IAAU1795354-40HQ,</t>
    </r>
    <r>
      <rPr>
        <sz val="11"/>
        <color theme="1"/>
        <rFont val="Calibri"/>
        <family val="2"/>
        <scheme val="minor"/>
      </rPr>
      <t xml:space="preserve"> </t>
    </r>
    <r>
      <rPr>
        <sz val="11"/>
        <color rgb="FFFF0000"/>
        <rFont val="Calibri"/>
        <family val="2"/>
        <scheme val="minor"/>
      </rPr>
      <t>7.IAAU1870756-40HQ,</t>
    </r>
    <r>
      <rPr>
        <sz val="11"/>
        <color theme="1"/>
        <rFont val="Calibri"/>
        <family val="2"/>
        <scheme val="minor"/>
      </rPr>
      <t xml:space="preserve"> </t>
    </r>
    <r>
      <rPr>
        <sz val="11"/>
        <color rgb="FFFF0000"/>
        <rFont val="Calibri"/>
        <family val="2"/>
        <scheme val="minor"/>
      </rPr>
      <t>8.IAAU1925674-40HQ</t>
    </r>
    <r>
      <rPr>
        <sz val="11"/>
        <color theme="1"/>
        <rFont val="Calibri"/>
        <family val="2"/>
        <scheme val="minor"/>
      </rPr>
      <t xml:space="preserve">, </t>
    </r>
    <r>
      <rPr>
        <sz val="11"/>
        <color rgb="FFFF0000"/>
        <rFont val="Calibri"/>
        <family val="2"/>
        <scheme val="minor"/>
      </rPr>
      <t>9.RFCU5102839-40HQ,</t>
    </r>
    <r>
      <rPr>
        <sz val="11"/>
        <color theme="1"/>
        <rFont val="Calibri"/>
        <family val="2"/>
        <scheme val="minor"/>
      </rPr>
      <t xml:space="preserve"> </t>
    </r>
    <r>
      <rPr>
        <sz val="11"/>
        <color rgb="FFFF0000"/>
        <rFont val="Calibri"/>
        <family val="2"/>
        <scheme val="minor"/>
      </rPr>
      <t>10.SEGU6689468-40HQ,</t>
    </r>
  </si>
  <si>
    <r>
      <rPr>
        <sz val="11"/>
        <color rgb="FFFF0000"/>
        <rFont val="Calibri"/>
        <family val="2"/>
        <scheme val="minor"/>
      </rPr>
      <t xml:space="preserve">1.FSCU8199644-40HQ, </t>
    </r>
    <r>
      <rPr>
        <sz val="11"/>
        <color theme="1"/>
        <rFont val="Calibri"/>
        <family val="2"/>
        <scheme val="minor"/>
      </rPr>
      <t xml:space="preserve">
</t>
    </r>
    <r>
      <rPr>
        <sz val="11"/>
        <color rgb="FFFF0000"/>
        <rFont val="Calibri"/>
        <family val="2"/>
        <scheme val="minor"/>
      </rPr>
      <t>2.IAAU1866859-40HQ,</t>
    </r>
    <r>
      <rPr>
        <sz val="11"/>
        <color theme="1"/>
        <rFont val="Calibri"/>
        <family val="2"/>
        <scheme val="minor"/>
      </rPr>
      <t xml:space="preserve"> </t>
    </r>
    <r>
      <rPr>
        <sz val="11"/>
        <color rgb="FFFF0000"/>
        <rFont val="Calibri"/>
        <family val="2"/>
        <scheme val="minor"/>
      </rPr>
      <t>3.IAAU1909755-40HQ,</t>
    </r>
    <r>
      <rPr>
        <sz val="11"/>
        <color theme="1"/>
        <rFont val="Calibri"/>
        <family val="2"/>
        <scheme val="minor"/>
      </rPr>
      <t xml:space="preserve"> </t>
    </r>
    <r>
      <rPr>
        <sz val="11"/>
        <color rgb="FFFF0000"/>
        <rFont val="Calibri"/>
        <family val="2"/>
        <scheme val="minor"/>
      </rPr>
      <t>4.IAAU1963761-40HQ,</t>
    </r>
    <r>
      <rPr>
        <sz val="11"/>
        <color theme="1"/>
        <rFont val="Calibri"/>
        <family val="2"/>
        <scheme val="minor"/>
      </rPr>
      <t xml:space="preserve"> </t>
    </r>
    <r>
      <rPr>
        <sz val="11"/>
        <color rgb="FFFF0000"/>
        <rFont val="Calibri"/>
        <family val="2"/>
        <scheme val="minor"/>
      </rPr>
      <t>5.SEGU6626599-40HQ,</t>
    </r>
    <r>
      <rPr>
        <sz val="11"/>
        <color theme="1"/>
        <rFont val="Calibri"/>
        <family val="2"/>
        <scheme val="minor"/>
      </rPr>
      <t xml:space="preserve"> </t>
    </r>
    <r>
      <rPr>
        <sz val="11"/>
        <color rgb="FFFF0000"/>
        <rFont val="Calibri"/>
        <family val="2"/>
        <scheme val="minor"/>
      </rPr>
      <t>6.WHLU5639525-40HQ,</t>
    </r>
  </si>
  <si>
    <r>
      <rPr>
        <sz val="11"/>
        <color rgb="FFFF0000"/>
        <rFont val="Calibri"/>
        <family val="2"/>
        <scheme val="minor"/>
      </rPr>
      <t>1.CAAU9178271-40HQ,</t>
    </r>
    <r>
      <rPr>
        <sz val="11"/>
        <color theme="1"/>
        <rFont val="Calibri"/>
        <family val="2"/>
        <scheme val="minor"/>
      </rPr>
      <t xml:space="preserve"> </t>
    </r>
    <r>
      <rPr>
        <sz val="11"/>
        <color rgb="FFFF0000"/>
        <rFont val="Calibri"/>
        <family val="2"/>
        <scheme val="minor"/>
      </rPr>
      <t>2.MRKU4155920-40HQ,</t>
    </r>
    <r>
      <rPr>
        <sz val="11"/>
        <color theme="1"/>
        <rFont val="Calibri"/>
        <family val="2"/>
        <scheme val="minor"/>
      </rPr>
      <t xml:space="preserve"> </t>
    </r>
    <r>
      <rPr>
        <sz val="11"/>
        <color rgb="FFFF0000"/>
        <rFont val="Calibri"/>
        <family val="2"/>
        <scheme val="minor"/>
      </rPr>
      <t>3.MRSU7570526-40HQ,</t>
    </r>
    <r>
      <rPr>
        <sz val="11"/>
        <color theme="1"/>
        <rFont val="Calibri"/>
        <family val="2"/>
        <scheme val="minor"/>
      </rPr>
      <t xml:space="preserve"> </t>
    </r>
    <r>
      <rPr>
        <sz val="11"/>
        <color rgb="FFFF0000"/>
        <rFont val="Calibri"/>
        <family val="2"/>
        <scheme val="minor"/>
      </rPr>
      <t>4.MRSU7578466-40HQ,</t>
    </r>
    <r>
      <rPr>
        <sz val="11"/>
        <color theme="1"/>
        <rFont val="Calibri"/>
        <family val="2"/>
        <scheme val="minor"/>
      </rPr>
      <t xml:space="preserve"> </t>
    </r>
    <r>
      <rPr>
        <sz val="11"/>
        <color rgb="FFFF0000"/>
        <rFont val="Calibri"/>
        <family val="2"/>
        <scheme val="minor"/>
      </rPr>
      <t>5.TCKU7230388-40HQ</t>
    </r>
  </si>
  <si>
    <t>CHQ00TRP241224538</t>
  </si>
  <si>
    <t>G. DRAGON V.521N</t>
  </si>
  <si>
    <t>TAN CANG 38 V.118W</t>
  </si>
  <si>
    <t>1.MRSU3611381-40HC, 2.TGHU6891986-40HC, 3.MRSU3228496-40HC, 4.MSKU8740821-40HC, 5.BSIU9850949-40HC, 6.MSKU9684975-40HC, 7.MSKU9435231-40HC</t>
  </si>
  <si>
    <t>176 PACKAGES</t>
  </si>
  <si>
    <r>
      <t xml:space="preserve">1.IAAU1029235-40HQ, 2.IAAU1810654-40HQ, </t>
    </r>
    <r>
      <rPr>
        <sz val="11"/>
        <color rgb="FFFF0000"/>
        <rFont val="Calibri"/>
        <family val="2"/>
        <scheme val="minor"/>
      </rPr>
      <t>3.IAAU1870289-40HQ,</t>
    </r>
    <r>
      <rPr>
        <sz val="11"/>
        <color theme="1"/>
        <rFont val="Calibri"/>
        <family val="2"/>
        <scheme val="minor"/>
      </rPr>
      <t xml:space="preserve"> 4.IAAU1942060-40HQ, 5.SEKU4121540-40HQ,</t>
    </r>
  </si>
  <si>
    <t>OOCL CHARLESTON / 248E</t>
  </si>
  <si>
    <t>NEWPORT CYPRESS 79 V.334W</t>
  </si>
  <si>
    <t>25126</t>
  </si>
  <si>
    <t>25127</t>
  </si>
  <si>
    <t>SHAWD075529</t>
  </si>
  <si>
    <t>HMM HARVEST V. 0001W</t>
  </si>
  <si>
    <t>1.HMMU4098770-40HC, 2.HMMU4098791-40HC, 3.HMMU4098810-40HC, 4.HMMU4100604-40HC</t>
  </si>
  <si>
    <t xml:space="preserve">SAIC </t>
  </si>
  <si>
    <t>SHAWD075478</t>
  </si>
  <si>
    <t>1.HMMU4080909-40HC, 2.HMMU4080956-40HC, 3.HMMU4093085-40HC, 4.HMMU4093104-40HC, 5.HMMU4093697-40HC, 6.HMMU4097075-40HC, 7.HMMU4097100-40HC, 8.HMMU4098826-40HC, 9.HMMU4098889-40HC, 10.HMMU4098929-40HC, 11.HMMU4099550-40HC, 12.HMMU4099709-40HC, 13.HMMU4100564-40HC, 14.HMMU4100590-40HC, 15.HMMU7063037-40HC</t>
  </si>
  <si>
    <t>E250781997181684</t>
  </si>
  <si>
    <t>E250781997181692</t>
  </si>
  <si>
    <t>E250781997181694</t>
  </si>
  <si>
    <t>25128</t>
  </si>
  <si>
    <t>S25060061</t>
  </si>
  <si>
    <t>SNT25003004</t>
  </si>
  <si>
    <t>70-4617</t>
  </si>
  <si>
    <t>1.SKRF5543129-40HC</t>
  </si>
  <si>
    <t>25129</t>
  </si>
  <si>
    <t>TWB2404118</t>
  </si>
  <si>
    <t>PO-SEZ-25028</t>
  </si>
  <si>
    <t>73-8349</t>
  </si>
  <si>
    <t>MDB and Motor Control Panel for MDB Set no. 4</t>
  </si>
  <si>
    <t>1 WOODEN CASE</t>
  </si>
  <si>
    <t>4SVPCDC</t>
  </si>
  <si>
    <t>25130</t>
  </si>
  <si>
    <t>25131</t>
  </si>
  <si>
    <t>SHAWD075538</t>
  </si>
  <si>
    <t>E250781997181699</t>
  </si>
  <si>
    <t>MAERSK NORBERG V.522S</t>
  </si>
  <si>
    <t>1.MRSU7793113-40HC, 2.MRSU8027215-40HC, 3.MRSU8035376-40HC, 4.MRSU8035397-40HC, 5.MRSU8035416-40HC, 6.MRSU8036109-40HC, 7.MRSU8036285-40HC, 8.MRSU8065283-40HC, 9.MRSU8065323-40HC, 10.MRSU8065642-40HC, 11.MRSU8067727-40HC, 12.MRSU8068615-40HC</t>
  </si>
  <si>
    <t>CTAI2506005</t>
  </si>
  <si>
    <t>CTAI2506HDR005</t>
  </si>
  <si>
    <t>PICK-UP TESLA CYBERTRUCK, 2024</t>
  </si>
  <si>
    <t>25132</t>
  </si>
  <si>
    <t>25133</t>
  </si>
  <si>
    <t>105773SH016</t>
  </si>
  <si>
    <t>NEW DONGFENG DUMP TRUCK, 2025</t>
  </si>
  <si>
    <t>105773SH018</t>
  </si>
  <si>
    <t>ZJC IMPORT EXPORT CO., LTD</t>
  </si>
  <si>
    <t>NEW DONGFENG CONCRETE MIXED TRUCK, 2025</t>
  </si>
  <si>
    <t>25134</t>
  </si>
  <si>
    <t>S01394156</t>
  </si>
  <si>
    <t>1.NYKU4785565 / IN1788021</t>
  </si>
  <si>
    <t>25135</t>
  </si>
  <si>
    <t>EU16SG251438</t>
  </si>
  <si>
    <t>WM/EXP 08-68</t>
  </si>
  <si>
    <t>25136</t>
  </si>
  <si>
    <t>ZJC</t>
  </si>
  <si>
    <t>KAMPOT LOGISTIC</t>
  </si>
  <si>
    <t>DF25CV-423KH002-1</t>
  </si>
  <si>
    <t>DF25CV-423KH002-2</t>
  </si>
  <si>
    <t>DF25CV-423KH001</t>
  </si>
  <si>
    <t>មាស ធំ</t>
  </si>
  <si>
    <t>ភេទប្រុស ដែលមានអត្តសញ្ញាណបណ្ណលេខៈ 020907113(01) ជាប្រធានក្រុមហ៊ុន KAMPOT LOGISTICS AND PORT COMPANY LIMITED អត្តសញ្ញាណកម្មសារពើពន្ធ (VAT)លេខៈ L001-902101494 ទូរសព្ទ័លេខៈ 096 505 9504</t>
  </si>
  <si>
    <t>KAMPOT LOGISTICS AND PORT COMPANY LIMITED</t>
  </si>
  <si>
    <t xml:space="preserve"> #១៤-១៥ ផ្លូវ ៣៣៥ ភូមិ ២ សង្កាត់ បឹងកក់ទី ២ ខណ្ឌ ទួលគោក រាជធានីភ្នំពេញ
VAT: L001-902101494</t>
  </si>
  <si>
    <t xml:space="preserve"> #១៤-១៥ ផ្លូវ ៣៣៥ ភូមិ ២ សង្កាត់ បឹងកក់ទី ២ ខណ្ឌ ទួលគោក រាជធានីភ្នំពេញ VAT: L001-902101494</t>
  </si>
  <si>
    <t>020907113(01)</t>
  </si>
  <si>
    <t>L001-902101494</t>
  </si>
  <si>
    <t>ប៊ូ ប៊ុនធឿន</t>
  </si>
  <si>
    <t>ភេទប្រុស ដែលមានអត្តសញ្ញាណបណ្ណលេខៈ 011204667 ជាប្រធានក្រុមហ៊ុន ZJC IMPORT EXPORT CO., LTD អត្តសញ្ញាណកម្មសារពើពន្ធ (VAT)លេខៈ K006-902405308 ទូរសព្ទ័លេខៈ 010 684 888</t>
  </si>
  <si>
    <t xml:space="preserve"> #ដីឡូត៍លេខ ៣N, ៤N ផ្លូវ៥៦ D៧ ភូមិម័ល សង្កាត់ដង្កោ ខណ្ឌដង្កោ រាជធានីភ្នំពេញ
VAT: K006-902405308</t>
  </si>
  <si>
    <t>#ដីឡូត៍លេខ ៣N, ៤N ផ្លូវ៥៦ D៧ ភូមិម័ល សង្កាត់ដង្កោ ខណ្ឌដង្កោ រាជធានីភ្នំពេញ VAT:  K006-902405308</t>
  </si>
  <si>
    <t xml:space="preserve"> ZJC IMPORT EXPORT CO., LTD</t>
  </si>
  <si>
    <t>K006-902405308</t>
  </si>
  <si>
    <t>010 684 888</t>
  </si>
  <si>
    <t>105773SH014/015</t>
  </si>
  <si>
    <t>INV TIV-2025-0106
REV DATE: 16/06/25_CLEAR_ SS LOGISTICS</t>
  </si>
  <si>
    <t>INV TIV-2025-0107
REV DATE: 16/06/25_CLEAR_ SS LOGISTICS</t>
  </si>
  <si>
    <t>2 PALLETS</t>
  </si>
  <si>
    <t>25137</t>
  </si>
  <si>
    <t>TWB250615HDR063</t>
  </si>
  <si>
    <t>LAN-FCL</t>
  </si>
  <si>
    <t>HDR2025.IPP63</t>
  </si>
  <si>
    <t>1.FSCU8959840-40HQ</t>
  </si>
  <si>
    <t>25138</t>
  </si>
  <si>
    <t>HMZH-XS-2505-03M</t>
  </si>
  <si>
    <t>NEW CAR ORA CAT, 2025</t>
  </si>
  <si>
    <t>1.MRKU3489671-40DRY</t>
  </si>
  <si>
    <t>CHENGDU HIMORE</t>
  </si>
  <si>
    <t>25139</t>
  </si>
  <si>
    <t>AMJ0243517</t>
  </si>
  <si>
    <t>WM/EXP 09-68</t>
  </si>
  <si>
    <t>20ft Expandable Container House</t>
  </si>
  <si>
    <t>1.BEAU4089267-40HC, 2.BMOU5417410-40HC, 3.WFHU5182231-40HC, 4.ECMU4878265-40HC</t>
  </si>
  <si>
    <t>8 PACKAGES</t>
  </si>
  <si>
    <t>XINYU INTEGRATED</t>
  </si>
  <si>
    <t>2SVPCDC</t>
  </si>
  <si>
    <t>SHANGHAI G&amp;T</t>
  </si>
  <si>
    <t>7 ,900.00</t>
  </si>
  <si>
    <t>1.DRYU9762479-40HC (ទំនិញរាយ)</t>
  </si>
  <si>
    <t>EIC/2025/013/0450172A/00131163</t>
  </si>
  <si>
    <t>25140</t>
  </si>
  <si>
    <t>25141</t>
  </si>
  <si>
    <t>25142</t>
  </si>
  <si>
    <t>SHAWD075613</t>
  </si>
  <si>
    <t>HAIN OPUS V.0013W</t>
  </si>
  <si>
    <t>SHAWD075549</t>
  </si>
  <si>
    <t>SHAWD075612</t>
  </si>
  <si>
    <t>70-3392</t>
  </si>
  <si>
    <t>3F-6388</t>
  </si>
  <si>
    <t>25143</t>
  </si>
  <si>
    <t>CS25050001-00</t>
  </si>
  <si>
    <t>NEWPORT CYPRESS 19 V.406W</t>
  </si>
  <si>
    <t>MACHINERY AND MATERIAL</t>
  </si>
  <si>
    <t>38 PACKAGES</t>
  </si>
  <si>
    <t>CLEARPACK</t>
  </si>
  <si>
    <t>WAN HAI 622 V.E020</t>
  </si>
  <si>
    <t>E250781997181760</t>
  </si>
  <si>
    <t>NEW CAR MG RX9, 2.0T AT LUX PLUS, 2025</t>
  </si>
  <si>
    <t>E250781997181767</t>
  </si>
  <si>
    <t>E250781997181762</t>
  </si>
  <si>
    <t>1.HMMU4012150-40HQ, 2.HMMU6725890-40HQ, 3.HMMU6773013-40HQ, 4.KOCU4970874-40HQ</t>
  </si>
  <si>
    <t>1.BSIU9266302-40HQ, 2.HMMU6789832-40HQ, 3.HMMU6959585-40HQ, 4.HMMU7131419-40HQ, 5.KOCU4064294-40HQ, 6.KOCU4867090-40HQ, 7.KOCU5008253-40HQ, 8.KOCU5198636-40HQ</t>
  </si>
  <si>
    <t>1.HMMU7096072-40HQ, 2.KOCU4421339-40HQ, 3.KOCU4860809-40HQ, 4.KOCU5153349-40HQ, 5.TXGU8082533-40HQ</t>
  </si>
  <si>
    <t>2F&amp;NCDC</t>
  </si>
  <si>
    <t>1.CAAU5163036-40GP, 2.WHSU5349270-40GP, 3.WHSU5446075-40GP, 4.WHSU5751865-40GP, 5.WHSU5802005-40GP, 6.WHSU6304162-40GP, 7.WHSU6308574-40GP, 8.WHSU6676350-40GP</t>
  </si>
  <si>
    <t>INV 20250894
REV DATE: 30/06/25_CLEAR_ LYUTNY</t>
  </si>
  <si>
    <t>INV 20250922
REV DATE: 30/06/25_CLEAR_ LYUTNY</t>
  </si>
  <si>
    <t>25144</t>
  </si>
  <si>
    <t>SHAWD075627</t>
  </si>
  <si>
    <t>NEW DONGFENG TRUCTOR HEAD, 2025 AND TRUCK TRAILER</t>
  </si>
  <si>
    <t>25145</t>
  </si>
  <si>
    <t>GLSN075265521</t>
  </si>
  <si>
    <t>PHUC KHANH 373S</t>
  </si>
  <si>
    <t>GLS07 V526N</t>
  </si>
  <si>
    <t>152 ROLLS</t>
  </si>
  <si>
    <t>1.GAOU7905774-40HC, 2.GAOU7903920-40HC, 3.GAOU7905558-40HC, 4.GAOU7905033-40HC</t>
  </si>
  <si>
    <t>CY-LM17</t>
  </si>
  <si>
    <t>20250619/VP-BJC-KH</t>
  </si>
  <si>
    <t>25146</t>
  </si>
  <si>
    <t>PANCON CHAMPION V.525N</t>
  </si>
  <si>
    <t>TAN CANG 36 V.104W</t>
  </si>
  <si>
    <t>SPIRAL CONVEYOR</t>
  </si>
  <si>
    <t>INV TI2025-0111
REV DATE: 30/06/25_TRUCK_ BIG BEAR</t>
  </si>
  <si>
    <t>INV VR2025-0071
REV DATE: 30/06/25_CLEAR_ VR WORLDWIDE
INV TI2025-0121
REV DATE: 30/06/25_TRUCK_ BIG BEAR</t>
  </si>
  <si>
    <t>VN-KH 25/01/035931</t>
  </si>
  <si>
    <t>1.MRSU6803541-40HC</t>
  </si>
  <si>
    <t>CNC PUMA</t>
  </si>
  <si>
    <t>PHUOC LONG 8 V.256W</t>
  </si>
  <si>
    <t>XIN WEN ZHOU / 170E</t>
  </si>
  <si>
    <t>NEWPORT CYPRESS 89 V.224W</t>
  </si>
  <si>
    <t>E250781997181789</t>
  </si>
  <si>
    <t>1.MRSU8031452-40HQ, 2.MRSU8031874-40HQ, 3.MRSU8046452-40HQ, 4.MRSU8047090-40HQ, 5.MRSU8047227-40HQ, 6.MRSU8053148-40HQ, 7.MRSU8053174-40HQ, 8.MRSU8053195-40HQ, 9.MRSU8054247-40HQ, 10.MRSU8054400-40HQ, 11.MRSU8136366-40HQ, 12.MRSU8136406-40HQ, 13.MRSU8136411-40HQ, 14.MRSU8139750-40HQ, 15.MRSU8141017-40HQ</t>
  </si>
  <si>
    <t>25147</t>
  </si>
  <si>
    <t>S01401042</t>
  </si>
  <si>
    <t>EIC/2025/013/0517052A/00143602</t>
  </si>
  <si>
    <t>1.TGBU4643084 / IN1889196</t>
  </si>
  <si>
    <t>28 PACKAGES</t>
  </si>
  <si>
    <t>25148</t>
  </si>
  <si>
    <t>25149</t>
  </si>
  <si>
    <t>SHAWD075733</t>
  </si>
  <si>
    <t>1.CAIU7471663-40HQ, 2.GCXU5026700-40HQ, 3.HMMU7108105-40HQ, 4.KOCU4170402-40HQ, 5.KOCU4589338-40HQ, 6.KOCU4660483-40HQ, 7.KOCU5113855-40HQ, 8.SEGU5698790-40HQ, 9.TGBU6471615-40HQ, 10.TIIU5021171-40HQ, 11.TLLU5283260-40HQ, 12.TXGU8531296-40HQ</t>
  </si>
  <si>
    <t>SHAWD075671</t>
  </si>
  <si>
    <t>NEW CAR MG7 1.5T AT 2WD DEL, 2025
NEW CAR MG7 2.0T AT 2WD LUX, 2025
NEW CAR MG RX5 1.5T TST 2WD LUX, 2025</t>
  </si>
  <si>
    <t xml:space="preserve">1.CAAU4681880-40HQ, 2.CAAU4682572-40HQ, 3.CAAU4683028-40HQ, 4.CAAU4683590-40HQ, 5.CAAU4705620-40HQ, 6.CAAU4705765-40HQ, 7.CAAU4707222-40HQ, 8.CAAU4707618-40HQ, 9.CAAU4715491-40HQ, </t>
  </si>
  <si>
    <t>25150</t>
  </si>
  <si>
    <t>SHAWD075734</t>
  </si>
  <si>
    <t>NEW CAR MGZS, 2025</t>
  </si>
  <si>
    <t>1.CAIU9824121-40HQ, 2.GAOU6380716-40HQ, 3.HMMU6605848-40HQ</t>
  </si>
  <si>
    <t>SHAWD075732</t>
  </si>
  <si>
    <t>1.CAAU4682567-40HQ, 2.CAAU4682844-40HQ, 3.CAAU4682968-40HQ, 4.CAAU4691255-40HQ, 5.CAAU4705596-40HQ, 6.CAAU4718145-40HQ</t>
  </si>
  <si>
    <t>25151</t>
  </si>
  <si>
    <t>25152</t>
  </si>
  <si>
    <t>COAU7260520860</t>
  </si>
  <si>
    <t>24L870328180492-4</t>
  </si>
  <si>
    <t>NEW CAR AITO M9 PLUG-IN, 2025</t>
  </si>
  <si>
    <t>WENZHOU YUTAI IMPORT</t>
  </si>
  <si>
    <r>
      <t xml:space="preserve">ភេទប្រុស ដែលមានលិខិតឆ្លងដែនលេខៈ E68588012 ជាប្រធានក្រុមហ៊ុន ONE PLUS AUTO TRADING (CAMBODIA) CO., LTD. អត្តសញ្ញាណកម្មសារពើពន្ធ (VAT)លេខៈ K001-902302529 ទូរសព្ទ័លេខៈ </t>
    </r>
    <r>
      <rPr>
        <sz val="9"/>
        <color rgb="FF00B050"/>
        <rFont val="Khmer OS Siemreap"/>
      </rPr>
      <t>098 891 618</t>
    </r>
  </si>
  <si>
    <t>1.OOCU6901537-40HQ, 2.TGBU8581988-40HQ, 3.CCLU7492096-40HQ, 4.CSNU7618520-40HQ, 5.UETU5389140-40HQ, 6.CSNU6394370-40HQ, 7.TIIU6207427-40HQ, 8.SEGU6692081-40HQ, 9.OOCU6895202-40HQ, 10.OOCU8910585-40HQ, 11.GCXU5454879-40HQ, 12.TEMU7104548-40HQ, 13.FCIU5761487-20GP</t>
  </si>
  <si>
    <t>25153</t>
  </si>
  <si>
    <t>GBE250741881</t>
  </si>
  <si>
    <t>25KH01GTB8EZS0139</t>
  </si>
  <si>
    <t>NEW CAR AITO M7 PLUG-IN, 2025</t>
  </si>
  <si>
    <t>1.TGBU9303683-40HC</t>
  </si>
  <si>
    <t xml:space="preserve">CUI BAO </t>
  </si>
  <si>
    <t>25154</t>
  </si>
  <si>
    <t>GSE250441819</t>
  </si>
  <si>
    <t>25KH01GTB8EZS0165-1</t>
  </si>
  <si>
    <t>NEW CAR LUXEED R7, 2025
NEW CAR DENZA D9, 2025
NEW CAR DENZA D9 PLUG-IN, 2025</t>
  </si>
  <si>
    <t>1.MRSU8775346-40DRY, 2.FFAU6697343-40DRY, 3.TGBU9303683-40DRY, 4.FFAU6696706-40DRY, 5.MRSU8788981-40DRY, 6.MRSU8799754-40DRY, 7.MRSU8799380-40DRY</t>
  </si>
  <si>
    <t>ZHANG CHENLEI</t>
  </si>
  <si>
    <r>
      <t xml:space="preserve">ភេទប្រុស ដែលមានលិខិតឆ្លងដែនលេខៈ EK9770281 ជាប្រធានក្រុមហ៊ុន GDB AUTOMOBILE IMPORT &amp; EXPORT CO.,LTD អត្តសញ្ញាណកម្មសារពើពន្ធ (VAT)លេខៈ K010-902500316 ទូរសព្ទ័លេខៈ </t>
    </r>
    <r>
      <rPr>
        <sz val="9"/>
        <color rgb="FF00B050"/>
        <rFont val="Khmer OS Siemreap"/>
      </rPr>
      <t>0889071666</t>
    </r>
  </si>
  <si>
    <t>GDB AUTOMOBILE IMPORT &amp; EXPORT CO.,LTD</t>
  </si>
  <si>
    <t>EK9770281</t>
  </si>
  <si>
    <t>K010-902500316</t>
  </si>
  <si>
    <t>088 907 1666</t>
  </si>
  <si>
    <t xml:space="preserve"> #ឃ្លាំងលេខ៣ ផ្លូវមហាវិថីសហព័ន្ធរុស្សី ភូមិប៉ប្រកខាងជើង សង្កាត់កាកាបទី១ ខណ្ឌពោធិ៍សែនជ័យ រាជធានីភ្នំពេញ
VAT: K010-902500316</t>
  </si>
  <si>
    <t xml:space="preserve"> #ឃ្លាំងលេខ៣ ផ្លូវមហាវិថីសហព័ន្ធរុស្សី ភូមិប៉ប្រកខាងជើង សង្កាត់កាកាបទី១ ខណ្ឌពោធិ៍សែនជ័យ រាជធានីភ្នំពេញ VAT: K010-902500316</t>
  </si>
  <si>
    <t>GDB</t>
  </si>
  <si>
    <t>25155</t>
  </si>
  <si>
    <t>25156</t>
  </si>
  <si>
    <t>LYNK AND CO</t>
  </si>
  <si>
    <t>NEW CAR LYNK&amp;CO 08 PLUG-IN, 06 PLUG-IN, 2025</t>
  </si>
  <si>
    <t>1.UETU6680083-40HC, 2.FFAU6697277-40HC, 3.MRSU8800120-40HC, 4.MRSU8775069-40HC</t>
  </si>
  <si>
    <t>LAKHX2500300-1</t>
  </si>
  <si>
    <t>NEW CAR DENZA D9 EV, 2025</t>
  </si>
  <si>
    <t>1.FFAU6698015-40HC, 2.MRSU8796098-40HC, 3.TCNU8182550-40HC, 4.MRSU8775325-40HC, 5.FFAU6697889-40HC</t>
  </si>
  <si>
    <t>TIANJIN</t>
  </si>
  <si>
    <t>TJLT202505006</t>
  </si>
  <si>
    <t>25157</t>
  </si>
  <si>
    <t>NBBH25060167</t>
  </si>
  <si>
    <t>I-50847-7</t>
  </si>
  <si>
    <t>1.NYKU4320790-40HQ, 2.ONEU1022150-40HQ, 3.ONEU0447000-40HQ, 4.TRHU5407810-40HQ, 5.TIIU5549385-40HQ, 6.SITU9143817-40HQ, 7.SITU9120473-40HQ, 8.SEGU7708156-40FR</t>
  </si>
  <si>
    <t>20 PKGS</t>
  </si>
  <si>
    <t>SHIBUYA</t>
  </si>
  <si>
    <t>TCP 1ML</t>
  </si>
  <si>
    <t>Processing plant:, CIP/COP eqipment for filling system</t>
  </si>
  <si>
    <t>20616013ETC</t>
  </si>
  <si>
    <t>QDHKG25028560</t>
  </si>
  <si>
    <t>IFTHWX03525062</t>
  </si>
  <si>
    <t>IFTHWX03525064</t>
  </si>
  <si>
    <t>4ML</t>
  </si>
  <si>
    <t>E250781997181829</t>
  </si>
  <si>
    <t>E250781997181827</t>
  </si>
  <si>
    <t>REN JIAN 10 / 0003E</t>
  </si>
  <si>
    <t>MEKONG 28 V.005W</t>
  </si>
  <si>
    <t>E250781997181851</t>
  </si>
  <si>
    <t>E250781997181850</t>
  </si>
  <si>
    <t>25160</t>
  </si>
  <si>
    <t>LABORATORY</t>
  </si>
  <si>
    <t>1.TGBU7035112 -40HC (ទំនិញរាយ)</t>
  </si>
  <si>
    <t>9 PACKAGES</t>
  </si>
  <si>
    <t>INFITEK</t>
  </si>
  <si>
    <t xml:space="preserve">BOD SAMPLE BOTTLES </t>
  </si>
  <si>
    <t>8 PIECE</t>
  </si>
  <si>
    <t>25158</t>
  </si>
  <si>
    <t>25159</t>
  </si>
  <si>
    <t>25161</t>
  </si>
  <si>
    <t>25162</t>
  </si>
  <si>
    <t>SITTAGSV496642</t>
  </si>
  <si>
    <t>TJ25-035A</t>
  </si>
  <si>
    <t>SITC XIANDE V.2514S</t>
  </si>
  <si>
    <t>POLYALUMINIUM CHLORIDE
(PAC), POLYACRYLAMIDE(C-PAM)</t>
  </si>
  <si>
    <t>1040 BAGS</t>
  </si>
  <si>
    <t>1.FCXU0009421-40GP</t>
  </si>
  <si>
    <t>TAX(LIC)</t>
  </si>
  <si>
    <t>25163</t>
  </si>
  <si>
    <t>SHAWD075728</t>
  </si>
  <si>
    <t>WAN HAI 173 V. S127</t>
  </si>
  <si>
    <t>NEW CAR MG RX5,2025</t>
  </si>
  <si>
    <t>1.MRSU8108256-40HC, 2.MRSU8109308-40HC, 3.MRSU8109674-40HC, 4.MRSU8159680-40HC, 5.MRSU8160383-40HC, 6.MRSU8160568-40HC</t>
  </si>
  <si>
    <t>SHAWD075788</t>
  </si>
  <si>
    <t>1.MRSU8108277-40HC, 2.MRSU8108298-40HC, 3.MRSU8108317-40HC, 4.MRSU8108410-40HC, 5.MRSU8109289-40HC, 6.MRSU8109329-40HC, 7.MRSU8109340-40HC, 8.MRSU8109360-40HC, 9.MRSU8109381-40HC, 10.MRSU8136514-40HC, 11.MRSU8159850-40HC, 12.MRSU8160090-40HC, 13.MRSU8160320-40HC, 14.MRSU8160341-40HC, 15.MRSU8160608-40HC</t>
  </si>
  <si>
    <t>25164</t>
  </si>
  <si>
    <t>25165</t>
  </si>
  <si>
    <t>SHAWD075557</t>
  </si>
  <si>
    <t>MERATUS JAYAGIRI V.527S</t>
  </si>
  <si>
    <t>NEW ELECTRIC CAR LEAPMOTOR T03 310COM &amp; TC10 530 SMART,2025</t>
  </si>
  <si>
    <t>1.MRKU2729799-40HC, 2.MRSU3531305-40HC, 3.MRSU5666059-40HC, 4.MRSU7706269-40HC, 5.TCKU7447840-40HC, 6.UETU6418480-40HC</t>
  </si>
  <si>
    <t>SHANGHAI SILVERS</t>
  </si>
  <si>
    <t>TH2025060301Z</t>
  </si>
  <si>
    <t>ELECTRIC LIFTING TABLE</t>
  </si>
  <si>
    <t>1.TLLU4597673-40HC (ទំនិញរាយ)</t>
  </si>
  <si>
    <t>4 PACKAGES</t>
  </si>
  <si>
    <t>JINAN TUHE</t>
  </si>
  <si>
    <t>LY20250624</t>
  </si>
  <si>
    <t>E25MA1K3W6H80001</t>
  </si>
  <si>
    <t>25166</t>
  </si>
  <si>
    <t>SITC RUNDE V.2516S</t>
  </si>
  <si>
    <t>NBBH25060203</t>
  </si>
  <si>
    <t>I-50847-4</t>
  </si>
  <si>
    <t>BLENDING PLANT, CIP PLANT</t>
  </si>
  <si>
    <t>SITGLCSV468589</t>
  </si>
  <si>
    <t>PLASTIC WRAPPER., STICKER, KRAFT PAPER, PAPER CORE, OTHER MATERIAL</t>
  </si>
  <si>
    <t>9 PALLETS</t>
  </si>
  <si>
    <t>1.SITU2842685-20GP</t>
  </si>
  <si>
    <t>25167</t>
  </si>
  <si>
    <t>25168</t>
  </si>
  <si>
    <t>105852SH119</t>
  </si>
  <si>
    <t>105852SH120</t>
  </si>
  <si>
    <t>NEW DONGFENG CONCRETE MIXER TRUCK, 2025</t>
  </si>
  <si>
    <t>1.CAAU9598356-40HQ, 2.BMOU6469419-40HQ, 3.SITU9127230-40HQ, 4.TIIU5686135-40HQ, 5.FFAU5107988-40HQ, 6.TRHU5888927-40HQ, 7.BMOU6492532-40HQ, 8.TIIU5250917-40HQ, 9.BMOU6498783-40HQ, 10.TIIU5535524-40HQ, 11.TRHU5779021-40HQ, 12.SITU9073622-40HQ, 13.SITU9192540-40HQ, 14.CAIU5243129-20OT, 15.CAXU5725328-40FR, 16.SITU0405243-40FR, 17.SITU0403560-40FR, 18.CAXU5543452-40FR, 19.TLLU1500882-40FR, 20.SITU0405114-40FR, 21.CAXU5543236-40FR, 22.SITU0411740-40FR, 23.FFAU7171311-40HQ</t>
  </si>
  <si>
    <t>95 PKGS</t>
  </si>
  <si>
    <t>1OISCDC</t>
  </si>
  <si>
    <t>DF25CV-423KH002-3</t>
  </si>
  <si>
    <t>NEW DONGFENG DUMP TRUCK DONGFENG DFH3250A, 2025</t>
  </si>
  <si>
    <t>DF25CV-423KH003</t>
  </si>
  <si>
    <t>25170</t>
  </si>
  <si>
    <t>LONG SON 01 V.530N</t>
  </si>
  <si>
    <t>NBJPSIN250600146</t>
  </si>
  <si>
    <t>E25MA3TMUKP20231</t>
  </si>
  <si>
    <t>NOSLB25KS70039</t>
  </si>
  <si>
    <t>CT 2025/104</t>
  </si>
  <si>
    <t>NEW MINGZHOU 16 V.2506S</t>
  </si>
  <si>
    <t>COMPRESSED AIR PLANT</t>
  </si>
  <si>
    <t>1.TLLU8521022-40HC, 2.NBYU8046273-40HC</t>
  </si>
  <si>
    <t>30 PACKAGES</t>
  </si>
  <si>
    <t>ATLAS COPCO</t>
  </si>
  <si>
    <t>25171</t>
  </si>
  <si>
    <t>1-50847-5</t>
  </si>
  <si>
    <t>JP</t>
  </si>
  <si>
    <t>Aspectic filling system, Packing Line</t>
  </si>
  <si>
    <t>1.AMFU4230258-40FR, 2.BEAU4449276-40HC, 3.CAXU5734314-40FR, 4.CAXU5735291-40FR, 5.CAXU5737252-40FR, 6.DRYU6083957-40HC, 7.FBIU4020240-40FR, 8.GCXU2243390-20DC, 9.KKFU8128547-40HC, 10.TCLU9614461-40HC, 11.TCNU7067974-40HC, 12.TGBU4499594-40HC</t>
  </si>
  <si>
    <t>31 PACKAGES</t>
  </si>
  <si>
    <t>SBY</t>
  </si>
  <si>
    <t>25172</t>
  </si>
  <si>
    <t>THY002493</t>
  </si>
  <si>
    <t>CT 2025/101</t>
  </si>
  <si>
    <t>Compressed air plant</t>
  </si>
  <si>
    <t>1.CMAU7395000-40HC, 2.BMOU4351725-40HC</t>
  </si>
  <si>
    <t>25173</t>
  </si>
  <si>
    <t>25174</t>
  </si>
  <si>
    <t>SHAWD075817</t>
  </si>
  <si>
    <t>NEW ELECTRIC CAR LEAPMOTOR T03 310COM &amp; C10 530 SMART,2025</t>
  </si>
  <si>
    <t>SHAWD075720</t>
  </si>
  <si>
    <t>25175</t>
  </si>
  <si>
    <t>25176</t>
  </si>
  <si>
    <t>SHAWD075752</t>
  </si>
  <si>
    <t>25177</t>
  </si>
  <si>
    <t>SHAWD075831</t>
  </si>
  <si>
    <t>SHAWD075832</t>
  </si>
  <si>
    <t>25178</t>
  </si>
  <si>
    <t>TJ25-035B</t>
  </si>
  <si>
    <t>SODIUM CHLORITE (NaClO2)</t>
  </si>
  <si>
    <t>1.EGSU3791848-20GP</t>
  </si>
  <si>
    <t>200 DRUMS</t>
  </si>
  <si>
    <t>25179</t>
  </si>
  <si>
    <t>25180</t>
  </si>
  <si>
    <t>25181</t>
  </si>
  <si>
    <t>ALZX-25-0601</t>
  </si>
  <si>
    <t>NEW LHD CAR GAC M8, 2024</t>
  </si>
  <si>
    <t>1.MRKU5767154-40DRY, 2.CAAU6520380-40DRY, 3.TCKU6805111-40DRY, 4.MRSU5638442-40DRY</t>
  </si>
  <si>
    <t>SHENZHEN JINCHENGLI</t>
  </si>
  <si>
    <t>ភេទប្រុស ដែលមានលិខិតឆ្លងដែនលេខៈ EGI569605 ជាប្រធានក្រុមហ៊ុន SHENG DE BAO INVESTMENT CO., LTD អត្តសញ្ញាណកម្មសារពើពន្ធ (VAT)លេខៈ K010-902303036 ទូរសព្ទ័លេខៈ 096 280 3521</t>
  </si>
  <si>
    <t>ZHAO PENG</t>
  </si>
  <si>
    <t>EGI569605</t>
  </si>
  <si>
    <t>K010-902303036</t>
  </si>
  <si>
    <t>096 280 3521</t>
  </si>
  <si>
    <t>#ដីឡូត៍លេខ៩៣៩២ ឃ្លាំងលេខ១ ជាន់ទី១ បន្ទប់លេខ២០១ ផ្លូវសហព័ន្ធរុស្សី ភូមិប៉ប្រកខាងជើងសង្កាត់កាកាបទី១ ខណ្ឌពោធិ៍សែនជ័យ រាជធានីភ្នំពេញ​​​​
VAT: K010-902303036</t>
  </si>
  <si>
    <t>#ដីឡូត៍លេខ៩៣៩២ ឃ្លាំងលេខ១ ជាន់ទី១ បន្ទប់លេខ២០១ ផ្លូវសហព័ន្ធរុស្សី ភូមិប៉ប្រកខាងជើងសង្កាត់កាកាបទី១ ខណ្ឌពោធិ៍សែនជ័យ រាជធានីភ្នំពេញ​​​​ VAT: K010-902303036</t>
  </si>
  <si>
    <t>LAKHX25005</t>
  </si>
  <si>
    <t>NEW LHD CAR LYNK&amp;CO 06 PLUG-IN, 2025
NEW LHD CAR LYNK&amp;CO 08 PLUG-IN, 2025
NEW LHD CAR LYNK&amp;CO 900 PLUG-IN,2025
NEW LHD CAR LYNK&amp;CO 06, 2025</t>
  </si>
  <si>
    <t>1.MSKU1678045-40DRY, 2.SUDU5998776-40DRY, 3.MRKU3236760-40DRY, 4.MRSU5903660</t>
  </si>
  <si>
    <t>CITC-SDB-20250619</t>
  </si>
  <si>
    <t>NEW LHD CAR LI L7 PLUG-IN, 2025
NEW LHD CAR LI L9 PLUG-IN, 2025</t>
  </si>
  <si>
    <t>1.FFAU6699053-40DRY, 2.CAAU9844280-40DRY, 3.MSKU1746880-40DRY</t>
  </si>
  <si>
    <t>LEADING IDEAL HK</t>
  </si>
  <si>
    <t>25182</t>
  </si>
  <si>
    <t>SHAWD075859</t>
  </si>
  <si>
    <t>1.CAIU7995110-40HC, 2.HMMU4002362-40HC, 3.HMMU6219090-40HC, 4.HMMU6266404-40HC, 5.HMMU6618552-40HC, 6.HMMU6761922-40HC, 7.HMMU7025762-40HC, 8.HMMU7160660-40HC, 9.KOCU4257190-40HC, 10.KOCU4840103-40HC, 11.KOCU5083663-40HC, 12.KOCU5167872-40HC, 13.TXGU7911753-40HC</t>
  </si>
  <si>
    <t>25183</t>
  </si>
  <si>
    <t>SHAWD075804</t>
  </si>
  <si>
    <t>1.HMMU6197330-40HC</t>
  </si>
  <si>
    <t>E240781997181884</t>
  </si>
  <si>
    <t>E240781997181885</t>
  </si>
  <si>
    <t>25184</t>
  </si>
  <si>
    <t>S01407847</t>
  </si>
  <si>
    <t>1.NYKU4789072 / IN1890961</t>
  </si>
  <si>
    <t>EIC/2025/013/0688728A/00189689</t>
  </si>
  <si>
    <t>25185</t>
  </si>
  <si>
    <t>S01408197</t>
  </si>
  <si>
    <t>EIC/2025/013/0688779A/00189685</t>
  </si>
  <si>
    <t>1.FFAU6325829 / IN1890981</t>
  </si>
  <si>
    <t>25186</t>
  </si>
  <si>
    <t>S01407844</t>
  </si>
  <si>
    <t>EIC/2025/013/0688758A/00189660</t>
  </si>
  <si>
    <t>1.ONEU1903785 / IN1890976</t>
  </si>
  <si>
    <t>004/2025</t>
  </si>
  <si>
    <t>EGLV140501637270</t>
  </si>
  <si>
    <t>25187</t>
  </si>
  <si>
    <t>105878SH008</t>
  </si>
  <si>
    <t>DF25CV-423KH004-1</t>
  </si>
  <si>
    <t>CHQ00TRP25012311</t>
  </si>
  <si>
    <t>CHQ00TRP25023093</t>
  </si>
  <si>
    <t>INV TL-2508539
REV DATE: 30/07/25_CLEAR_TENG LAY</t>
  </si>
  <si>
    <t>E250781997181909</t>
  </si>
  <si>
    <t>E250781997181908</t>
  </si>
  <si>
    <t>E250781997181907</t>
  </si>
  <si>
    <t>1.MRSU8112739-40HQ, 2.MRSU8112770-40HQ, 3.MRSU8119625-40HQ</t>
  </si>
  <si>
    <t>1.CAAU8766270-40HQ, 2.DRYU9914972-40HQ, 3.IAAU1818151-40HQ, 4.IAAU1822716-40HQ, 5.IAAU1839679-40HQ, 6.IAAU1906550-40HQ</t>
  </si>
  <si>
    <t>-CLEAR_INV VR2025-0095
REV DATE: 01/08/25_VR WORLDWIDE LOGISTICS</t>
  </si>
  <si>
    <t>INV TI2025-0136
REV DATE: 30/07/25_TRUCK_ BIG BEAR
'-CLEAR_INV VR2025-0097
REV DATE: 01/08/25_VR WORLDWIDE LOGISTICS</t>
  </si>
  <si>
    <t>SMIL202507082324-P-C</t>
  </si>
  <si>
    <t>1.MRSU8101307-40HQ, 2.MRSU8101694-40HQ, 3.MRSU8101734-40HQ, 4.MRSU8101776-40HQ, 5.MRSU8101816-40HQ, 6.MRSU8111199-40HQ, 7.MRSU8112765-40HQ, 8.MRSU8119498-40HQ, 9.MRSU8119517-40HQ, 10.MRSU8119543-40HQ, 11.MRSU8119585-40HQ, 12.MRSU8119604-40HQ</t>
  </si>
  <si>
    <t>1.MRSU8112699-40HQ, 2.MRSU8119646-40HQ, 3.MRSU8119693-40HQ</t>
  </si>
  <si>
    <t>25188</t>
  </si>
  <si>
    <t>WH250831013</t>
  </si>
  <si>
    <t>25189</t>
  </si>
  <si>
    <t>MK0H2507235</t>
  </si>
  <si>
    <t>25190</t>
  </si>
  <si>
    <t>25191</t>
  </si>
  <si>
    <t>25169</t>
  </si>
  <si>
    <t>IV-25080001</t>
  </si>
  <si>
    <t>LABORATORY EQUIPMENT</t>
  </si>
  <si>
    <t>PPT</t>
  </si>
  <si>
    <t>HS24-SI-E-010</t>
  </si>
  <si>
    <t>BUTTERFLY VALVE</t>
  </si>
  <si>
    <t>សាខាគយ និងរដ្ឋាករ អាកាសយាន្តដ្ឋានអន្តរជាតិ</t>
  </si>
  <si>
    <t>បញ្ចេញទំនិញនៅមាត់ច្រកអាកាសយាន្តដ្ឋានអន្តរជាតិភ្នំពេញ</t>
  </si>
  <si>
    <t xml:space="preserve"> ទំនិញរាយ</t>
  </si>
  <si>
    <t>GLS CUU LONG V.532N</t>
  </si>
  <si>
    <t>25192</t>
  </si>
  <si>
    <t>GTD0958448</t>
  </si>
  <si>
    <t>RAW WATER PLANT, FILTERED WATER PLANT, SOFT WATER PLANT, REVERSE OSMOSIS (RO) UNIT, QUALITY IMROVEMENT PLANT, PIPING WORK, ELECTRICAL WORK, DOSING METERING PUMP</t>
  </si>
  <si>
    <t>1.CAIU9568518-40HC, 2.CMAU6482964-40HC, 3.TLLU5225670-40HC, 4.CAIU9722475-40HC, 5.TEMU6912500-40HC, 6.CMAU3741146-40HC, AMFU4240066-40FR, 7.FBIU4004620-40FR, TLLU1486980-4FR</t>
  </si>
  <si>
    <t>73 PACKAGES</t>
  </si>
  <si>
    <t>LIQUID</t>
  </si>
  <si>
    <t>25193</t>
  </si>
  <si>
    <t>PRTINV06232548</t>
  </si>
  <si>
    <t>GTD0959473</t>
  </si>
  <si>
    <t>POUCH FILLING LINE</t>
  </si>
  <si>
    <t>1.TGBU6834583-40HC</t>
  </si>
  <si>
    <t>7 PACKAGES</t>
  </si>
  <si>
    <t>PRT</t>
  </si>
  <si>
    <t>NEWPORT CYPRESS 89 V.231W</t>
  </si>
  <si>
    <t>JEJU ISLAND V.022S</t>
  </si>
  <si>
    <t>VIMC DIAMOND / OUVE3E1NC</t>
  </si>
  <si>
    <t>LY20250720</t>
  </si>
  <si>
    <t>E25MA1K3W6H80002</t>
  </si>
  <si>
    <t>1.CAAU8298713-40HQ, 2.CAAU9048010-40HQ, 3.MSKU9165460-40HQ, 4.SEKU6981068-40HQ, 5.TRHU6526537-40HQ</t>
  </si>
  <si>
    <t>Sanqi Automobile</t>
  </si>
  <si>
    <t>02251072600000246</t>
  </si>
  <si>
    <t>X-PRESS QUARIUS / 036E</t>
  </si>
  <si>
    <t>MEKONG 22 V.030W</t>
  </si>
  <si>
    <t>E250781997181913</t>
  </si>
  <si>
    <t>E250781997181912</t>
  </si>
  <si>
    <t>25194</t>
  </si>
  <si>
    <t>BKKOS25363</t>
  </si>
  <si>
    <t>WB2507V001</t>
  </si>
  <si>
    <t>GENERATOR 500KVA</t>
  </si>
  <si>
    <t>1.NYYU2021329-40HC</t>
  </si>
  <si>
    <t>WIN BRIDGE</t>
  </si>
  <si>
    <t>SITGTXSV550948</t>
  </si>
  <si>
    <t>25195</t>
  </si>
  <si>
    <t>GLS 07 V.531N</t>
  </si>
  <si>
    <t>AN TAY 02 V.006W</t>
  </si>
  <si>
    <t>WM/EXP 04-68</t>
  </si>
  <si>
    <t>UTILITY SYSTEM</t>
  </si>
  <si>
    <t>1.BEAU2912838-20GP</t>
  </si>
  <si>
    <t>LIANZHU STEEL</t>
  </si>
  <si>
    <t>MAERSK NAMSOS V.530S</t>
  </si>
  <si>
    <t>INTERASIA PURSUIT V.S079</t>
  </si>
  <si>
    <t>INV TL-2509047
REV DATE: 11/08/25_CLEAR_TENG LAY</t>
  </si>
  <si>
    <t>INV TL-2509046
REV DATE: 11/08/25_CLEAR_TENG LAY</t>
  </si>
  <si>
    <t>25196</t>
  </si>
  <si>
    <t>LT2025072201</t>
  </si>
  <si>
    <t>NEW CAR AITO M8 PLUG-IN, 2025
NEW CAR AITO M7 PLUG-IN, 2025
NEW CAR AITO M9 PLUG-IN, 2025</t>
  </si>
  <si>
    <t>1.CAAU5363728-40HC, 2.EITU1635674-40HC</t>
  </si>
  <si>
    <t>TIANJIN LINGTONG</t>
  </si>
  <si>
    <t>GLSN075315685</t>
  </si>
  <si>
    <t>1.GAOU7904973-40HC, 2.GAOU7904171-40HC, 3.GAOU7905964-40HC, 4.GAOU7903386-40HC</t>
  </si>
  <si>
    <t>176 ROLLS</t>
  </si>
  <si>
    <t># ឃ្លាំងលេខ២ ផ្លូវ សហព័ន្ធរុស្ស៊ី ភូមិ ប៉ប្រកខាងជើង សង្កាត់ កាកាបទី១ ខណ្ឌ ពោធិ៍សែនជ័យ រាជធានីភ្នំពេញ
VAT: L001-902302529</t>
  </si>
  <si>
    <t># ឃ្លាំងលេខ២ ផ្លូវ សហព័ន្ធរុស្ស៊ី ភូមិ ប៉ប្រកខាងជើង សង្កាត់ កាកាបទី១ ខណ្ឌ ពោធិ៍សែនជ័យ រាជធានីភ្នំពេញ  VAT: L001-902302529</t>
  </si>
  <si>
    <t>20250728/VP-BJC-KH</t>
  </si>
  <si>
    <t>LONG SON 02 V.534N</t>
  </si>
  <si>
    <t>EGLV147501114754</t>
  </si>
  <si>
    <t>THY002696</t>
  </si>
  <si>
    <t>XI25/024</t>
  </si>
  <si>
    <t>1.BEAU5621878-40HC, 2.BMOU4705773-40HC, 3.BMOU5776848-40HC, 4.CAIU8717113-40HC, 5.CMAU6565230-40HC, 6.CMAU8947973-40HC, 7.PCIU8457694-40HC, 8.TCLU7091058-40OT, 9.TCLU7166265-40OT, 10.TCLU9442470-40HC, 11.TEXU8962611-40FR, 12.TRIU0506814-40OT, 13.TRLU6411602-40OT</t>
  </si>
  <si>
    <t>81 PACKAGES</t>
  </si>
  <si>
    <t>GTD0959715</t>
  </si>
  <si>
    <t>25197</t>
  </si>
  <si>
    <t>25198</t>
  </si>
  <si>
    <t>DEKOB0000045526</t>
  </si>
  <si>
    <t>I-50847-6</t>
  </si>
  <si>
    <t>PACKING LINE</t>
  </si>
  <si>
    <t>3 CRATES</t>
  </si>
  <si>
    <t>GATEWAY</t>
  </si>
  <si>
    <t>25199</t>
  </si>
  <si>
    <t>LME-2025005</t>
  </si>
  <si>
    <t>LINEMAKER (LME)</t>
  </si>
  <si>
    <t>25200</t>
  </si>
  <si>
    <t>S01415222</t>
  </si>
  <si>
    <t>55026685, 55026746</t>
  </si>
  <si>
    <t>10/07/2025, 14/07/2025</t>
  </si>
  <si>
    <t>EIC/2025/013/0790548A/00213739,
EIC/2025/013/0790587A/00211671</t>
  </si>
  <si>
    <t>28/07/2025, 25/07/2025</t>
  </si>
  <si>
    <t>37255, 5165</t>
  </si>
  <si>
    <t>1.KKFU8034601 / IN1841264</t>
  </si>
  <si>
    <t>PHUC THAI 222S</t>
  </si>
  <si>
    <t>25201</t>
  </si>
  <si>
    <t>COAU7261118210</t>
  </si>
  <si>
    <t>25-Y-EV67-003-2</t>
  </si>
  <si>
    <t xml:space="preserve">NEW CAR DONGFENG FENGON LANDIAN E5 PLUG-IN, 2025 </t>
  </si>
  <si>
    <t>1.CSLU6314784-40HQ, 2.OOCU8826140-40HQ, 3.CSNU7195840-40HQ, 4.OOCU6823563-40HQ, 5.SEGU4077524-40HQ, 6.TEMU7602411-40HQ, 7.CSNU5659562-40HQ</t>
  </si>
  <si>
    <t>CHONGQING SOKON</t>
  </si>
  <si>
    <t>0967100000</t>
  </si>
  <si>
    <t>ភេទប្រុស ដែលមានលិខិតឆ្លងដែនលេខៈ EJ6181097 ជាប្រធានក្រុមហ៊ុន XST AUTO (CAMBODIA) INTERNATIONAL TRADE CO.,LTD អត្តសញ្ញាណកម្មសារពើពន្ធ (VAT)លេខៈ L001-902101200 ទូរសព្ទ័លេខៈ 0967100000</t>
  </si>
  <si>
    <t>#វិញ្ញាបនបត្រសម្គាល់ម្ចាស់អចលនវត្ថុលេខ ១២០៨០១០៤-០៥៥៨ ផ្លូវ ភូមិបាយ៉ាប សង្កាត់ភ្នំពេញថ្មី ខណ្ឌសែនសុខ រាជធានីភ្នំពេញ។
 VAT: L001-902101200</t>
  </si>
  <si>
    <t>#វិញ្ញាបនបត្រសម្គាល់ម្ចាស់អចលនវត្ថុលេខ ១២០៨០១០៤-០៥៥៨ ផ្លូវ ភូមិបាយ៉ាប សង្កាត់ភ្នំពេញថ្មី ខណ្ឌសែនសុខ រាជធានីភ្នំពេញ។ VAT: L001-902101200</t>
  </si>
  <si>
    <t>25202</t>
  </si>
  <si>
    <t>I-50847-3</t>
  </si>
  <si>
    <t>FSL KELANG V.002N</t>
  </si>
  <si>
    <t>GIC-2025-07-001.1</t>
  </si>
  <si>
    <t>Diesel Generator</t>
  </si>
  <si>
    <t>1.TRHU1103358-20ST</t>
  </si>
  <si>
    <t>NAWATA BHUM V.305N</t>
  </si>
  <si>
    <t>IT</t>
  </si>
  <si>
    <t>1.HLXU8457675-40HC, 2.TXGU7010020-40HC, 3.SEKU6373176-40HC, 4. BEAU4721722-40HC, 5.CAIU9365418-40HC, 6.HLXU8583499-40HC, 7.HLXU8301342-40HC, 8.HAMU2893587-40HC, 9.UACU5782260-40HC, 10.BMOU6679626-40HC</t>
  </si>
  <si>
    <t>95621591-C 004</t>
  </si>
  <si>
    <t>CHQ00TRP25023342</t>
  </si>
  <si>
    <t>25203</t>
  </si>
  <si>
    <t>NET25007WY0729MHC</t>
  </si>
  <si>
    <t>NEW CAR DENZA D9 EV,2025
NEW CAR DENZA D9 EV, 2025
NEW CAR DENZA D9 PLUG-IN, 2025
NEW CAR BYD XIA PLUG-IN, 2025</t>
  </si>
  <si>
    <t>1.CAAU5385898-40DRY, 2.CAAU7718323-40DRY, 3.FFAU7612696-40DRY, 4.BEAU5099716-40DRY, 5.MRKU2463820-40DRY, 6.MRSU4241614</t>
  </si>
  <si>
    <t>25204</t>
  </si>
  <si>
    <t>SITSKSVD660803</t>
  </si>
  <si>
    <t>CITC-SDB-20250630</t>
  </si>
  <si>
    <t>NEW CAR LI L9 PLUG-IN, 2025
NEW CAR LI L7 PLUG-IN, 2025
NEW CAR LI MEGA EV, 2025</t>
  </si>
  <si>
    <t>1.CAAU6313090-40HC, 2.FFAU1315659-40HC</t>
  </si>
  <si>
    <t>CHANG'AN HAO</t>
  </si>
  <si>
    <t>25205</t>
  </si>
  <si>
    <t>105956SH022/023</t>
  </si>
  <si>
    <t>DF25CV-423KH004-2</t>
  </si>
  <si>
    <t>NEW DONG FENG DUMP TRUCK, 2025</t>
  </si>
  <si>
    <t>25206</t>
  </si>
  <si>
    <t>105956SH019/020B</t>
  </si>
  <si>
    <t>DF25CV-423KH006-1</t>
  </si>
  <si>
    <t>NEW DONG FENG TRACTOR HEAD, 2025</t>
  </si>
  <si>
    <t>TH25080681</t>
  </si>
  <si>
    <t>25207</t>
  </si>
  <si>
    <t>INV TL-2509045
REV DATE: 21/08/25_CLEAR_TENG LAY</t>
  </si>
  <si>
    <t>INV TL-2509577
REV DATE: 21/08/25_CLEAR_TENG LAY</t>
  </si>
  <si>
    <t>INV TL-2509635
REV DATE: 21/08/25_CLEAR_TENG LAY</t>
  </si>
  <si>
    <t>INV TL-2509576
REV DATE: 21/08/25_CLEAR_TENG LAY</t>
  </si>
  <si>
    <t>25208</t>
  </si>
  <si>
    <t>25209</t>
  </si>
  <si>
    <t>25210</t>
  </si>
  <si>
    <t>SHAWD075851</t>
  </si>
  <si>
    <t>WAN HAI 296 V. S046</t>
  </si>
  <si>
    <t>1.IAAU1018539-40HC, 2.IAAU1043260-40HC, 3.IAAU1703677-40HC,-40HC 4.IAAU1712299-40HC, 5.IAAU1728130-40HC, 6.IAAU1898331-40HC, 7.IAAU1899512-40HC, 8.IAAU1921869-40HC, 9.IAAU1931569-40HC, 10.IAAU1970415-40HC, 11.IAAU1980584-40HC, 12.IAAU1984445-40HC, 13.SEGU6624744-40HC, 14.WBPU7006659-40HC, 15.WHSU5618322-40HC</t>
  </si>
  <si>
    <t>SHAWD075852</t>
  </si>
  <si>
    <t>NEW CAR MG G50, 2025</t>
  </si>
  <si>
    <t>1.IAAU1925484-40HC, 2.IAAU1938809-40HC, 3.MRSU8101694-40HC, 4.TCLU6734606-40HC</t>
  </si>
  <si>
    <t>SHAWD076048</t>
  </si>
  <si>
    <t>1.TCKU6101637-40HC, 2.WBPU7051283-40HC</t>
  </si>
  <si>
    <t>NLB202500723</t>
  </si>
  <si>
    <t>1.TCNU1844362-40HQ</t>
  </si>
  <si>
    <t>3 PKGS</t>
  </si>
  <si>
    <t>1-50847-10</t>
  </si>
  <si>
    <t>I-50847-10</t>
  </si>
  <si>
    <t>218000 EUR</t>
  </si>
  <si>
    <t>HLCUHAM250649115</t>
  </si>
  <si>
    <t>25211</t>
  </si>
  <si>
    <t>I-50847-2</t>
  </si>
  <si>
    <t>BLOW MODING MACHINE</t>
  </si>
  <si>
    <t>824000 EUR</t>
  </si>
  <si>
    <t>1.HLBU8113121-20GP</t>
  </si>
  <si>
    <t>MUNICH MAERSK V.525E</t>
  </si>
  <si>
    <t>MT: CY LM17</t>
  </si>
  <si>
    <t>PNH19</t>
  </si>
  <si>
    <t>ការិយាល័យគយនិងរដ្ឋាករផែស្ងួត តិច ស្រ៊ុន</t>
  </si>
  <si>
    <t>បញ្ចេញទំនិញនៅមាត់ច្រកផែស្ងួតតិចស្រ៊ុន</t>
  </si>
  <si>
    <t>TEC SRUN DRYPORT</t>
  </si>
  <si>
    <t>1.ONEU0756329-40HC (ទំនិញរាយ)</t>
  </si>
  <si>
    <t>INV 21067
REV DATE: 27/8/2025
_TRUCKING Lim Phal Crane</t>
  </si>
  <si>
    <t xml:space="preserve">INV TL-2509575
REV DATE: 21/08/25_CLEAR_TENG LAY
INV 21066
REV DATE: 27/8/2025
_TRUCKING Lim Phal Crane
</t>
  </si>
  <si>
    <t>25212</t>
  </si>
  <si>
    <t>PKGPNH709138</t>
  </si>
  <si>
    <t>I-50847-9</t>
  </si>
  <si>
    <t>E250781997182006</t>
  </si>
  <si>
    <t>E250781997182007</t>
  </si>
  <si>
    <t>E250781997182008</t>
  </si>
  <si>
    <t>MEKONG 28 V.013W</t>
  </si>
  <si>
    <t>25213</t>
  </si>
  <si>
    <t>SHAWD075977</t>
  </si>
  <si>
    <t>20624407ETC</t>
  </si>
  <si>
    <t>E250781997182014</t>
  </si>
  <si>
    <t>1.UETU8178937-40HQ, 2.UETU8179131-40HQ, 3.UETU8186790-40HQ, 4.UETU8189058-40HQ</t>
  </si>
  <si>
    <t>25214</t>
  </si>
  <si>
    <t>SHAWD076056</t>
  </si>
  <si>
    <t>E250781997182011</t>
  </si>
  <si>
    <t>NEW CAR MG HS, 1.5T DCT DEL, 2025</t>
  </si>
  <si>
    <t>1.UETU8189741-40HQ</t>
  </si>
  <si>
    <t>INV TL-2509871
REV DATE: 21/08/25_CLEAR_TENG LAY</t>
  </si>
  <si>
    <t>BRIDGE V.0326N</t>
  </si>
  <si>
    <t>TRUCK:</t>
  </si>
  <si>
    <t>SESIH2508036-01</t>
  </si>
  <si>
    <t>25215</t>
  </si>
  <si>
    <t>INTERCONNECTING CAN CONVEYOR, UPCHARGES FOR FUJI ACE ROBOT</t>
  </si>
  <si>
    <t>1.PCIU0090318-20GP</t>
  </si>
  <si>
    <t>2 SET</t>
  </si>
  <si>
    <t>1025080042-43</t>
  </si>
  <si>
    <t>1025080038-39</t>
  </si>
  <si>
    <t>BRIDGE V.0327N</t>
  </si>
  <si>
    <t>SG</t>
  </si>
  <si>
    <t>25216</t>
  </si>
  <si>
    <t>PKG/KOS/00815</t>
  </si>
  <si>
    <t>ML</t>
  </si>
  <si>
    <t>XIN MING ZHOU 98 V.2511S</t>
  </si>
  <si>
    <t>UTILITY PIPING SUPPLY FOR MACHINERY, MEP WORKS MATERIAL</t>
  </si>
  <si>
    <t>37027399 JPY</t>
  </si>
  <si>
    <t>1.FFAU4696414-40HC, 2.NBYU9027180-40HC, 3.NBYU8114320-40HC, 4.NBYU8158334-40HC, 5.NBYU8170200-40HC</t>
  </si>
  <si>
    <t>76 PACKAGES</t>
  </si>
  <si>
    <t>C. PLUS STEEL</t>
  </si>
  <si>
    <t>1OISCDC (PARTIAL)</t>
  </si>
  <si>
    <t>25217</t>
  </si>
  <si>
    <t>Scrubber</t>
    <phoneticPr fontId="4"/>
  </si>
  <si>
    <t>20000000 JPY</t>
  </si>
  <si>
    <t>1.IAAU1871109-40HC, 2.IAAU1715180-40HC</t>
  </si>
  <si>
    <t>21 PACKAGES</t>
  </si>
  <si>
    <t>CTE</t>
  </si>
  <si>
    <t>SBY-PL01</t>
  </si>
  <si>
    <t>139_2567</t>
  </si>
  <si>
    <t>SHAWD075978</t>
  </si>
  <si>
    <t>E250781997182034</t>
  </si>
  <si>
    <t>NEW CAR MG HS LUX, 2025</t>
  </si>
  <si>
    <t>1.TLLU2431699-20GP</t>
  </si>
  <si>
    <t>SHAWD076080</t>
  </si>
  <si>
    <t>E250781997182035</t>
  </si>
  <si>
    <t>NEW ELECTRIC CAR MG CYBERSTER DEL, 2025</t>
  </si>
  <si>
    <t>1.UETU8350440-40HQ, 2.UETU8367756-40HQ</t>
  </si>
  <si>
    <t>SHAWD075983</t>
  </si>
  <si>
    <t>E250781997182021</t>
  </si>
  <si>
    <t>1.CAIU7402934-40HQ, 2.GAOU6178198-40HQ, 3.HMMU7128565-40HQ, 4.KOCU4788751-40HQ, 5.KOCU5078327-40HQ</t>
  </si>
  <si>
    <t>25218</t>
  </si>
  <si>
    <t>25219</t>
  </si>
  <si>
    <t>25220</t>
  </si>
  <si>
    <t>Job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</si>
</sst>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_(&quot;$&quot;* #,##0.00_);_(&quot;$&quot;* \(#,##0.00\);_(&quot;$&quot;* &quot;-&quot;??_);_(@_)"/>
    <numFmt numFmtId="165" formatCode="[$-409]d\-mmm;@"/>
    <numFmt numFmtId="166" formatCode="dd/mm/yyyy"/>
    <numFmt numFmtId="167" formatCode="dd\-mmm\-yyyy"/>
    <numFmt numFmtId="168" formatCode="[$-409]d\-mmm\-yy;@"/>
    <numFmt numFmtId="169" formatCode="[$-12000453]&quot;រាជធានីភ្មំពេញ ថ្ងៃទី&quot;\ dd\ &quot;ខែ&quot;\ mmmm\ &quot;ឆ្នាំ&quot;\​\ yyyy;@"/>
    <numFmt numFmtId="170" formatCode="#,##0.000"/>
    <numFmt numFmtId="171" formatCode="dd\-mm\-yyyy"/>
    <numFmt numFmtId="172" formatCode="[$-12000425]0"/>
    <numFmt numFmtId="173" formatCode="[$-12000453]\ dddd"/>
    <numFmt numFmtId="174" formatCode="0\ \រ\ោ\ច"/>
    <numFmt numFmtId="175" formatCode="0\ \ក\ើ\ត"/>
    <numFmt numFmtId="176" formatCode="[$-12000453]\ dddd\,\ \ \រ\ោ\ច"/>
    <numFmt numFmtId="177" formatCode="[$CNY]\ #,##0.00"/>
    <numFmt numFmtId="178" formatCode="_([$USD]\ * #,##0.00_);_([$USD]\ * \(#,##0.00\);_([$USD]\ * &quot;-&quot;??_);_(@_)"/>
    <numFmt numFmtId="179" formatCode="_([$€-2]\ * #,##0.00_);_([$€-2]\ * \(#,##0.00\);_([$€-2]\ * &quot;-&quot;??_);_(@_)"/>
    <numFmt numFmtId="180" formatCode="0.000"/>
    <numFmt numFmtId="181" formatCode="_ [$¥-804]* #,##0.00_ ;_ [$¥-804]* \-#,##0.00_ ;_ [$¥-804]* &quot;-&quot;??_ ;_ @_ "/>
  </numFmts>
  <fonts count="61">
    <font>
      <sz val="11"/>
      <color theme="1"/>
      <name val="Calibri"/>
      <family val="2"/>
      <scheme val="minor"/>
    </font>
    <font>
      <sz val="8"/>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u/>
      <sz val="11"/>
      <color theme="10"/>
      <name val="Calibri"/>
      <family val="2"/>
      <scheme val="minor"/>
    </font>
    <font>
      <sz val="20"/>
      <color theme="1"/>
      <name val="Calibri"/>
      <family val="2"/>
      <scheme val="minor"/>
    </font>
    <font>
      <sz val="22"/>
      <color theme="1"/>
      <name val="Calibri"/>
      <family val="2"/>
      <scheme val="minor"/>
    </font>
    <font>
      <b/>
      <u/>
      <sz val="40"/>
      <color theme="1"/>
      <name val="Calibri"/>
      <family val="2"/>
      <scheme val="minor"/>
    </font>
    <font>
      <u/>
      <sz val="50"/>
      <color theme="1"/>
      <name val="Times New Roman"/>
      <family val="1"/>
    </font>
    <font>
      <b/>
      <sz val="22"/>
      <color theme="1"/>
      <name val="Calibri"/>
      <family val="2"/>
      <scheme val="minor"/>
    </font>
    <font>
      <b/>
      <u/>
      <sz val="22"/>
      <color theme="1"/>
      <name val="Calibri"/>
      <family val="2"/>
      <scheme val="minor"/>
    </font>
    <font>
      <sz val="15"/>
      <color theme="1"/>
      <name val="Calibri"/>
      <family val="2"/>
      <scheme val="minor"/>
    </font>
    <font>
      <sz val="11"/>
      <name val="Calibri"/>
      <family val="2"/>
      <scheme val="minor"/>
    </font>
    <font>
      <sz val="18"/>
      <color theme="1"/>
      <name val="Calibri"/>
      <family val="2"/>
      <scheme val="minor"/>
    </font>
    <font>
      <sz val="11"/>
      <color theme="0"/>
      <name val="Calibri"/>
      <family val="2"/>
      <scheme val="minor"/>
    </font>
    <font>
      <sz val="19"/>
      <color theme="1"/>
      <name val="Calibri"/>
      <family val="2"/>
      <scheme val="minor"/>
    </font>
    <font>
      <sz val="11"/>
      <color theme="4" tint="-0.249977111117893"/>
      <name val="Calibri"/>
      <family val="2"/>
      <scheme val="minor"/>
    </font>
    <font>
      <sz val="11"/>
      <color rgb="FF0070C0"/>
      <name val="Calibri"/>
      <family val="2"/>
      <scheme val="minor"/>
    </font>
    <font>
      <sz val="11"/>
      <color theme="4"/>
      <name val="Calibri"/>
      <family val="2"/>
      <scheme val="minor"/>
    </font>
    <font>
      <sz val="17"/>
      <color theme="1"/>
      <name val="Calibri"/>
      <family val="2"/>
      <scheme val="minor"/>
    </font>
    <font>
      <sz val="11"/>
      <color theme="8" tint="-0.249977111117893"/>
      <name val="Calibri"/>
      <family val="2"/>
      <scheme val="minor"/>
    </font>
    <font>
      <sz val="11"/>
      <color theme="3"/>
      <name val="Calibri"/>
      <family val="2"/>
      <scheme val="minor"/>
    </font>
    <font>
      <sz val="11"/>
      <color rgb="FF000000"/>
      <name val="Calibri"/>
      <family val="2"/>
      <scheme val="minor"/>
    </font>
    <font>
      <sz val="10"/>
      <color rgb="FF000000"/>
      <name val="Calibri"/>
      <family val="2"/>
      <scheme val="minor"/>
    </font>
    <font>
      <sz val="9"/>
      <name val="Khmer OS Siemreap"/>
    </font>
    <font>
      <sz val="9"/>
      <color theme="1"/>
      <name val="Khmer OS Siemreap"/>
    </font>
    <font>
      <sz val="9"/>
      <color rgb="FFFF0000"/>
      <name val="Khmer OS Siemreap"/>
    </font>
    <font>
      <b/>
      <sz val="10"/>
      <color rgb="FFFF0000"/>
      <name val="Khmer OS Siemreap"/>
    </font>
    <font>
      <b/>
      <sz val="9"/>
      <color rgb="FFFF0000"/>
      <name val="Khmer OS Siemreap"/>
    </font>
    <font>
      <sz val="11"/>
      <color theme="10"/>
      <name val="Calibri"/>
      <family val="2"/>
      <scheme val="minor"/>
    </font>
    <font>
      <sz val="12"/>
      <color rgb="FFFF0000"/>
      <name val="Calibri Light"/>
      <family val="2"/>
      <scheme val="major"/>
    </font>
    <font>
      <sz val="11"/>
      <color theme="1"/>
      <name val="Khmer OS Siemreap"/>
    </font>
    <font>
      <sz val="9"/>
      <color rgb="FF000000"/>
      <name val="KhmerOSSiemreap"/>
    </font>
    <font>
      <sz val="9"/>
      <color indexed="81"/>
      <name val="Tahoma"/>
      <family val="2"/>
    </font>
    <font>
      <b/>
      <sz val="9"/>
      <color indexed="81"/>
      <name val="Tahoma"/>
      <family val="2"/>
    </font>
    <font>
      <sz val="9"/>
      <color theme="1"/>
      <name val="Calibri"/>
      <family val="2"/>
      <scheme val="minor"/>
    </font>
    <font>
      <sz val="11"/>
      <color rgb="FFC00000"/>
      <name val="Calibri"/>
      <family val="2"/>
      <scheme val="minor"/>
    </font>
    <font>
      <sz val="11"/>
      <color rgb="FF00B050"/>
      <name val="Calibri"/>
      <family val="2"/>
      <scheme val="minor"/>
    </font>
    <font>
      <sz val="9"/>
      <color rgb="FF000000"/>
      <name val="ArialMT"/>
    </font>
    <font>
      <sz val="11"/>
      <color theme="9"/>
      <name val="Calibri"/>
      <family val="2"/>
      <scheme val="minor"/>
    </font>
    <font>
      <sz val="11"/>
      <color theme="7"/>
      <name val="Calibri"/>
      <family val="2"/>
      <scheme val="minor"/>
    </font>
    <font>
      <sz val="11"/>
      <color theme="8"/>
      <name val="Calibri"/>
      <family val="2"/>
      <scheme val="minor"/>
    </font>
    <font>
      <sz val="11"/>
      <color rgb="FF002060"/>
      <name val="Calibri"/>
      <family val="2"/>
      <scheme val="minor"/>
    </font>
    <font>
      <sz val="11"/>
      <color rgb="FF7030A0"/>
      <name val="Calibri"/>
      <family val="2"/>
      <scheme val="minor"/>
    </font>
    <font>
      <sz val="11"/>
      <color theme="5" tint="-0.499984740745262"/>
      <name val="Calibri"/>
      <family val="2"/>
      <scheme val="minor"/>
    </font>
    <font>
      <b/>
      <sz val="12"/>
      <color rgb="FFFF0000"/>
      <name val="Khmer OS Siemreap"/>
    </font>
    <font>
      <sz val="12"/>
      <color rgb="FFFF0000"/>
      <name val="Khmer OS Siemreap"/>
    </font>
    <font>
      <sz val="12"/>
      <color theme="1"/>
      <name val="Khmer OS Siemreap"/>
    </font>
    <font>
      <sz val="9"/>
      <color rgb="FFFF0000"/>
      <name val="Calibri"/>
      <family val="2"/>
      <scheme val="minor"/>
    </font>
    <font>
      <sz val="14"/>
      <color theme="1"/>
      <name val="Calibri"/>
      <family val="2"/>
      <scheme val="minor"/>
    </font>
    <font>
      <sz val="9"/>
      <color rgb="FF00B050"/>
      <name val="Khmer OS Siemreap"/>
    </font>
    <font>
      <b/>
      <sz val="11"/>
      <color theme="0"/>
      <name val="Khmer OS Siemreap"/>
    </font>
    <font>
      <b/>
      <sz val="6"/>
      <color rgb="FF5B5B5B"/>
      <name val="Arial"/>
      <family val="2"/>
    </font>
    <font>
      <sz val="14"/>
      <color rgb="FFC00000"/>
      <name val="Khmer OS Muol Pali"/>
    </font>
    <font>
      <sz val="10"/>
      <color theme="1"/>
      <name val="Khmer OS Muol Light"/>
    </font>
    <font>
      <b/>
      <sz val="14"/>
      <color theme="7"/>
      <name val="Calibri"/>
      <family val="2"/>
      <scheme val="minor"/>
    </font>
    <font>
      <sz val="11"/>
      <color theme="1"/>
      <name val="Times New Roman"/>
      <family val="1"/>
    </font>
    <font>
      <sz val="9"/>
      <color rgb="FF000000"/>
      <name val="CIDFont+F3"/>
    </font>
    <font>
      <sz val="10"/>
      <name val="Times New Roman"/>
      <family val="1"/>
    </font>
    <font>
      <sz val="9"/>
      <name val="Times New Roman"/>
      <family val="1"/>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bgColor indexed="64"/>
      </patternFill>
    </fill>
    <fill>
      <patternFill patternType="solid">
        <fgColor theme="2" tint="-9.9978637043366805E-2"/>
        <bgColor indexed="64"/>
      </patternFill>
    </fill>
    <fill>
      <patternFill patternType="solid">
        <fgColor rgb="FFFF4F4F"/>
        <bgColor indexed="64"/>
      </patternFill>
    </fill>
    <fill>
      <patternFill patternType="solid">
        <fgColor theme="4" tint="0.59999389629810485"/>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top/>
      <bottom style="dotted">
        <color auto="1"/>
      </bottom>
      <diagonal/>
    </border>
    <border>
      <left/>
      <right/>
      <top style="dotted">
        <color auto="1"/>
      </top>
      <bottom style="dotted">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theme="1"/>
      </left>
      <right style="thin">
        <color theme="1"/>
      </right>
      <top style="thin">
        <color theme="1"/>
      </top>
      <bottom/>
      <diagonal/>
    </border>
    <border>
      <left style="thin">
        <color theme="1"/>
      </left>
      <right/>
      <top style="thin">
        <color theme="1"/>
      </top>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style="thin">
        <color indexed="64"/>
      </left>
      <right style="thin">
        <color indexed="64"/>
      </right>
      <top/>
      <bottom/>
      <diagonal/>
    </border>
    <border>
      <left/>
      <right style="thin">
        <color theme="8"/>
      </right>
      <top style="thin">
        <color theme="8"/>
      </top>
      <bottom/>
      <diagonal/>
    </border>
    <border>
      <left/>
      <right/>
      <top style="thin">
        <color theme="8"/>
      </top>
      <bottom/>
      <diagonal/>
    </border>
    <border>
      <left style="medium">
        <color rgb="FF000000"/>
      </left>
      <right style="medium">
        <color rgb="FF000000"/>
      </right>
      <top style="medium">
        <color rgb="FF000000"/>
      </top>
      <bottom style="medium">
        <color rgb="FF000000"/>
      </bottom>
      <diagonal/>
    </border>
    <border>
      <left style="thin">
        <color indexed="64"/>
      </left>
      <right/>
      <top/>
      <bottom/>
      <diagonal/>
    </border>
  </borders>
  <cellStyleXfs count="5">
    <xf numFmtId="0" fontId="0" fillId="0" borderId="0"/>
    <xf numFmtId="164" fontId="3" fillId="0" borderId="0" applyFont="0" applyFill="0" applyBorder="0" applyAlignment="0" applyProtection="0"/>
    <xf numFmtId="0" fontId="5" fillId="0" borderId="0" applyNumberFormat="0" applyFill="0" applyBorder="0" applyAlignment="0" applyProtection="0"/>
    <xf numFmtId="43" fontId="3" fillId="0" borderId="0" applyFont="0" applyFill="0" applyBorder="0" applyAlignment="0" applyProtection="0"/>
    <xf numFmtId="178" fontId="3" fillId="0" borderId="0"/>
  </cellStyleXfs>
  <cellXfs count="223">
    <xf numFmtId="0" fontId="0" fillId="0" borderId="0" xfId="0"/>
    <xf numFmtId="0" fontId="0" fillId="0" borderId="1" xfId="0" applyBorder="1"/>
    <xf numFmtId="0" fontId="0" fillId="0" borderId="0" xfId="0" applyAlignment="1">
      <alignment horizontal="left" vertical="center"/>
    </xf>
    <xf numFmtId="0" fontId="0" fillId="3" borderId="0" xfId="0" applyFill="1" applyAlignment="1">
      <alignment horizontal="left" vertical="center"/>
    </xf>
    <xf numFmtId="0" fontId="0" fillId="0" borderId="1" xfId="0" quotePrefix="1" applyBorder="1"/>
    <xf numFmtId="0" fontId="6" fillId="0" borderId="0" xfId="0" applyFont="1"/>
    <xf numFmtId="0" fontId="9" fillId="0" borderId="0" xfId="0" applyFont="1"/>
    <xf numFmtId="0" fontId="10" fillId="0" borderId="0" xfId="0" applyFont="1" applyAlignment="1">
      <alignment vertical="center" wrapText="1"/>
    </xf>
    <xf numFmtId="0" fontId="10" fillId="0" borderId="0" xfId="0" applyFont="1" applyAlignment="1">
      <alignment vertical="center"/>
    </xf>
    <xf numFmtId="168" fontId="7" fillId="0" borderId="0" xfId="0" applyNumberFormat="1" applyFont="1" applyAlignment="1">
      <alignment horizontal="left" vertical="center"/>
    </xf>
    <xf numFmtId="0" fontId="7" fillId="0" borderId="0" xfId="0" applyFont="1" applyAlignment="1">
      <alignment vertical="center"/>
    </xf>
    <xf numFmtId="0" fontId="7" fillId="0" borderId="0" xfId="0" applyFont="1" applyAlignment="1">
      <alignment horizontal="right" vertical="center"/>
    </xf>
    <xf numFmtId="0" fontId="0" fillId="0" borderId="0" xfId="0" applyAlignment="1">
      <alignment vertical="center"/>
    </xf>
    <xf numFmtId="0" fontId="7" fillId="0" borderId="0" xfId="0" applyFont="1" applyAlignment="1">
      <alignment vertical="center" wrapText="1"/>
    </xf>
    <xf numFmtId="0" fontId="7" fillId="0" borderId="4" xfId="0" applyFont="1" applyBorder="1"/>
    <xf numFmtId="0" fontId="6" fillId="0" borderId="5" xfId="0" applyFont="1" applyBorder="1"/>
    <xf numFmtId="0" fontId="11" fillId="0" borderId="0" xfId="0" applyFont="1" applyAlignment="1">
      <alignment horizontal="right" vertical="center"/>
    </xf>
    <xf numFmtId="0" fontId="7" fillId="0" borderId="0" xfId="0" quotePrefix="1" applyFont="1" applyAlignment="1">
      <alignment vertical="center"/>
    </xf>
    <xf numFmtId="0" fontId="0" fillId="0" borderId="0" xfId="0" applyAlignment="1">
      <alignment horizontal="left" vertical="center" wrapText="1"/>
    </xf>
    <xf numFmtId="0" fontId="0" fillId="0" borderId="1" xfId="0" applyBorder="1" applyAlignment="1">
      <alignment horizontal="left" vertical="center" wrapText="1"/>
    </xf>
    <xf numFmtId="0" fontId="14" fillId="0" borderId="0" xfId="0" applyFont="1" applyAlignment="1">
      <alignment vertical="center" wrapText="1"/>
    </xf>
    <xf numFmtId="0" fontId="8" fillId="0" borderId="0" xfId="0" applyFont="1" applyAlignment="1">
      <alignment horizontal="center"/>
    </xf>
    <xf numFmtId="0" fontId="7" fillId="0" borderId="0" xfId="0" applyFont="1" applyAlignment="1">
      <alignment horizontal="left" vertical="center"/>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3" borderId="1" xfId="0" applyFill="1" applyBorder="1" applyAlignment="1">
      <alignment horizontal="left" vertical="center"/>
    </xf>
    <xf numFmtId="166" fontId="0" fillId="0" borderId="1" xfId="0" applyNumberFormat="1" applyBorder="1" applyAlignment="1">
      <alignment horizontal="left" vertical="center"/>
    </xf>
    <xf numFmtId="0" fontId="0" fillId="0" borderId="1" xfId="0" quotePrefix="1" applyBorder="1" applyAlignment="1">
      <alignment horizontal="left" vertical="center"/>
    </xf>
    <xf numFmtId="164" fontId="0" fillId="0" borderId="1" xfId="1" applyFont="1" applyBorder="1" applyAlignment="1">
      <alignment horizontal="left" vertical="center"/>
    </xf>
    <xf numFmtId="0" fontId="0" fillId="0" borderId="1" xfId="0" quotePrefix="1" applyBorder="1" applyAlignment="1">
      <alignment horizontal="left" vertical="center" wrapText="1"/>
    </xf>
    <xf numFmtId="166" fontId="0" fillId="3" borderId="1" xfId="0" applyNumberFormat="1" applyFill="1" applyBorder="1" applyAlignment="1">
      <alignment horizontal="left" vertical="center"/>
    </xf>
    <xf numFmtId="165" fontId="0" fillId="3" borderId="1" xfId="0" applyNumberFormat="1" applyFill="1" applyBorder="1" applyAlignment="1">
      <alignment horizontal="left" vertical="center"/>
    </xf>
    <xf numFmtId="0" fontId="0" fillId="3" borderId="1" xfId="0" applyFill="1" applyBorder="1" applyAlignment="1">
      <alignment horizontal="left" vertical="center" wrapText="1"/>
    </xf>
    <xf numFmtId="0" fontId="0" fillId="3" borderId="1" xfId="0" quotePrefix="1" applyFill="1" applyBorder="1" applyAlignment="1">
      <alignment horizontal="left" vertical="center" wrapText="1"/>
    </xf>
    <xf numFmtId="0" fontId="0" fillId="2" borderId="1" xfId="0" applyFill="1" applyBorder="1" applyAlignment="1">
      <alignment horizontal="left" vertical="center"/>
    </xf>
    <xf numFmtId="0" fontId="4" fillId="3" borderId="1" xfId="0" applyFont="1" applyFill="1" applyBorder="1" applyAlignment="1">
      <alignment horizontal="left" vertical="center" wrapText="1"/>
    </xf>
    <xf numFmtId="4" fontId="0" fillId="0" borderId="1" xfId="0" quotePrefix="1" applyNumberFormat="1" applyBorder="1" applyAlignment="1">
      <alignment horizontal="left" vertical="center"/>
    </xf>
    <xf numFmtId="4" fontId="0" fillId="0" borderId="1" xfId="0" applyNumberFormat="1" applyBorder="1" applyAlignment="1">
      <alignment horizontal="left" vertical="center"/>
    </xf>
    <xf numFmtId="3"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13" fillId="0" borderId="1" xfId="0" applyFont="1" applyBorder="1" applyAlignment="1">
      <alignment horizontal="left" vertical="center" wrapText="1"/>
    </xf>
    <xf numFmtId="4" fontId="0" fillId="2" borderId="1" xfId="0" applyNumberFormat="1" applyFill="1" applyBorder="1" applyAlignment="1">
      <alignment horizontal="left" vertical="center"/>
    </xf>
    <xf numFmtId="2" fontId="0" fillId="0" borderId="1" xfId="0" applyNumberFormat="1" applyBorder="1" applyAlignment="1">
      <alignment horizontal="left" vertical="center" wrapText="1"/>
    </xf>
    <xf numFmtId="4" fontId="0" fillId="0" borderId="1" xfId="0" quotePrefix="1" applyNumberFormat="1" applyBorder="1" applyAlignment="1">
      <alignment horizontal="right" vertical="center"/>
    </xf>
    <xf numFmtId="43" fontId="0" fillId="0" borderId="1" xfId="3" quotePrefix="1" applyFont="1" applyBorder="1" applyAlignment="1">
      <alignment horizontal="right" vertical="center"/>
    </xf>
    <xf numFmtId="0" fontId="0" fillId="2" borderId="1" xfId="0" quotePrefix="1" applyFill="1" applyBorder="1" applyAlignment="1">
      <alignment horizontal="left" vertical="center" wrapText="1"/>
    </xf>
    <xf numFmtId="43" fontId="0" fillId="0" borderId="1" xfId="3" applyFont="1" applyBorder="1" applyAlignment="1">
      <alignment horizontal="left" vertical="center"/>
    </xf>
    <xf numFmtId="0" fontId="16" fillId="0" borderId="0" xfId="0" applyFont="1" applyAlignment="1">
      <alignment vertical="center" wrapText="1"/>
    </xf>
    <xf numFmtId="0" fontId="20" fillId="0" borderId="0" xfId="0" applyFont="1" applyAlignment="1">
      <alignment horizontal="left" vertical="center" wrapText="1"/>
    </xf>
    <xf numFmtId="16" fontId="0" fillId="0" borderId="1" xfId="0" applyNumberFormat="1" applyBorder="1" applyAlignment="1">
      <alignment horizontal="left" vertical="center" wrapText="1"/>
    </xf>
    <xf numFmtId="0" fontId="20" fillId="0" borderId="0" xfId="0" applyFont="1" applyAlignment="1">
      <alignment horizontal="left" vertical="top" wrapText="1"/>
    </xf>
    <xf numFmtId="0" fontId="23" fillId="0" borderId="1" xfId="0" applyFont="1" applyBorder="1" applyAlignment="1">
      <alignment vertical="center" wrapText="1"/>
    </xf>
    <xf numFmtId="0" fontId="0" fillId="0" borderId="2" xfId="0" applyBorder="1"/>
    <xf numFmtId="165" fontId="0" fillId="0" borderId="1" xfId="0" applyNumberFormat="1" applyBorder="1" applyAlignment="1">
      <alignment horizontal="left" vertical="center"/>
    </xf>
    <xf numFmtId="16" fontId="0" fillId="3" borderId="1" xfId="0" applyNumberFormat="1" applyFill="1" applyBorder="1" applyAlignment="1">
      <alignment horizontal="left" vertical="center"/>
    </xf>
    <xf numFmtId="165" fontId="5" fillId="0" borderId="1" xfId="2" applyNumberFormat="1" applyBorder="1" applyAlignment="1">
      <alignment horizontal="left" vertical="center"/>
    </xf>
    <xf numFmtId="165" fontId="5" fillId="0" borderId="1" xfId="2" applyNumberFormat="1" applyBorder="1" applyAlignment="1">
      <alignment horizontal="left" vertical="center" wrapText="1"/>
    </xf>
    <xf numFmtId="0" fontId="5" fillId="0" borderId="1" xfId="2" applyBorder="1" applyAlignment="1">
      <alignment horizontal="left" vertical="center"/>
    </xf>
    <xf numFmtId="0" fontId="5" fillId="0" borderId="1" xfId="2" quotePrefix="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24" fillId="0" borderId="1" xfId="0" applyFont="1" applyBorder="1" applyAlignment="1">
      <alignment vertical="center" wrapText="1"/>
    </xf>
    <xf numFmtId="49" fontId="4" fillId="0" borderId="1" xfId="0" quotePrefix="1" applyNumberFormat="1" applyFont="1" applyBorder="1" applyAlignment="1">
      <alignment horizontal="left" vertical="center"/>
    </xf>
    <xf numFmtId="49" fontId="4" fillId="3" borderId="1" xfId="0" quotePrefix="1" applyNumberFormat="1" applyFont="1" applyFill="1" applyBorder="1" applyAlignment="1">
      <alignment horizontal="left" vertical="center"/>
    </xf>
    <xf numFmtId="49" fontId="0" fillId="0" borderId="1" xfId="0" quotePrefix="1" applyNumberFormat="1" applyBorder="1" applyAlignment="1">
      <alignment horizontal="left" vertical="center"/>
    </xf>
    <xf numFmtId="49" fontId="19" fillId="0" borderId="1" xfId="0" quotePrefix="1" applyNumberFormat="1" applyFont="1" applyBorder="1" applyAlignment="1">
      <alignment horizontal="left" vertical="center"/>
    </xf>
    <xf numFmtId="49" fontId="18" fillId="0" borderId="1" xfId="0" quotePrefix="1" applyNumberFormat="1" applyFont="1" applyBorder="1" applyAlignment="1">
      <alignment horizontal="left" vertical="center"/>
    </xf>
    <xf numFmtId="49" fontId="15" fillId="0" borderId="1" xfId="0" quotePrefix="1" applyNumberFormat="1" applyFont="1" applyBorder="1" applyAlignment="1">
      <alignment horizontal="left" vertical="center"/>
    </xf>
    <xf numFmtId="49" fontId="21" fillId="0" borderId="1" xfId="0" quotePrefix="1" applyNumberFormat="1" applyFont="1" applyBorder="1" applyAlignment="1">
      <alignment horizontal="left" vertical="center"/>
    </xf>
    <xf numFmtId="49" fontId="15" fillId="3" borderId="1" xfId="0" quotePrefix="1" applyNumberFormat="1" applyFont="1" applyFill="1" applyBorder="1" applyAlignment="1">
      <alignment horizontal="left" vertical="center"/>
    </xf>
    <xf numFmtId="49" fontId="13" fillId="3" borderId="1" xfId="0" quotePrefix="1" applyNumberFormat="1" applyFont="1" applyFill="1" applyBorder="1" applyAlignment="1">
      <alignment horizontal="left" vertical="center"/>
    </xf>
    <xf numFmtId="49" fontId="4" fillId="2" borderId="1" xfId="0" quotePrefix="1" applyNumberFormat="1" applyFont="1" applyFill="1" applyBorder="1" applyAlignment="1">
      <alignment horizontal="left" vertical="center"/>
    </xf>
    <xf numFmtId="49" fontId="0" fillId="3" borderId="1" xfId="0" quotePrefix="1" applyNumberFormat="1" applyFill="1" applyBorder="1" applyAlignment="1">
      <alignment horizontal="left" vertical="center"/>
    </xf>
    <xf numFmtId="49" fontId="0" fillId="2" borderId="1" xfId="0" quotePrefix="1" applyNumberFormat="1" applyFill="1" applyBorder="1" applyAlignment="1">
      <alignment horizontal="left" vertical="center"/>
    </xf>
    <xf numFmtId="49" fontId="17" fillId="2" borderId="1" xfId="0" quotePrefix="1" applyNumberFormat="1" applyFont="1" applyFill="1" applyBorder="1" applyAlignment="1">
      <alignment horizontal="left" vertical="center"/>
    </xf>
    <xf numFmtId="49" fontId="0" fillId="0" borderId="1" xfId="0" applyNumberFormat="1" applyBorder="1" applyAlignment="1">
      <alignment horizontal="left" vertical="center"/>
    </xf>
    <xf numFmtId="49" fontId="0" fillId="0" borderId="1" xfId="0" applyNumberFormat="1" applyBorder="1" applyAlignment="1">
      <alignment horizontal="left" vertical="center" wrapText="1"/>
    </xf>
    <xf numFmtId="166" fontId="0" fillId="0" borderId="1" xfId="0" applyNumberFormat="1" applyBorder="1" applyAlignment="1">
      <alignment horizontal="left" vertical="center" wrapText="1"/>
    </xf>
    <xf numFmtId="165" fontId="0" fillId="0" borderId="1" xfId="0" applyNumberFormat="1" applyBorder="1" applyAlignment="1">
      <alignment horizontal="left" vertical="center" wrapText="1"/>
    </xf>
    <xf numFmtId="0" fontId="0" fillId="0" borderId="1" xfId="0" applyBorder="1" applyAlignment="1">
      <alignment vertical="center" wrapText="1"/>
    </xf>
    <xf numFmtId="0" fontId="25" fillId="0" borderId="1" xfId="0" applyFont="1" applyBorder="1"/>
    <xf numFmtId="0" fontId="26" fillId="0" borderId="1" xfId="0" applyFont="1" applyBorder="1"/>
    <xf numFmtId="0" fontId="27" fillId="0" borderId="1" xfId="0" applyFont="1" applyBorder="1"/>
    <xf numFmtId="0" fontId="4" fillId="0" borderId="0" xfId="0" applyFont="1"/>
    <xf numFmtId="0" fontId="26" fillId="0" borderId="1" xfId="0" applyFont="1" applyBorder="1" applyAlignment="1">
      <alignment vertical="center"/>
    </xf>
    <xf numFmtId="0" fontId="27" fillId="0" borderId="1" xfId="0" applyFont="1" applyBorder="1" applyAlignment="1">
      <alignment vertical="center"/>
    </xf>
    <xf numFmtId="0" fontId="26" fillId="0" borderId="9" xfId="0" applyFont="1" applyBorder="1" applyAlignment="1">
      <alignment vertical="center"/>
    </xf>
    <xf numFmtId="0" fontId="27" fillId="0" borderId="1" xfId="0" applyFont="1" applyBorder="1" applyAlignment="1">
      <alignment horizontal="left"/>
    </xf>
    <xf numFmtId="0" fontId="27" fillId="0" borderId="9" xfId="0" applyFont="1" applyBorder="1" applyAlignment="1">
      <alignment vertical="center"/>
    </xf>
    <xf numFmtId="0" fontId="26" fillId="0" borderId="11" xfId="0" applyFont="1" applyBorder="1" applyAlignment="1">
      <alignment vertical="center"/>
    </xf>
    <xf numFmtId="0" fontId="27" fillId="0" borderId="11" xfId="0" applyFont="1" applyBorder="1" applyAlignment="1">
      <alignment vertical="center"/>
    </xf>
    <xf numFmtId="0" fontId="27" fillId="0" borderId="1" xfId="0" applyFont="1" applyBorder="1" applyAlignment="1">
      <alignment horizontal="left" vertical="top"/>
    </xf>
    <xf numFmtId="0" fontId="27" fillId="0" borderId="1" xfId="0" applyFont="1" applyBorder="1" applyAlignment="1">
      <alignment horizontal="left" vertical="center"/>
    </xf>
    <xf numFmtId="0" fontId="28" fillId="0" borderId="0" xfId="0" applyFont="1" applyAlignment="1">
      <alignment vertical="center"/>
    </xf>
    <xf numFmtId="0" fontId="29" fillId="0" borderId="0" xfId="0" applyFont="1" applyAlignment="1">
      <alignment horizontal="center" vertical="center"/>
    </xf>
    <xf numFmtId="16" fontId="0" fillId="0" borderId="1" xfId="0" quotePrefix="1" applyNumberFormat="1" applyBorder="1" applyAlignment="1">
      <alignment horizontal="left" vertical="center"/>
    </xf>
    <xf numFmtId="16" fontId="0" fillId="0" borderId="0" xfId="0" applyNumberFormat="1"/>
    <xf numFmtId="0" fontId="2" fillId="0" borderId="1" xfId="0" applyFont="1" applyBorder="1" applyAlignment="1">
      <alignment vertical="center"/>
    </xf>
    <xf numFmtId="2" fontId="0" fillId="0" borderId="1" xfId="0" applyNumberFormat="1" applyBorder="1" applyAlignment="1">
      <alignment horizontal="left" vertical="center"/>
    </xf>
    <xf numFmtId="0" fontId="26" fillId="0" borderId="0" xfId="0" applyFont="1"/>
    <xf numFmtId="49" fontId="0" fillId="0" borderId="1" xfId="0" applyNumberFormat="1" applyBorder="1" applyAlignment="1">
      <alignment vertical="center" wrapText="1"/>
    </xf>
    <xf numFmtId="14" fontId="0" fillId="0" borderId="1" xfId="0" applyNumberFormat="1" applyBorder="1" applyAlignment="1">
      <alignment vertical="center" wrapText="1"/>
    </xf>
    <xf numFmtId="14" fontId="0" fillId="0" borderId="1" xfId="0" applyNumberFormat="1" applyBorder="1" applyAlignment="1">
      <alignment horizontal="left" vertical="center"/>
    </xf>
    <xf numFmtId="14" fontId="0" fillId="3" borderId="1" xfId="0" applyNumberFormat="1" applyFill="1" applyBorder="1" applyAlignment="1">
      <alignment horizontal="left" vertical="center"/>
    </xf>
    <xf numFmtId="49" fontId="0" fillId="3" borderId="1" xfId="0" applyNumberFormat="1" applyFill="1" applyBorder="1" applyAlignment="1">
      <alignment horizontal="left" vertical="center"/>
    </xf>
    <xf numFmtId="49" fontId="30" fillId="0" borderId="1" xfId="2" applyNumberFormat="1" applyFont="1" applyBorder="1" applyAlignment="1">
      <alignment horizontal="left" vertical="center" wrapText="1"/>
    </xf>
    <xf numFmtId="49" fontId="30" fillId="0" borderId="1" xfId="2" applyNumberFormat="1" applyFont="1" applyBorder="1" applyAlignment="1">
      <alignment horizontal="left" vertical="center"/>
    </xf>
    <xf numFmtId="49" fontId="22" fillId="2" borderId="1" xfId="0" quotePrefix="1" applyNumberFormat="1" applyFont="1" applyFill="1" applyBorder="1" applyAlignment="1">
      <alignment horizontal="left" vertical="center"/>
    </xf>
    <xf numFmtId="49" fontId="19" fillId="2" borderId="1" xfId="0" quotePrefix="1" applyNumberFormat="1" applyFont="1" applyFill="1" applyBorder="1" applyAlignment="1">
      <alignment horizontal="left" vertical="center"/>
    </xf>
    <xf numFmtId="43" fontId="0" fillId="0" borderId="2" xfId="3" applyFont="1" applyBorder="1"/>
    <xf numFmtId="49" fontId="7" fillId="0" borderId="0" xfId="0" quotePrefix="1" applyNumberFormat="1" applyFont="1" applyAlignment="1">
      <alignment vertical="center"/>
    </xf>
    <xf numFmtId="0" fontId="5" fillId="0" borderId="0" xfId="2"/>
    <xf numFmtId="0" fontId="31" fillId="0" borderId="0" xfId="0" applyFont="1"/>
    <xf numFmtId="0" fontId="26" fillId="0" borderId="1" xfId="0" quotePrefix="1" applyFont="1" applyBorder="1"/>
    <xf numFmtId="0" fontId="32" fillId="4" borderId="0" xfId="0" applyFont="1" applyFill="1"/>
    <xf numFmtId="15" fontId="32" fillId="0" borderId="0" xfId="0" applyNumberFormat="1" applyFont="1"/>
    <xf numFmtId="0" fontId="32" fillId="0" borderId="0" xfId="0" applyFont="1"/>
    <xf numFmtId="0" fontId="33" fillId="0" borderId="1" xfId="0" applyFont="1" applyBorder="1" applyAlignment="1">
      <alignment vertical="center" wrapText="1"/>
    </xf>
    <xf numFmtId="1" fontId="0" fillId="0" borderId="1" xfId="0" applyNumberFormat="1" applyBorder="1" applyAlignment="1">
      <alignment horizontal="left" vertical="center"/>
    </xf>
    <xf numFmtId="1" fontId="0" fillId="3" borderId="1" xfId="0" applyNumberFormat="1" applyFill="1" applyBorder="1" applyAlignment="1">
      <alignment horizontal="left" vertical="center"/>
    </xf>
    <xf numFmtId="1" fontId="0" fillId="0" borderId="1" xfId="0" applyNumberFormat="1" applyBorder="1" applyAlignment="1">
      <alignment horizontal="left" vertical="center" wrapText="1"/>
    </xf>
    <xf numFmtId="11" fontId="0" fillId="0" borderId="1" xfId="0" applyNumberFormat="1" applyBorder="1" applyAlignment="1">
      <alignment horizontal="left" vertical="center"/>
    </xf>
    <xf numFmtId="49" fontId="2" fillId="0" borderId="1" xfId="0" applyNumberFormat="1" applyFont="1" applyBorder="1" applyAlignment="1">
      <alignment vertical="center"/>
    </xf>
    <xf numFmtId="170" fontId="0" fillId="0" borderId="1" xfId="0" applyNumberFormat="1" applyBorder="1" applyAlignment="1">
      <alignment horizontal="left" vertical="center"/>
    </xf>
    <xf numFmtId="0" fontId="0" fillId="0" borderId="8" xfId="0" applyBorder="1"/>
    <xf numFmtId="0" fontId="5" fillId="0" borderId="8" xfId="2" applyBorder="1"/>
    <xf numFmtId="0" fontId="27" fillId="0" borderId="7" xfId="0" applyFont="1" applyBorder="1"/>
    <xf numFmtId="0" fontId="26" fillId="0" borderId="7" xfId="0" applyFont="1" applyBorder="1"/>
    <xf numFmtId="0" fontId="0" fillId="0" borderId="0" xfId="0" quotePrefix="1"/>
    <xf numFmtId="0" fontId="0" fillId="0" borderId="0" xfId="0" applyAlignment="1">
      <alignment horizontal="right"/>
    </xf>
    <xf numFmtId="165" fontId="0" fillId="0" borderId="1" xfId="0" quotePrefix="1" applyNumberFormat="1" applyBorder="1" applyAlignment="1">
      <alignment horizontal="left" vertical="center"/>
    </xf>
    <xf numFmtId="0" fontId="28" fillId="5" borderId="0" xfId="0" applyFont="1" applyFill="1" applyAlignment="1">
      <alignment vertical="center"/>
    </xf>
    <xf numFmtId="0" fontId="36" fillId="5" borderId="0" xfId="0" applyFont="1" applyFill="1"/>
    <xf numFmtId="0" fontId="37" fillId="0" borderId="1" xfId="0" applyFont="1" applyBorder="1" applyAlignment="1">
      <alignment horizontal="left" vertical="center" wrapText="1"/>
    </xf>
    <xf numFmtId="49" fontId="4" fillId="0" borderId="1" xfId="0" applyNumberFormat="1" applyFont="1" applyBorder="1" applyAlignment="1">
      <alignment horizontal="left" vertical="center"/>
    </xf>
    <xf numFmtId="0" fontId="38" fillId="0" borderId="1" xfId="0" applyFont="1" applyBorder="1" applyAlignment="1">
      <alignment horizontal="left" vertical="center"/>
    </xf>
    <xf numFmtId="0" fontId="39" fillId="0" borderId="0" xfId="0" applyFont="1"/>
    <xf numFmtId="0" fontId="40" fillId="0" borderId="1" xfId="0" applyFont="1" applyBorder="1" applyAlignment="1">
      <alignment horizontal="left" vertical="center"/>
    </xf>
    <xf numFmtId="171" fontId="2" fillId="0" borderId="1" xfId="0" applyNumberFormat="1" applyFont="1" applyBorder="1" applyAlignment="1">
      <alignment vertical="center"/>
    </xf>
    <xf numFmtId="171" fontId="0" fillId="0" borderId="1" xfId="0" applyNumberFormat="1" applyBorder="1" applyAlignment="1">
      <alignment horizontal="left" vertical="center" wrapText="1"/>
    </xf>
    <xf numFmtId="171" fontId="0" fillId="0" borderId="1" xfId="0" applyNumberFormat="1" applyBorder="1" applyAlignment="1">
      <alignment horizontal="left" vertical="center"/>
    </xf>
    <xf numFmtId="171" fontId="0" fillId="0" borderId="1" xfId="0" quotePrefix="1" applyNumberFormat="1" applyBorder="1" applyAlignment="1">
      <alignment horizontal="left" vertical="center"/>
    </xf>
    <xf numFmtId="171" fontId="0" fillId="3" borderId="1" xfId="0" applyNumberFormat="1" applyFill="1" applyBorder="1" applyAlignment="1">
      <alignment horizontal="left" vertical="center"/>
    </xf>
    <xf numFmtId="171" fontId="4" fillId="0" borderId="1" xfId="0" applyNumberFormat="1" applyFont="1" applyBorder="1" applyAlignment="1">
      <alignment horizontal="left" vertical="center"/>
    </xf>
    <xf numFmtId="171" fontId="4" fillId="3" borderId="1" xfId="0" applyNumberFormat="1" applyFont="1" applyFill="1" applyBorder="1" applyAlignment="1">
      <alignment horizontal="left" vertical="center"/>
    </xf>
    <xf numFmtId="0" fontId="46" fillId="0" borderId="0" xfId="0" applyFont="1" applyAlignment="1">
      <alignment vertical="center"/>
    </xf>
    <xf numFmtId="0" fontId="47" fillId="0" borderId="12" xfId="0" applyFont="1" applyBorder="1" applyAlignment="1">
      <alignment vertical="center"/>
    </xf>
    <xf numFmtId="0" fontId="48" fillId="0" borderId="1" xfId="0" applyFont="1" applyBorder="1" applyAlignment="1">
      <alignment vertical="center"/>
    </xf>
    <xf numFmtId="0" fontId="47" fillId="0" borderId="8" xfId="0" applyFont="1" applyBorder="1" applyAlignment="1">
      <alignment vertical="center"/>
    </xf>
    <xf numFmtId="0" fontId="47" fillId="0" borderId="10" xfId="0" applyFont="1" applyBorder="1" applyAlignment="1">
      <alignment vertical="center"/>
    </xf>
    <xf numFmtId="169" fontId="47" fillId="0" borderId="8" xfId="0" applyNumberFormat="1" applyFont="1" applyBorder="1" applyAlignment="1">
      <alignment vertical="center"/>
    </xf>
    <xf numFmtId="169" fontId="48" fillId="0" borderId="1" xfId="0" applyNumberFormat="1" applyFont="1" applyBorder="1" applyAlignment="1">
      <alignment vertical="center"/>
    </xf>
    <xf numFmtId="0" fontId="47" fillId="0" borderId="8" xfId="0" applyFont="1" applyBorder="1"/>
    <xf numFmtId="0" fontId="48" fillId="0" borderId="1" xfId="0" applyFont="1" applyBorder="1"/>
    <xf numFmtId="0" fontId="47" fillId="0" borderId="1" xfId="0" applyFont="1" applyBorder="1"/>
    <xf numFmtId="0" fontId="26" fillId="0" borderId="1" xfId="0" applyFont="1" applyBorder="1" applyAlignment="1">
      <alignment horizontal="right"/>
    </xf>
    <xf numFmtId="0" fontId="36" fillId="0" borderId="0" xfId="0" applyFont="1"/>
    <xf numFmtId="0" fontId="0" fillId="5" borderId="0" xfId="0" applyFill="1"/>
    <xf numFmtId="0" fontId="49" fillId="0" borderId="0" xfId="0" applyFont="1"/>
    <xf numFmtId="0" fontId="27" fillId="0" borderId="8" xfId="0" applyFont="1" applyBorder="1" applyAlignment="1">
      <alignment vertical="center"/>
    </xf>
    <xf numFmtId="0" fontId="27" fillId="0" borderId="13" xfId="0" applyFont="1" applyBorder="1"/>
    <xf numFmtId="49" fontId="0" fillId="0" borderId="1" xfId="0" quotePrefix="1" applyNumberFormat="1" applyBorder="1" applyAlignment="1">
      <alignment horizontal="left" vertical="center" wrapText="1"/>
    </xf>
    <xf numFmtId="0" fontId="26" fillId="0" borderId="1" xfId="0" applyFont="1" applyBorder="1" applyAlignment="1">
      <alignment horizontal="center"/>
    </xf>
    <xf numFmtId="0" fontId="26" fillId="0" borderId="1" xfId="0" applyFont="1" applyBorder="1" applyAlignment="1">
      <alignment horizontal="left"/>
    </xf>
    <xf numFmtId="0" fontId="0" fillId="0" borderId="0" xfId="0" applyAlignment="1">
      <alignment horizontal="center" vertical="center"/>
    </xf>
    <xf numFmtId="0" fontId="28" fillId="0" borderId="1" xfId="0" applyFont="1" applyBorder="1" applyAlignment="1">
      <alignment horizontal="center" vertical="center"/>
    </xf>
    <xf numFmtId="0" fontId="28" fillId="5" borderId="1" xfId="0" applyFont="1" applyFill="1" applyBorder="1" applyAlignment="1">
      <alignment horizontal="center" vertical="center"/>
    </xf>
    <xf numFmtId="49" fontId="4" fillId="3" borderId="1" xfId="0" applyNumberFormat="1" applyFont="1" applyFill="1" applyBorder="1" applyAlignment="1">
      <alignment horizontal="left" vertical="center"/>
    </xf>
    <xf numFmtId="0" fontId="23" fillId="0" borderId="0" xfId="0" applyFont="1"/>
    <xf numFmtId="165" fontId="4" fillId="0" borderId="1" xfId="0" applyNumberFormat="1" applyFont="1" applyBorder="1" applyAlignment="1">
      <alignment horizontal="left" vertical="center"/>
    </xf>
    <xf numFmtId="3" fontId="0" fillId="0" borderId="1" xfId="0" quotePrefix="1" applyNumberFormat="1" applyBorder="1" applyAlignment="1">
      <alignment horizontal="left" vertical="center"/>
    </xf>
    <xf numFmtId="0" fontId="32" fillId="0" borderId="14" xfId="0" applyFont="1" applyBorder="1"/>
    <xf numFmtId="173" fontId="32" fillId="0" borderId="0" xfId="0" applyNumberFormat="1" applyFont="1"/>
    <xf numFmtId="0" fontId="52" fillId="4" borderId="1" xfId="0" applyFont="1" applyFill="1" applyBorder="1" applyAlignment="1">
      <alignment horizontal="center" vertical="center"/>
    </xf>
    <xf numFmtId="172" fontId="0" fillId="0" borderId="1" xfId="0" applyNumberFormat="1" applyBorder="1" applyAlignment="1">
      <alignment horizontal="center" vertical="center"/>
    </xf>
    <xf numFmtId="0" fontId="0" fillId="0" borderId="1" xfId="0" applyBorder="1" applyAlignment="1">
      <alignment horizontal="center" vertical="center"/>
    </xf>
    <xf numFmtId="174" fontId="32" fillId="0" borderId="0" xfId="0" applyNumberFormat="1" applyFont="1"/>
    <xf numFmtId="175" fontId="32" fillId="0" borderId="0" xfId="0" applyNumberFormat="1" applyFont="1"/>
    <xf numFmtId="176" fontId="32" fillId="0" borderId="0" xfId="0" applyNumberFormat="1" applyFont="1"/>
    <xf numFmtId="175" fontId="32" fillId="0" borderId="15" xfId="0" applyNumberFormat="1" applyFont="1" applyBorder="1"/>
    <xf numFmtId="174" fontId="32" fillId="0" borderId="15" xfId="0" applyNumberFormat="1" applyFont="1" applyBorder="1"/>
    <xf numFmtId="0" fontId="53" fillId="0" borderId="16" xfId="0" applyFont="1" applyBorder="1" applyAlignment="1">
      <alignment vertical="center" wrapText="1"/>
    </xf>
    <xf numFmtId="177" fontId="3" fillId="0" borderId="1" xfId="1" applyNumberFormat="1" applyFont="1" applyBorder="1" applyAlignment="1">
      <alignment horizontal="center" vertical="center"/>
    </xf>
    <xf numFmtId="0" fontId="47" fillId="0" borderId="17" xfId="0" applyFont="1" applyBorder="1" applyAlignment="1">
      <alignment vertical="center"/>
    </xf>
    <xf numFmtId="0" fontId="48" fillId="0" borderId="13" xfId="0" applyFont="1" applyBorder="1"/>
    <xf numFmtId="14" fontId="0" fillId="0" borderId="0" xfId="0" applyNumberFormat="1"/>
    <xf numFmtId="0" fontId="0" fillId="0" borderId="0" xfId="0" applyAlignment="1">
      <alignment wrapText="1"/>
    </xf>
    <xf numFmtId="0" fontId="4" fillId="0" borderId="0" xfId="0" applyFont="1" applyAlignment="1">
      <alignment wrapText="1"/>
    </xf>
    <xf numFmtId="0" fontId="48" fillId="6" borderId="1" xfId="0" applyFont="1" applyFill="1" applyBorder="1"/>
    <xf numFmtId="0" fontId="0" fillId="0" borderId="0" xfId="0" quotePrefix="1" applyAlignment="1">
      <alignment horizontal="left" vertical="center"/>
    </xf>
    <xf numFmtId="179" fontId="0" fillId="0" borderId="1" xfId="1" applyNumberFormat="1" applyFont="1" applyBorder="1" applyAlignment="1">
      <alignment horizontal="left" vertical="center"/>
    </xf>
    <xf numFmtId="168" fontId="0" fillId="0" borderId="0" xfId="0" applyNumberFormat="1"/>
    <xf numFmtId="15" fontId="0" fillId="0" borderId="0" xfId="0" applyNumberFormat="1"/>
    <xf numFmtId="0" fontId="54" fillId="0" borderId="0" xfId="0" applyFont="1"/>
    <xf numFmtId="0" fontId="55" fillId="0" borderId="0" xfId="0" applyFont="1"/>
    <xf numFmtId="0" fontId="56" fillId="0" borderId="0" xfId="0" applyFont="1" applyAlignment="1">
      <alignment horizontal="center"/>
    </xf>
    <xf numFmtId="177" fontId="0" fillId="0" borderId="1" xfId="0" applyNumberFormat="1" applyBorder="1" applyAlignment="1">
      <alignment horizontal="left" vertical="center"/>
    </xf>
    <xf numFmtId="179" fontId="3" fillId="0" borderId="1" xfId="1" applyNumberFormat="1" applyFont="1" applyBorder="1" applyAlignment="1">
      <alignment horizontal="center" vertical="center"/>
    </xf>
    <xf numFmtId="0" fontId="27" fillId="0" borderId="0" xfId="0" applyFont="1" applyAlignment="1">
      <alignment vertical="center"/>
    </xf>
    <xf numFmtId="172" fontId="26" fillId="0" borderId="0" xfId="0" applyNumberFormat="1" applyFont="1"/>
    <xf numFmtId="0" fontId="26" fillId="0" borderId="13" xfId="0" applyFont="1" applyBorder="1" applyAlignment="1">
      <alignment horizontal="center"/>
    </xf>
    <xf numFmtId="0" fontId="57" fillId="0" borderId="0" xfId="0" applyFont="1"/>
    <xf numFmtId="180" fontId="0" fillId="0" borderId="1" xfId="0" applyNumberFormat="1" applyBorder="1" applyAlignment="1">
      <alignment horizontal="left" vertical="center"/>
    </xf>
    <xf numFmtId="181" fontId="0" fillId="0" borderId="1" xfId="0" applyNumberFormat="1" applyBorder="1" applyAlignment="1">
      <alignment horizontal="left" vertical="center"/>
    </xf>
    <xf numFmtId="0" fontId="58" fillId="0" borderId="0" xfId="0" applyFont="1"/>
    <xf numFmtId="0" fontId="4" fillId="0" borderId="1" xfId="0" quotePrefix="1" applyFont="1" applyBorder="1" applyAlignment="1">
      <alignment horizontal="left" vertical="center"/>
    </xf>
    <xf numFmtId="0" fontId="27" fillId="0" borderId="17" xfId="0" applyFont="1" applyBorder="1" applyAlignment="1">
      <alignment vertical="center"/>
    </xf>
    <xf numFmtId="49" fontId="0" fillId="7" borderId="1" xfId="0" applyNumberFormat="1" applyFill="1" applyBorder="1" applyAlignment="1">
      <alignment horizontal="left" vertical="center"/>
    </xf>
    <xf numFmtId="49" fontId="13" fillId="3" borderId="1" xfId="0" applyNumberFormat="1" applyFont="1" applyFill="1" applyBorder="1" applyAlignment="1">
      <alignment horizontal="left" vertical="center"/>
    </xf>
    <xf numFmtId="0" fontId="59" fillId="0" borderId="3" xfId="0" applyFont="1" applyBorder="1" applyAlignment="1">
      <alignment vertical="center"/>
    </xf>
    <xf numFmtId="0" fontId="60" fillId="0" borderId="17" xfId="0" applyFont="1" applyBorder="1" applyAlignment="1">
      <alignment vertical="center"/>
    </xf>
    <xf numFmtId="49" fontId="18" fillId="0" borderId="1" xfId="0" applyNumberFormat="1" applyFont="1" applyBorder="1" applyAlignment="1">
      <alignment horizontal="left" vertical="center"/>
    </xf>
    <xf numFmtId="0" fontId="8" fillId="0" borderId="0" xfId="0" applyFont="1" applyAlignment="1">
      <alignment horizontal="center"/>
    </xf>
    <xf numFmtId="0" fontId="7" fillId="0" borderId="0" xfId="0" applyFont="1" applyAlignment="1">
      <alignment horizontal="left" vertical="center"/>
    </xf>
    <xf numFmtId="0" fontId="12" fillId="0" borderId="0" xfId="0" applyFont="1" applyAlignment="1">
      <alignment horizontal="left" vertical="top" wrapText="1"/>
    </xf>
    <xf numFmtId="0" fontId="6" fillId="0" borderId="0" xfId="0" applyFont="1" applyAlignment="1">
      <alignment horizontal="left" vertical="center" wrapText="1"/>
    </xf>
    <xf numFmtId="0" fontId="2" fillId="0" borderId="8" xfId="0" applyFont="1" applyBorder="1" applyAlignment="1">
      <alignment horizontal="center" vertical="center" wrapText="1"/>
    </xf>
    <xf numFmtId="0" fontId="2" fillId="0" borderId="3" xfId="0" applyFont="1" applyBorder="1" applyAlignment="1">
      <alignment horizontal="center" vertical="center" wrapText="1"/>
    </xf>
    <xf numFmtId="0" fontId="2" fillId="0" borderId="6" xfId="0" applyFont="1" applyBorder="1" applyAlignment="1">
      <alignment horizontal="center" vertical="center" wrapText="1"/>
    </xf>
    <xf numFmtId="167" fontId="0" fillId="0" borderId="1" xfId="0" applyNumberFormat="1" applyBorder="1" applyAlignment="1">
      <alignment horizontal="left" vertical="center"/>
    </xf>
    <xf numFmtId="171" fontId="0" fillId="0" borderId="1" xfId="0" applyNumberFormat="1" applyBorder="1" applyAlignment="1">
      <alignment horizontal="left" vertical="center"/>
    </xf>
    <xf numFmtId="0" fontId="50" fillId="0" borderId="1" xfId="0" applyFont="1" applyBorder="1" applyAlignment="1">
      <alignment horizontal="center" vertical="center"/>
    </xf>
    <xf numFmtId="0" fontId="0" fillId="0" borderId="0" xfId="0" applyAlignment="1">
      <alignment horizontal="center"/>
    </xf>
  </cellXfs>
  <cellStyles count="5">
    <cellStyle name="Comma" xfId="3" builtinId="3"/>
    <cellStyle name="Currency" xfId="1" builtinId="4"/>
    <cellStyle name="Hyperlink" xfId="2" builtinId="8"/>
    <cellStyle name="Normal" xfId="0" builtinId="0"/>
    <cellStyle name="Normal 2" xfId="4" xr:uid="{66383BC9-73CE-4FFE-BC41-C0912E599026}"/>
  </cellStyles>
  <dxfs count="6">
    <dxf>
      <font>
        <color rgb="FF9C0006"/>
      </font>
      <fill>
        <patternFill>
          <bgColor rgb="FFFFC7CE"/>
        </patternFill>
      </fill>
    </dxf>
    <dxf>
      <font>
        <b val="0"/>
        <i val="0"/>
        <strike val="0"/>
        <condense val="0"/>
        <extend val="0"/>
        <outline val="0"/>
        <shadow val="0"/>
        <u val="none"/>
        <vertAlign val="baseline"/>
        <sz val="11"/>
        <color theme="1"/>
        <name val="Khmer OS Siemreap"/>
        <scheme val="none"/>
      </font>
      <numFmt numFmtId="174" formatCode="0\ \រ\ោ\ច"/>
    </dxf>
    <dxf>
      <numFmt numFmtId="0" formatCode="General"/>
    </dxf>
    <dxf>
      <font>
        <b val="0"/>
        <i val="0"/>
        <strike val="0"/>
        <condense val="0"/>
        <extend val="0"/>
        <outline val="0"/>
        <shadow val="0"/>
        <u val="none"/>
        <vertAlign val="baseline"/>
        <sz val="11"/>
        <color theme="1"/>
        <name val="Khmer OS Siemreap"/>
        <scheme val="none"/>
      </font>
    </dxf>
    <dxf>
      <font>
        <b val="0"/>
        <i val="0"/>
        <strike val="0"/>
        <condense val="0"/>
        <extend val="0"/>
        <outline val="0"/>
        <shadow val="0"/>
        <u val="none"/>
        <vertAlign val="baseline"/>
        <sz val="11"/>
        <color theme="1"/>
        <name val="Khmer OS Siemreap"/>
        <scheme val="none"/>
      </font>
      <numFmt numFmtId="20" formatCode="d\-mmm\-yy"/>
    </dxf>
    <dxf>
      <font>
        <b val="0"/>
        <i val="0"/>
        <strike val="0"/>
        <condense val="0"/>
        <extend val="0"/>
        <outline val="0"/>
        <shadow val="0"/>
        <u val="none"/>
        <vertAlign val="baseline"/>
        <sz val="11"/>
        <color theme="1"/>
        <name val="Khmer OS Siemreap"/>
        <scheme val="none"/>
      </font>
      <fill>
        <patternFill patternType="solid">
          <fgColor indexed="64"/>
          <bgColor theme="7"/>
        </patternFill>
      </fill>
    </dxf>
  </dxfs>
  <tableStyles count="0" defaultTableStyle="TableStyleMedium2" defaultPivotStyle="PivotStyleLight16"/>
  <colors>
    <mruColors>
      <color rgb="FFFF4F4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NULL"/></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hyperlink" Target="https://www.facebook.com/share/ZB2f27hXDDesd3xn/?mibextid=wwXIfr" TargetMode="Externa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https://youtube.com/@kellytechnic6364?si=y4xxRLkdQjBxf27i" TargetMode="External"/><Relationship Id="rId5" Type="http://schemas.openxmlformats.org/officeDocument/2006/relationships/hyperlink" Target="https://t.me/kellytechnic" TargetMode="External"/><Relationship Id="rId4" Type="http://schemas.openxmlformats.org/officeDocument/2006/relationships/hyperlink" Target="https://www.tiktok.com/@kellytechnic?_t=ZS-8sjWlLaGp9j&amp;_r=1" TargetMode="Externa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615950</xdr:colOff>
      <xdr:row>11</xdr:row>
      <xdr:rowOff>1530350</xdr:rowOff>
    </xdr:to>
    <xdr:sp macro="" textlink="">
      <xdr:nvSpPr>
        <xdr:cNvPr id="2057" name="Text Box 9" hidden="1">
          <a:extLst>
            <a:ext uri="{FF2B5EF4-FFF2-40B4-BE49-F238E27FC236}">
              <a16:creationId xmlns:a16="http://schemas.microsoft.com/office/drawing/2014/main" id="{8899AFF8-D552-9E45-1C64-8DB10156459F}"/>
            </a:ext>
          </a:extLst>
        </xdr:cNvPr>
        <xdr:cNvSpPr txBox="1">
          <a:spLocks noSelect="1" noChangeArrowheads="1"/>
        </xdr:cNvSpPr>
      </xdr:nvSpPr>
      <xdr:spPr bwMode="auto">
        <a:xfrm>
          <a:off x="0" y="0"/>
          <a:ext cx="6350000" cy="6350000"/>
        </a:xfrm>
        <a:prstGeom prst="rect">
          <a:avLst/>
        </a:pr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7</xdr:col>
      <xdr:colOff>615950</xdr:colOff>
      <xdr:row>11</xdr:row>
      <xdr:rowOff>1530350</xdr:rowOff>
    </xdr:to>
    <xdr:sp macro="" textlink="">
      <xdr:nvSpPr>
        <xdr:cNvPr id="2" name="AutoShape 9">
          <a:extLst>
            <a:ext uri="{FF2B5EF4-FFF2-40B4-BE49-F238E27FC236}">
              <a16:creationId xmlns:a16="http://schemas.microsoft.com/office/drawing/2014/main" id="{C6D739C3-6246-F960-384B-12F345FE1E4F}"/>
            </a:ext>
          </a:extLst>
        </xdr:cNvPr>
        <xdr:cNvSpPr>
          <a:spLocks noChangeArrowheads="1"/>
        </xdr:cNvSpPr>
      </xdr:nvSpPr>
      <xdr:spPr bwMode="auto">
        <a:xfrm>
          <a:off x="0" y="0"/>
          <a:ext cx="6350000" cy="6350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289560</xdr:colOff>
      <xdr:row>0</xdr:row>
      <xdr:rowOff>38363</xdr:rowOff>
    </xdr:from>
    <xdr:to>
      <xdr:col>8</xdr:col>
      <xdr:colOff>137160</xdr:colOff>
      <xdr:row>2</xdr:row>
      <xdr:rowOff>135058</xdr:rowOff>
    </xdr:to>
    <xdr:sp macro="" textlink="">
      <xdr:nvSpPr>
        <xdr:cNvPr id="2" name="TextBox 1">
          <a:extLst>
            <a:ext uri="{FF2B5EF4-FFF2-40B4-BE49-F238E27FC236}">
              <a16:creationId xmlns:a16="http://schemas.microsoft.com/office/drawing/2014/main" id="{E98C6DE1-C98C-47C6-B4D2-2553F51B30FC}"/>
            </a:ext>
          </a:extLst>
        </xdr:cNvPr>
        <xdr:cNvSpPr txBox="1"/>
      </xdr:nvSpPr>
      <xdr:spPr>
        <a:xfrm>
          <a:off x="998220" y="38363"/>
          <a:ext cx="4808220" cy="66819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km-KH" sz="2000" kern="1200">
              <a:solidFill>
                <a:srgbClr val="7030A0"/>
              </a:solidFill>
              <a:latin typeface="Khmer OS Muol Pali" panose="02000500000000020004" pitchFamily="2" charset="0"/>
              <a:cs typeface="Khmer OS Muol Pali" panose="02000500000000020004" pitchFamily="2" charset="0"/>
            </a:rPr>
            <a:t>កាលបរិច្ឆេទចន្ទគតិខ្មែរ</a:t>
          </a:r>
          <a:r>
            <a:rPr lang="en-US" sz="2000" kern="1200">
              <a:solidFill>
                <a:srgbClr val="7030A0"/>
              </a:solidFill>
              <a:latin typeface="Khmer OS Muol Pali" panose="02000500000000020004" pitchFamily="2" charset="0"/>
              <a:cs typeface="Khmer OS Muol Pali" panose="02000500000000020004" pitchFamily="2" charset="0"/>
            </a:rPr>
            <a:t> </a:t>
          </a:r>
          <a:r>
            <a:rPr lang="km-KH" sz="2000" kern="1200">
              <a:solidFill>
                <a:srgbClr val="7030A0"/>
              </a:solidFill>
              <a:latin typeface="Khmer OS Muol Pali" panose="02000500000000020004" pitchFamily="2" charset="0"/>
              <a:cs typeface="Khmer OS Muol Pali" panose="02000500000000020004" pitchFamily="2" charset="0"/>
            </a:rPr>
            <a:t>២០២៥</a:t>
          </a:r>
          <a:endParaRPr lang="en-US" sz="2000" kern="1200">
            <a:solidFill>
              <a:srgbClr val="7030A0"/>
            </a:solidFill>
            <a:latin typeface="Khmer OS Muol Pali" panose="02000500000000020004" pitchFamily="2" charset="0"/>
            <a:cs typeface="Khmer OS Muol Pali" panose="02000500000000020004" pitchFamily="2" charset="0"/>
          </a:endParaRPr>
        </a:p>
      </xdr:txBody>
    </xdr:sp>
    <xdr:clientData/>
  </xdr:twoCellAnchor>
  <xdr:twoCellAnchor editAs="oneCell">
    <xdr:from>
      <xdr:col>0</xdr:col>
      <xdr:colOff>247978</xdr:colOff>
      <xdr:row>0</xdr:row>
      <xdr:rowOff>45983</xdr:rowOff>
    </xdr:from>
    <xdr:to>
      <xdr:col>1</xdr:col>
      <xdr:colOff>305128</xdr:colOff>
      <xdr:row>2</xdr:row>
      <xdr:rowOff>136963</xdr:rowOff>
    </xdr:to>
    <xdr:pic>
      <xdr:nvPicPr>
        <xdr:cNvPr id="3" name="Graphic 2" descr="Monthly calendar outline">
          <a:extLst>
            <a:ext uri="{FF2B5EF4-FFF2-40B4-BE49-F238E27FC236}">
              <a16:creationId xmlns:a16="http://schemas.microsoft.com/office/drawing/2014/main" id="{C199B4E9-DB8A-4177-B56A-0CE8ADA047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978" y="45983"/>
          <a:ext cx="765810" cy="662480"/>
        </a:xfrm>
        <a:prstGeom prst="rect">
          <a:avLst/>
        </a:prstGeom>
      </xdr:spPr>
    </xdr:pic>
    <xdr:clientData/>
  </xdr:twoCellAnchor>
  <xdr:twoCellAnchor editAs="oneCell">
    <xdr:from>
      <xdr:col>1</xdr:col>
      <xdr:colOff>577068</xdr:colOff>
      <xdr:row>4</xdr:row>
      <xdr:rowOff>34551</xdr:rowOff>
    </xdr:from>
    <xdr:to>
      <xdr:col>3</xdr:col>
      <xdr:colOff>68579</xdr:colOff>
      <xdr:row>5</xdr:row>
      <xdr:rowOff>236220</xdr:rowOff>
    </xdr:to>
    <xdr:pic>
      <xdr:nvPicPr>
        <xdr:cNvPr id="4" name="Picture 3">
          <a:extLst>
            <a:ext uri="{FF2B5EF4-FFF2-40B4-BE49-F238E27FC236}">
              <a16:creationId xmlns:a16="http://schemas.microsoft.com/office/drawing/2014/main" id="{499E20FA-3AE5-459B-9848-4EB330E77A5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285728" y="1185171"/>
          <a:ext cx="908831" cy="742689"/>
        </a:xfrm>
        <a:prstGeom prst="rect">
          <a:avLst/>
        </a:prstGeom>
      </xdr:spPr>
    </xdr:pic>
    <xdr:clientData/>
  </xdr:twoCellAnchor>
  <xdr:twoCellAnchor>
    <xdr:from>
      <xdr:col>1</xdr:col>
      <xdr:colOff>168966</xdr:colOff>
      <xdr:row>10</xdr:row>
      <xdr:rowOff>38100</xdr:rowOff>
    </xdr:from>
    <xdr:to>
      <xdr:col>3</xdr:col>
      <xdr:colOff>327660</xdr:colOff>
      <xdr:row>11</xdr:row>
      <xdr:rowOff>195297</xdr:rowOff>
    </xdr:to>
    <xdr:grpSp>
      <xdr:nvGrpSpPr>
        <xdr:cNvPr id="5" name="Group 4">
          <a:extLst>
            <a:ext uri="{FF2B5EF4-FFF2-40B4-BE49-F238E27FC236}">
              <a16:creationId xmlns:a16="http://schemas.microsoft.com/office/drawing/2014/main" id="{BAE15D3F-8DCE-4CCE-94D5-4B7147246C82}"/>
            </a:ext>
          </a:extLst>
        </xdr:cNvPr>
        <xdr:cNvGrpSpPr/>
      </xdr:nvGrpSpPr>
      <xdr:grpSpPr>
        <a:xfrm>
          <a:off x="949109" y="2469243"/>
          <a:ext cx="1718980" cy="356768"/>
          <a:chOff x="6720840" y="464820"/>
          <a:chExt cx="960120" cy="251460"/>
        </a:xfrm>
      </xdr:grpSpPr>
      <xdr:sp macro="" textlink="">
        <xdr:nvSpPr>
          <xdr:cNvPr id="6" name="Rectangle: Rounded Corners 5">
            <a:extLst>
              <a:ext uri="{FF2B5EF4-FFF2-40B4-BE49-F238E27FC236}">
                <a16:creationId xmlns:a16="http://schemas.microsoft.com/office/drawing/2014/main" id="{69189477-670F-402F-895D-C391F3D80269}"/>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7" name="TextBox 6">
            <a:hlinkClick xmlns:r="http://schemas.openxmlformats.org/officeDocument/2006/relationships" r:id="rId4"/>
            <a:extLst>
              <a:ext uri="{FF2B5EF4-FFF2-40B4-BE49-F238E27FC236}">
                <a16:creationId xmlns:a16="http://schemas.microsoft.com/office/drawing/2014/main" id="{77D9FBB7-73A0-4DF9-A60F-0F6120EBA77B}"/>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Tiktok</a:t>
            </a:r>
          </a:p>
        </xdr:txBody>
      </xdr:sp>
    </xdr:grpSp>
    <xdr:clientData/>
  </xdr:twoCellAnchor>
  <xdr:twoCellAnchor>
    <xdr:from>
      <xdr:col>1</xdr:col>
      <xdr:colOff>199446</xdr:colOff>
      <xdr:row>7</xdr:row>
      <xdr:rowOff>251460</xdr:rowOff>
    </xdr:from>
    <xdr:to>
      <xdr:col>3</xdr:col>
      <xdr:colOff>358140</xdr:colOff>
      <xdr:row>9</xdr:row>
      <xdr:rowOff>119097</xdr:rowOff>
    </xdr:to>
    <xdr:grpSp>
      <xdr:nvGrpSpPr>
        <xdr:cNvPr id="8" name="Group 7">
          <a:extLst>
            <a:ext uri="{FF2B5EF4-FFF2-40B4-BE49-F238E27FC236}">
              <a16:creationId xmlns:a16="http://schemas.microsoft.com/office/drawing/2014/main" id="{F8755144-2A5A-4B10-9056-93B2C4E7F9D6}"/>
            </a:ext>
          </a:extLst>
        </xdr:cNvPr>
        <xdr:cNvGrpSpPr/>
      </xdr:nvGrpSpPr>
      <xdr:grpSpPr>
        <a:xfrm>
          <a:off x="979589" y="2020389"/>
          <a:ext cx="1718980" cy="330279"/>
          <a:chOff x="6720840" y="464820"/>
          <a:chExt cx="960120" cy="251460"/>
        </a:xfrm>
      </xdr:grpSpPr>
      <xdr:sp macro="" textlink="">
        <xdr:nvSpPr>
          <xdr:cNvPr id="9" name="Rectangle: Rounded Corners 8">
            <a:extLst>
              <a:ext uri="{FF2B5EF4-FFF2-40B4-BE49-F238E27FC236}">
                <a16:creationId xmlns:a16="http://schemas.microsoft.com/office/drawing/2014/main" id="{E66A67FE-DED3-4A61-BA57-AC2277714885}"/>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10" name="TextBox 9">
            <a:hlinkClick xmlns:r="http://schemas.openxmlformats.org/officeDocument/2006/relationships" r:id="rId5"/>
            <a:extLst>
              <a:ext uri="{FF2B5EF4-FFF2-40B4-BE49-F238E27FC236}">
                <a16:creationId xmlns:a16="http://schemas.microsoft.com/office/drawing/2014/main" id="{0BCA46EA-F296-476A-B21E-6669E5FFA652}"/>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Telegram</a:t>
            </a:r>
          </a:p>
        </xdr:txBody>
      </xdr:sp>
    </xdr:grpSp>
    <xdr:clientData/>
  </xdr:twoCellAnchor>
  <xdr:twoCellAnchor>
    <xdr:from>
      <xdr:col>4</xdr:col>
      <xdr:colOff>306126</xdr:colOff>
      <xdr:row>7</xdr:row>
      <xdr:rowOff>251460</xdr:rowOff>
    </xdr:from>
    <xdr:to>
      <xdr:col>6</xdr:col>
      <xdr:colOff>464820</xdr:colOff>
      <xdr:row>9</xdr:row>
      <xdr:rowOff>119097</xdr:rowOff>
    </xdr:to>
    <xdr:grpSp>
      <xdr:nvGrpSpPr>
        <xdr:cNvPr id="11" name="Group 10">
          <a:extLst>
            <a:ext uri="{FF2B5EF4-FFF2-40B4-BE49-F238E27FC236}">
              <a16:creationId xmlns:a16="http://schemas.microsoft.com/office/drawing/2014/main" id="{61B9D8FE-DFFB-4E37-A854-3E712FDA5069}"/>
            </a:ext>
          </a:extLst>
        </xdr:cNvPr>
        <xdr:cNvGrpSpPr/>
      </xdr:nvGrpSpPr>
      <xdr:grpSpPr>
        <a:xfrm>
          <a:off x="3426697" y="2020389"/>
          <a:ext cx="1718980" cy="330279"/>
          <a:chOff x="6720840" y="464820"/>
          <a:chExt cx="960120" cy="251460"/>
        </a:xfrm>
      </xdr:grpSpPr>
      <xdr:sp macro="" textlink="">
        <xdr:nvSpPr>
          <xdr:cNvPr id="12" name="Rectangle: Rounded Corners 11">
            <a:extLst>
              <a:ext uri="{FF2B5EF4-FFF2-40B4-BE49-F238E27FC236}">
                <a16:creationId xmlns:a16="http://schemas.microsoft.com/office/drawing/2014/main" id="{C5E80A50-3E9E-4803-BB7D-B0B0C6CBCCAE}"/>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13" name="TextBox 12">
            <a:hlinkClick xmlns:r="http://schemas.openxmlformats.org/officeDocument/2006/relationships" r:id="rId6"/>
            <a:extLst>
              <a:ext uri="{FF2B5EF4-FFF2-40B4-BE49-F238E27FC236}">
                <a16:creationId xmlns:a16="http://schemas.microsoft.com/office/drawing/2014/main" id="{2650A8DB-869E-4D44-B24F-FB35302D93E0}"/>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Youtube</a:t>
            </a:r>
          </a:p>
        </xdr:txBody>
      </xdr:sp>
    </xdr:grpSp>
    <xdr:clientData/>
  </xdr:twoCellAnchor>
  <xdr:twoCellAnchor>
    <xdr:from>
      <xdr:col>4</xdr:col>
      <xdr:colOff>306126</xdr:colOff>
      <xdr:row>10</xdr:row>
      <xdr:rowOff>38100</xdr:rowOff>
    </xdr:from>
    <xdr:to>
      <xdr:col>6</xdr:col>
      <xdr:colOff>464820</xdr:colOff>
      <xdr:row>11</xdr:row>
      <xdr:rowOff>195297</xdr:rowOff>
    </xdr:to>
    <xdr:grpSp>
      <xdr:nvGrpSpPr>
        <xdr:cNvPr id="14" name="Group 13">
          <a:extLst>
            <a:ext uri="{FF2B5EF4-FFF2-40B4-BE49-F238E27FC236}">
              <a16:creationId xmlns:a16="http://schemas.microsoft.com/office/drawing/2014/main" id="{B1562CB3-3341-4EDD-A5E5-2DF57E9C4577}"/>
            </a:ext>
          </a:extLst>
        </xdr:cNvPr>
        <xdr:cNvGrpSpPr/>
      </xdr:nvGrpSpPr>
      <xdr:grpSpPr>
        <a:xfrm>
          <a:off x="3426697" y="2469243"/>
          <a:ext cx="1718980" cy="356768"/>
          <a:chOff x="6720840" y="464820"/>
          <a:chExt cx="960120" cy="251460"/>
        </a:xfrm>
      </xdr:grpSpPr>
      <xdr:sp macro="" textlink="">
        <xdr:nvSpPr>
          <xdr:cNvPr id="15" name="Rectangle: Rounded Corners 14">
            <a:extLst>
              <a:ext uri="{FF2B5EF4-FFF2-40B4-BE49-F238E27FC236}">
                <a16:creationId xmlns:a16="http://schemas.microsoft.com/office/drawing/2014/main" id="{6C22D7B8-70AD-4720-9849-05CCB7CC5AA2}"/>
              </a:ext>
            </a:extLst>
          </xdr:cNvPr>
          <xdr:cNvSpPr/>
        </xdr:nvSpPr>
        <xdr:spPr>
          <a:xfrm>
            <a:off x="6736080" y="495300"/>
            <a:ext cx="944880" cy="205740"/>
          </a:xfrm>
          <a:prstGeom prst="roundRect">
            <a:avLst/>
          </a:prstGeom>
          <a:solidFill>
            <a:schemeClr val="accent6">
              <a:lumMod val="60000"/>
              <a:lumOff val="40000"/>
            </a:schemeClr>
          </a:solidFill>
          <a:ln>
            <a:noFill/>
          </a:ln>
        </xdr:spPr>
        <xdr:style>
          <a:lnRef idx="1">
            <a:schemeClr val="accent3"/>
          </a:lnRef>
          <a:fillRef idx="3">
            <a:schemeClr val="accent3"/>
          </a:fillRef>
          <a:effectRef idx="2">
            <a:schemeClr val="accent3"/>
          </a:effectRef>
          <a:fontRef idx="minor">
            <a:schemeClr val="lt1"/>
          </a:fontRef>
        </xdr:style>
        <xdr:txBody>
          <a:bodyPr vertOverflow="clip" horzOverflow="clip" rtlCol="0" anchor="ctr"/>
          <a:lstStyle/>
          <a:p>
            <a:pPr algn="ctr"/>
            <a:endParaRPr lang="en-US" sz="1400" kern="1200"/>
          </a:p>
        </xdr:txBody>
      </xdr:sp>
      <xdr:sp macro="" textlink="">
        <xdr:nvSpPr>
          <xdr:cNvPr id="16" name="TextBox 15">
            <a:hlinkClick xmlns:r="http://schemas.openxmlformats.org/officeDocument/2006/relationships" r:id="rId7"/>
            <a:extLst>
              <a:ext uri="{FF2B5EF4-FFF2-40B4-BE49-F238E27FC236}">
                <a16:creationId xmlns:a16="http://schemas.microsoft.com/office/drawing/2014/main" id="{90EAB640-A14B-4689-919F-994E2C7BD404}"/>
              </a:ext>
            </a:extLst>
          </xdr:cNvPr>
          <xdr:cNvSpPr txBox="1"/>
        </xdr:nvSpPr>
        <xdr:spPr>
          <a:xfrm>
            <a:off x="6720840" y="464820"/>
            <a:ext cx="8686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kern="1200">
                <a:solidFill>
                  <a:srgbClr val="7030A0"/>
                </a:solidFill>
              </a:rPr>
              <a:t>Facebook</a:t>
            </a:r>
          </a:p>
        </xdr:txBody>
      </xdr:sp>
    </xdr:grpSp>
    <xdr:clientData/>
  </xdr:twoCellAnchor>
  <xdr:twoCellAnchor editAs="oneCell">
    <xdr:from>
      <xdr:col>8</xdr:col>
      <xdr:colOff>304800</xdr:colOff>
      <xdr:row>4</xdr:row>
      <xdr:rowOff>175260</xdr:rowOff>
    </xdr:from>
    <xdr:to>
      <xdr:col>12</xdr:col>
      <xdr:colOff>408663</xdr:colOff>
      <xdr:row>14</xdr:row>
      <xdr:rowOff>123713</xdr:rowOff>
    </xdr:to>
    <xdr:pic>
      <xdr:nvPicPr>
        <xdr:cNvPr id="17" name="Picture 16">
          <a:extLst>
            <a:ext uri="{FF2B5EF4-FFF2-40B4-BE49-F238E27FC236}">
              <a16:creationId xmlns:a16="http://schemas.microsoft.com/office/drawing/2014/main" id="{649858A8-237A-46EE-B217-C93253059A1D}"/>
            </a:ext>
          </a:extLst>
        </xdr:cNvPr>
        <xdr:cNvPicPr>
          <a:picLocks noChangeAspect="1"/>
        </xdr:cNvPicPr>
      </xdr:nvPicPr>
      <xdr:blipFill>
        <a:blip xmlns:r="http://schemas.openxmlformats.org/officeDocument/2006/relationships" r:embed="rId8"/>
        <a:stretch>
          <a:fillRect/>
        </a:stretch>
      </xdr:blipFill>
      <xdr:spPr>
        <a:xfrm>
          <a:off x="5974080" y="1325880"/>
          <a:ext cx="2938503" cy="3103133"/>
        </a:xfrm>
        <a:prstGeom prst="rect">
          <a:avLst/>
        </a:prstGeom>
      </xdr:spPr>
    </xdr:pic>
    <xdr:clientData/>
  </xdr:twoCellAnchor>
  <xdr:twoCellAnchor>
    <xdr:from>
      <xdr:col>0</xdr:col>
      <xdr:colOff>457200</xdr:colOff>
      <xdr:row>13</xdr:row>
      <xdr:rowOff>274320</xdr:rowOff>
    </xdr:from>
    <xdr:to>
      <xdr:col>7</xdr:col>
      <xdr:colOff>205740</xdr:colOff>
      <xdr:row>22</xdr:row>
      <xdr:rowOff>152400</xdr:rowOff>
    </xdr:to>
    <xdr:sp macro="" textlink="">
      <xdr:nvSpPr>
        <xdr:cNvPr id="18" name="Rectangle: Folded Corner 17">
          <a:extLst>
            <a:ext uri="{FF2B5EF4-FFF2-40B4-BE49-F238E27FC236}">
              <a16:creationId xmlns:a16="http://schemas.microsoft.com/office/drawing/2014/main" id="{A69AAFFE-F9FF-42AF-A881-9242DB5F65BB}"/>
            </a:ext>
          </a:extLst>
        </xdr:cNvPr>
        <xdr:cNvSpPr/>
      </xdr:nvSpPr>
      <xdr:spPr>
        <a:xfrm>
          <a:off x="457200" y="4290060"/>
          <a:ext cx="4709160" cy="2484120"/>
        </a:xfrm>
        <a:prstGeom prst="foldedCorner">
          <a:avLst/>
        </a:prstGeom>
        <a:solidFill>
          <a:schemeClr val="accent3">
            <a:lumMod val="20000"/>
            <a:lumOff val="80000"/>
          </a:schemeClr>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km-KH" sz="1200" kern="1200">
              <a:solidFill>
                <a:srgbClr val="002060"/>
              </a:solidFill>
              <a:latin typeface="Khmer OS Siemreap" panose="02000500000000020004" pitchFamily="2" charset="0"/>
              <a:cs typeface="Khmer OS Siemreap" panose="02000500000000020004" pitchFamily="2" charset="0"/>
            </a:rPr>
            <a:t>ចំណាំ៖</a:t>
          </a:r>
          <a:r>
            <a:rPr lang="en-US" sz="1200" kern="1200">
              <a:solidFill>
                <a:srgbClr val="002060"/>
              </a:solidFill>
              <a:latin typeface="Khmer OS Siemreap" panose="02000500000000020004" pitchFamily="2" charset="0"/>
              <a:cs typeface="Khmer OS Siemreap" panose="02000500000000020004" pitchFamily="2" charset="0"/>
            </a:rPr>
            <a:t>🗒</a:t>
          </a:r>
          <a:endParaRPr lang="km-KH" sz="1200" kern="1200">
            <a:solidFill>
              <a:srgbClr val="002060"/>
            </a:solidFill>
            <a:latin typeface="Khmer OS Siemreap" panose="02000500000000020004" pitchFamily="2" charset="0"/>
            <a:cs typeface="Khmer OS Siemreap" panose="02000500000000020004" pitchFamily="2" charset="0"/>
          </a:endParaRPr>
        </a:p>
        <a:p>
          <a:pPr algn="l"/>
          <a:r>
            <a:rPr lang="km-KH" sz="1200" kern="1200">
              <a:solidFill>
                <a:srgbClr val="002060"/>
              </a:solidFill>
              <a:latin typeface="Khmer OS Siemreap" panose="02000500000000020004" pitchFamily="2" charset="0"/>
              <a:cs typeface="Khmer OS Siemreap" panose="02000500000000020004" pitchFamily="2" charset="0"/>
            </a:rPr>
            <a:t>បងប្អូនត្រូវ</a:t>
          </a:r>
          <a:r>
            <a:rPr lang="en-US" sz="1200" kern="1200" baseline="0">
              <a:solidFill>
                <a:srgbClr val="002060"/>
              </a:solidFill>
              <a:latin typeface="Khmer OS Siemreap" panose="02000500000000020004" pitchFamily="2" charset="0"/>
              <a:cs typeface="Khmer OS Siemreap" panose="02000500000000020004" pitchFamily="2" charset="0"/>
            </a:rPr>
            <a:t> Copy Sheet: </a:t>
          </a:r>
          <a:r>
            <a:rPr lang="en-US" sz="1200" b="1" kern="1200" baseline="0">
              <a:solidFill>
                <a:srgbClr val="002060"/>
              </a:solidFill>
              <a:latin typeface="Khmer OS Siemreap" panose="02000500000000020004" pitchFamily="2" charset="0"/>
              <a:cs typeface="Khmer OS Siemreap" panose="02000500000000020004" pitchFamily="2" charset="0"/>
            </a:rPr>
            <a:t>Khmer_Lunar_2025 </a:t>
          </a:r>
          <a:r>
            <a:rPr lang="km-KH" sz="1200" kern="1200" baseline="0">
              <a:solidFill>
                <a:srgbClr val="002060"/>
              </a:solidFill>
              <a:latin typeface="Khmer OS Siemreap" panose="02000500000000020004" pitchFamily="2" charset="0"/>
              <a:cs typeface="Khmer OS Siemreap" panose="02000500000000020004" pitchFamily="2" charset="0"/>
            </a:rPr>
            <a:t>ទៅក្នុង</a:t>
          </a:r>
          <a:r>
            <a:rPr lang="en-US" sz="1200" kern="1200" baseline="0">
              <a:solidFill>
                <a:srgbClr val="002060"/>
              </a:solidFill>
              <a:latin typeface="Khmer OS Siemreap" panose="02000500000000020004" pitchFamily="2" charset="0"/>
              <a:cs typeface="Khmer OS Siemreap" panose="02000500000000020004" pitchFamily="2" charset="0"/>
            </a:rPr>
            <a:t> Excel </a:t>
          </a:r>
          <a:r>
            <a:rPr lang="km-KH" sz="1200" kern="1200" baseline="0">
              <a:solidFill>
                <a:srgbClr val="002060"/>
              </a:solidFill>
              <a:latin typeface="Khmer OS Siemreap" panose="02000500000000020004" pitchFamily="2" charset="0"/>
              <a:cs typeface="Khmer OS Siemreap" panose="02000500000000020004" pitchFamily="2" charset="0"/>
            </a:rPr>
            <a:t>កិច្ចការដែលត្រូវប្រើ។</a:t>
          </a:r>
        </a:p>
        <a:p>
          <a:pPr algn="l"/>
          <a:r>
            <a:rPr lang="en-US" sz="1200" kern="1200" baseline="0">
              <a:solidFill>
                <a:srgbClr val="002060"/>
              </a:solidFill>
              <a:latin typeface="Khmer OS Siemreap" panose="02000500000000020004" pitchFamily="2" charset="0"/>
              <a:cs typeface="Khmer OS Siemreap" panose="02000500000000020004" pitchFamily="2" charset="0"/>
            </a:rPr>
            <a:t>Copy </a:t>
          </a:r>
          <a:r>
            <a:rPr lang="km-KH" sz="1200" kern="1200" baseline="0">
              <a:solidFill>
                <a:srgbClr val="002060"/>
              </a:solidFill>
              <a:latin typeface="Khmer OS Siemreap" panose="02000500000000020004" pitchFamily="2" charset="0"/>
              <a:cs typeface="Khmer OS Siemreap" panose="02000500000000020004" pitchFamily="2" charset="0"/>
            </a:rPr>
            <a:t>ទៅកិច្ចការមួយណា ប្រើបានតែកិច្ចការមួយនោះតែប៉ុណ្ណោះ</a:t>
          </a:r>
        </a:p>
        <a:p>
          <a:pPr algn="l"/>
          <a:r>
            <a:rPr lang="km-KH" sz="1200" kern="1200" baseline="0">
              <a:solidFill>
                <a:srgbClr val="002060"/>
              </a:solidFill>
              <a:latin typeface="Khmer OS Siemreap" panose="02000500000000020004" pitchFamily="2" charset="0"/>
              <a:cs typeface="Khmer OS Siemreap" panose="02000500000000020004" pitchFamily="2" charset="0"/>
            </a:rPr>
            <a:t>ដូចនេះត្រូវ</a:t>
          </a:r>
          <a:r>
            <a:rPr lang="en-US" sz="1200" kern="1200" baseline="0">
              <a:solidFill>
                <a:srgbClr val="002060"/>
              </a:solidFill>
              <a:latin typeface="Khmer OS Siemreap" panose="02000500000000020004" pitchFamily="2" charset="0"/>
              <a:cs typeface="Khmer OS Siemreap" panose="02000500000000020004" pitchFamily="2" charset="0"/>
            </a:rPr>
            <a:t> Copy </a:t>
          </a:r>
          <a:r>
            <a:rPr lang="km-KH" sz="1200" kern="1200" baseline="0">
              <a:solidFill>
                <a:srgbClr val="002060"/>
              </a:solidFill>
              <a:latin typeface="Khmer OS Siemreap" panose="02000500000000020004" pitchFamily="2" charset="0"/>
              <a:cs typeface="Khmer OS Siemreap" panose="02000500000000020004" pitchFamily="2" charset="0"/>
            </a:rPr>
            <a:t>ទៅគ្រប់កិច្ចការដែលត្រូវប្រើ</a:t>
          </a:r>
        </a:p>
        <a:p>
          <a:pPr algn="l"/>
          <a:r>
            <a:rPr lang="km-KH" sz="1200" kern="1200" baseline="0">
              <a:solidFill>
                <a:srgbClr val="002060"/>
              </a:solidFill>
              <a:latin typeface="Khmer OS Siemreap" panose="02000500000000020004" pitchFamily="2" charset="0"/>
              <a:cs typeface="Khmer OS Siemreap" panose="02000500000000020004" pitchFamily="2" charset="0"/>
            </a:rPr>
            <a:t>សូមអរគុណ🙏 </a:t>
          </a:r>
          <a:endParaRPr lang="en-US" sz="1200" kern="1200">
            <a:solidFill>
              <a:srgbClr val="002060"/>
            </a:solidFill>
            <a:latin typeface="Khmer OS Siemreap" panose="02000500000000020004" pitchFamily="2" charset="0"/>
            <a:cs typeface="Khmer OS Siemreap" panose="02000500000000020004" pitchFamily="2"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chea kimlux" id="{12459747-099E-4ABF-B9F3-ABDDB2ABCCE3}" userId="35a943b4dc97fd39"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E54440-2BF9-469D-B6BD-F32FE7A05643}" name="Khmerdate20223" displayName="Khmerdate20223" ref="AB2:AH381" totalsRowShown="0" headerRowDxfId="5">
  <tableColumns count="7">
    <tableColumn id="1" xr3:uid="{347D1E46-9FF6-4A07-B737-D98EC7A69D47}" name="Date" dataDxfId="4"/>
    <tableColumn id="2" xr3:uid="{E6140CE1-6354-4D72-8121-F70A9C804D18}" name="ប្រតិទិនចន្ទគតិ2023" dataDxfId="3"/>
    <tableColumn id="3" xr3:uid="{EC0E2B72-CF37-48E8-B196-1D3AF5854630}" name="ប្រតិទិនចន្ទគតិ១" dataDxfId="2">
      <calculatedColumnFormula>Khmerdate20223[[#This Row],[Date]]</calculatedColumnFormula>
    </tableColumn>
    <tableColumn id="5" xr3:uid="{C9235E3A-4C41-4469-B3F8-CE07DAE5ADFF}" name="ប្រតិទិនចន្ទគតិ២"/>
    <tableColumn id="7" xr3:uid="{45433627-36CB-4B27-A252-785CCFBCBB79}" name="ប្រតិទិនចន្ទគតិ៣" dataDxfId="1"/>
    <tableColumn id="6" xr3:uid="{8AB8A38A-4DD9-423C-BC23-059DF8590319}" name="ប្រតិទិនចន្ទគតិ៤"/>
    <tableColumn id="4" xr3:uid="{7A1C44C2-1DDD-482E-B1D9-C91A254D6051}" name="ប្រតិទិនចន្ទគតិ៥"/>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I1950" dT="2023-09-22T04:10:22.13" personId="{12459747-099E-4ABF-B9F3-ABDDB2ABCCE3}" id="{F244EBA3-DE53-4C18-BB59-3F33AF23EAA1}">
    <text>CUSTOMER REQ SHOWROOM ON 22/9/23</text>
  </threadedComment>
  <threadedComment ref="AI1952" dT="2023-09-22T04:12:37.43" personId="{12459747-099E-4ABF-B9F3-ABDDB2ABCCE3}" id="{6E8455CC-83C9-4739-9EEF-5FC5E953B787}">
    <text>CUSTMER REQ SHOWROOM ON 22/9/23</text>
  </threadedComment>
  <threadedComment ref="AI1953" dT="2023-09-22T04:07:15.20" personId="{12459747-099E-4ABF-B9F3-ABDDB2ABCCE3}" id="{917E36B7-9B79-4425-8697-1F85C6D8598C}">
    <text>customer req showroom on 22/9/23</text>
  </threadedComment>
  <threadedComment ref="AI1960" dT="2023-10-19T06:47:46.29" personId="{12459747-099E-4ABF-B9F3-ABDDB2ABCCE3}" id="{740E26E0-BD30-48EA-8C3A-9F556437394B}">
    <text>START REQ SR 19/10/23</text>
  </threadedComment>
  <threadedComment ref="AI1991" dT="2023-09-22T04:14:29.66" personId="{12459747-099E-4ABF-B9F3-ABDDB2ABCCE3}" id="{E0237B60-51A4-41E1-ACD5-7B62BBD8BF59}">
    <text>CUSTMER REQ SHOWROOM ON 22/9/23</text>
  </threadedComment>
  <threadedComment ref="V2032" dT="2023-09-22T04:17:11.47" personId="{12459747-099E-4ABF-B9F3-ABDDB2ABCCE3}" id="{E836FB25-7229-4F4C-808F-1E8D13BF6851}">
    <text>CUSTMER REQ SHOWROOM ON 22/9/23</text>
  </threadedComment>
  <threadedComment ref="AI2032" dT="2023-09-22T04:18:37.70" personId="{12459747-099E-4ABF-B9F3-ABDDB2ABCCE3}" id="{0C151A77-0EA4-4B8D-A02A-47EB3FCC6971}">
    <text>CUSTMER REQ SHOWROOM ON 22/9/23</text>
  </threadedComment>
  <threadedComment ref="AI2096" dT="2023-10-03T07:17:37.84" personId="{12459747-099E-4ABF-B9F3-ABDDB2ABCCE3}" id="{47E4EF96-BC83-48FA-A943-2C8609370D63}">
    <text>not yet req SR</text>
  </threadedComment>
  <threadedComment ref="AI2096" dT="2023-11-14T03:35:29.29" personId="{12459747-099E-4ABF-B9F3-ABDDB2ABCCE3}" id="{E7E770BC-DF7F-4882-9444-98E700D44E45}" parentId="{47E4EF96-BC83-48FA-A943-2C8609370D63}">
    <text>just req SR go to MUMG 11-14-23</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r%20Peng%20Chamroeun/AppData/Roaming/Microsoft/2%20BJC/081%20GLSW951006" TargetMode="External"/><Relationship Id="rId13" Type="http://schemas.openxmlformats.org/officeDocument/2006/relationships/drawing" Target="../drawings/drawing1.xml"/><Relationship Id="rId3" Type="http://schemas.openxmlformats.org/officeDocument/2006/relationships/hyperlink" Target="../../Mr%20Peng%20Chamroeun/AppData/Roaming/Microsoft/Case%20Advance/OFF%20SET/083%20OMPLCHKHOMP004-20.xlsx" TargetMode="External"/><Relationship Id="rId7" Type="http://schemas.openxmlformats.org/officeDocument/2006/relationships/hyperlink" Target="../../Mr%20Peng%20Chamroeun/AppData/Roaming/Microsoft/2%20BJC/087%20GMD20HPHPNH0011" TargetMode="External"/><Relationship Id="rId12" Type="http://schemas.openxmlformats.org/officeDocument/2006/relationships/printerSettings" Target="../printerSettings/printerSettings2.bin"/><Relationship Id="rId2" Type="http://schemas.openxmlformats.org/officeDocument/2006/relationships/hyperlink" Target="../../Mr%20Peng%20Chamroeun/AppData/Roaming/Microsoft/Case%20Advance/OFF%20SET/082%20GLSW951005.xlsx" TargetMode="External"/><Relationship Id="rId16" Type="http://schemas.microsoft.com/office/2017/10/relationships/threadedComment" Target="../threadedComments/threadedComment1.xml"/><Relationship Id="rId1" Type="http://schemas.openxmlformats.org/officeDocument/2006/relationships/hyperlink" Target="../../Mr%20Peng%20Chamroeun/AppData/Roaming/Microsoft/Case%20Advance/OFF%20SET/081%20GLSW951006.xlsx" TargetMode="External"/><Relationship Id="rId6" Type="http://schemas.openxmlformats.org/officeDocument/2006/relationships/hyperlink" Target="../../Mr%20Peng%20Chamroeun/AppData/Roaming/Microsoft/2%20BJC/&#8203;086&#8203;%20OMPLCHKHOMP019-20" TargetMode="External"/><Relationship Id="rId11" Type="http://schemas.openxmlformats.org/officeDocument/2006/relationships/hyperlink" Target="../../Mr%20Peng%20Chamroeun/AppData/Roaming/Microsoft/2%20BJC/084%20GLSN0040049" TargetMode="External"/><Relationship Id="rId5" Type="http://schemas.openxmlformats.org/officeDocument/2006/relationships/hyperlink" Target="../../Mr%20Peng%20Chamroeun/AppData/Roaming/Microsoft/2%20BJC/085&#8203;&#8203;%20OMPLCHKHOMP018-20" TargetMode="External"/><Relationship Id="rId15" Type="http://schemas.openxmlformats.org/officeDocument/2006/relationships/comments" Target="../comments1.xml"/><Relationship Id="rId10" Type="http://schemas.openxmlformats.org/officeDocument/2006/relationships/hyperlink" Target="../../Mr%20Peng%20Chamroeun/AppData/Roaming/Microsoft/2%20BJC/083%20OMPLCHKHOMP004-20" TargetMode="External"/><Relationship Id="rId4" Type="http://schemas.openxmlformats.org/officeDocument/2006/relationships/hyperlink" Target="../../Mr%20Peng%20Chamroeun/AppData/Roaming/Microsoft/Case%20Advance/OFF%20SET/084%20GLSN004009.xlsx" TargetMode="External"/><Relationship Id="rId9" Type="http://schemas.openxmlformats.org/officeDocument/2006/relationships/hyperlink" Target="../../Mr%20Peng%20Chamroeun/AppData/Roaming/Microsoft/2%20BJC/082%20GLSW951005" TargetMode="External"/><Relationship Id="rId1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hyperlink" Target="https://goo.gl/maps/ouoZkPz82XjHmWDGA" TargetMode="External"/><Relationship Id="rId13" Type="http://schemas.openxmlformats.org/officeDocument/2006/relationships/hyperlink" Target="https://goo.gl/maps/8kzFf2rzbnV62TrP9" TargetMode="External"/><Relationship Id="rId18" Type="http://schemas.openxmlformats.org/officeDocument/2006/relationships/hyperlink" Target="https://goo.gl/maps/C4z9v8FtuqgFFec99" TargetMode="External"/><Relationship Id="rId26" Type="http://schemas.openxmlformats.org/officeDocument/2006/relationships/hyperlink" Target="https://maps.app.goo.gl/E37xdAE6zNHZAV8N6" TargetMode="External"/><Relationship Id="rId3" Type="http://schemas.openxmlformats.org/officeDocument/2006/relationships/hyperlink" Target="https://goo.gl/maps/GsWi5kemXdEiPexB8" TargetMode="External"/><Relationship Id="rId21" Type="http://schemas.openxmlformats.org/officeDocument/2006/relationships/hyperlink" Target="https://maps.app.goo.gl/hCthUNhcGJ2oueUo9" TargetMode="External"/><Relationship Id="rId7" Type="http://schemas.openxmlformats.org/officeDocument/2006/relationships/hyperlink" Target="https://maps.app.goo.gl/WwG1EZtfFrMAoght5" TargetMode="External"/><Relationship Id="rId12" Type="http://schemas.openxmlformats.org/officeDocument/2006/relationships/hyperlink" Target="https://goo.gl/maps/jLNButnqVMBP8jjv7" TargetMode="External"/><Relationship Id="rId17" Type="http://schemas.openxmlformats.org/officeDocument/2006/relationships/hyperlink" Target="https://maps.app.goo.gl/2AHTffvCQvkcsz717?g_st=iw" TargetMode="External"/><Relationship Id="rId25" Type="http://schemas.openxmlformats.org/officeDocument/2006/relationships/hyperlink" Target="https://maps.app.goo.gl/mwwdRx38mvW6sEPr9?g_st=it" TargetMode="External"/><Relationship Id="rId2" Type="http://schemas.openxmlformats.org/officeDocument/2006/relationships/hyperlink" Target="https://www.google.com/maps/place/BYD+Cambodia/@11.592152,104.9271733,17z/data=!3m1!4b1!4m5!3m4!1s0x310953d2e3fa102f:0x97e2f0815633bd99!8m2!3d11.592152!4d104.929362" TargetMode="External"/><Relationship Id="rId16" Type="http://schemas.openxmlformats.org/officeDocument/2006/relationships/hyperlink" Target="https://maps.app.goo.gl/ABRHiNiopnSau79k7?g_st=ic" TargetMode="External"/><Relationship Id="rId20" Type="http://schemas.openxmlformats.org/officeDocument/2006/relationships/hyperlink" Target="https://maps.app.goo.gl/dkmB55bm1iVRYJq18" TargetMode="External"/><Relationship Id="rId1" Type="http://schemas.openxmlformats.org/officeDocument/2006/relationships/hyperlink" Target="https://goo.gl/maps/ZEhCkybUEZNWhaRu9" TargetMode="External"/><Relationship Id="rId6" Type="http://schemas.openxmlformats.org/officeDocument/2006/relationships/hyperlink" Target="https://goo.gl/maps/AVkupG886tzbLokn9" TargetMode="External"/><Relationship Id="rId11" Type="http://schemas.openxmlformats.org/officeDocument/2006/relationships/hyperlink" Target="https://goo.gl/maps/xW9ZSXgkPh82TjKdA" TargetMode="External"/><Relationship Id="rId24" Type="http://schemas.openxmlformats.org/officeDocument/2006/relationships/hyperlink" Target="https://maps.app.goo.gl/GxewmX7TLuHwQp4J7" TargetMode="External"/><Relationship Id="rId5" Type="http://schemas.openxmlformats.org/officeDocument/2006/relationships/hyperlink" Target="https://goo.gl/maps/ouoZkPz82XjHmWDGA" TargetMode="External"/><Relationship Id="rId15" Type="http://schemas.openxmlformats.org/officeDocument/2006/relationships/hyperlink" Target="https://maps.app.goo.gl/qWxmFSEBYSm1igPZ6?g_st=ic" TargetMode="External"/><Relationship Id="rId23" Type="http://schemas.openxmlformats.org/officeDocument/2006/relationships/hyperlink" Target="https://maps.app.goo.gl/BZAQoUEDz9qhgL6r5?g_st=com.google.maps.preview.copy" TargetMode="External"/><Relationship Id="rId28" Type="http://schemas.openxmlformats.org/officeDocument/2006/relationships/table" Target="../tables/table1.xml"/><Relationship Id="rId10" Type="http://schemas.openxmlformats.org/officeDocument/2006/relationships/hyperlink" Target="https://goo.gl/maps/z8V4So5cupHNnQ9f7" TargetMode="External"/><Relationship Id="rId19" Type="http://schemas.openxmlformats.org/officeDocument/2006/relationships/hyperlink" Target="https://maps.app.goo.gl/XwfSQjLuqGuvYayo7" TargetMode="External"/><Relationship Id="rId4" Type="http://schemas.openxmlformats.org/officeDocument/2006/relationships/hyperlink" Target="https://goo.gl/maps/gSiPqu5BXT1h24HJ6" TargetMode="External"/><Relationship Id="rId9" Type="http://schemas.openxmlformats.org/officeDocument/2006/relationships/hyperlink" Target="https://maps.app.goo.gl/WDK2AHt4NY2gJxNs8" TargetMode="External"/><Relationship Id="rId14" Type="http://schemas.openxmlformats.org/officeDocument/2006/relationships/hyperlink" Target="https://maps.app.goo.gl/2tvM1nyFbV613EuVA" TargetMode="External"/><Relationship Id="rId22" Type="http://schemas.openxmlformats.org/officeDocument/2006/relationships/hyperlink" Target="https://maps.app.goo.gl/to7J1sGd39dUyS2S6?g_st=atm" TargetMode="External"/><Relationship Id="rId27"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tabColor rgb="FFFFFF00"/>
  </sheetPr>
  <dimension ref="A1:R27"/>
  <sheetViews>
    <sheetView view="pageBreakPreview" topLeftCell="A2" zoomScale="70" zoomScaleNormal="100" zoomScaleSheetLayoutView="70" workbookViewId="0">
      <selection activeCell="B5" sqref="B5"/>
    </sheetView>
  </sheetViews>
  <sheetFormatPr baseColWidth="10" defaultColWidth="8.83203125" defaultRowHeight="15"/>
  <cols>
    <col min="1" max="1" width="26.5" customWidth="1"/>
    <col min="2" max="2" width="69.5" customWidth="1"/>
    <col min="3" max="3" width="25.5" customWidth="1"/>
    <col min="4" max="4" width="23" customWidth="1"/>
    <col min="5" max="5" width="11.5" customWidth="1"/>
    <col min="6" max="6" width="23.5" customWidth="1"/>
    <col min="7" max="7" width="12.5" customWidth="1"/>
    <col min="8" max="8" width="10.5" customWidth="1"/>
  </cols>
  <sheetData>
    <row r="1" spans="1:18" ht="62">
      <c r="A1" s="6" t="s">
        <v>615</v>
      </c>
    </row>
    <row r="2" spans="1:18" ht="99" customHeight="1">
      <c r="A2" s="212" t="str">
        <f>VLOOKUP($B$4,DATA!A3:AH4999,4,FALSE)&amp;" CLEARANCE WORKSHEET"</f>
        <v>IMPORT CLEARANCE WORKSHEET</v>
      </c>
      <c r="B2" s="212"/>
      <c r="C2" s="212"/>
      <c r="D2" s="212"/>
      <c r="E2" s="212"/>
      <c r="F2" s="212"/>
    </row>
    <row r="3" spans="1:18" ht="72.75" customHeight="1">
      <c r="A3" s="21"/>
      <c r="B3" s="21"/>
      <c r="C3" s="21"/>
      <c r="D3" s="21"/>
      <c r="E3" s="21"/>
      <c r="F3" s="21"/>
      <c r="H3" s="17"/>
    </row>
    <row r="4" spans="1:18" ht="74.25" customHeight="1">
      <c r="A4" s="8" t="s">
        <v>616</v>
      </c>
      <c r="B4" s="110" t="s">
        <v>14575</v>
      </c>
      <c r="C4" s="7" t="s">
        <v>624</v>
      </c>
      <c r="D4" s="213" t="str">
        <f>VLOOKUP($B$4,DATA!A3:AH4999,5,FALSE)</f>
        <v>SEA-FCL</v>
      </c>
      <c r="E4" s="213"/>
      <c r="F4" s="213"/>
      <c r="G4" s="109" t="str">
        <f>VLOOKUP($B$4,DATA!$A$3:$AH$4999,2,FALSE)&amp;", "&amp;G12&amp;" , "&amp;H12&amp;" , "&amp;I12&amp;" , "&amp;J12</f>
        <v xml:space="preserve">TH25080681,  ,  ,  , </v>
      </c>
      <c r="H4" s="52"/>
      <c r="I4" s="52"/>
      <c r="O4" s="96">
        <v>44438</v>
      </c>
      <c r="P4" s="96">
        <v>44480</v>
      </c>
      <c r="Q4">
        <f>P4-O4</f>
        <v>42</v>
      </c>
      <c r="R4">
        <f>Q4*6.6</f>
        <v>277.2</v>
      </c>
    </row>
    <row r="5" spans="1:18" ht="58.5" customHeight="1">
      <c r="A5" s="8" t="s">
        <v>6341</v>
      </c>
      <c r="B5" s="9">
        <f>VLOOKUP($B$4,DATA!$A$3:$AH$4999,34,FALSE)</f>
        <v>45902</v>
      </c>
      <c r="C5" s="8" t="s">
        <v>625</v>
      </c>
      <c r="D5" s="10" t="str">
        <f>VLOOKUP($B$4,DATA!$A$3:$AH$4999,20,FALSE)</f>
        <v>SHV11</v>
      </c>
      <c r="E5" s="10"/>
      <c r="F5" s="10"/>
      <c r="G5">
        <v>1</v>
      </c>
      <c r="H5">
        <v>2</v>
      </c>
      <c r="I5">
        <v>3</v>
      </c>
      <c r="J5">
        <v>4</v>
      </c>
      <c r="K5">
        <v>5</v>
      </c>
    </row>
    <row r="6" spans="1:18" ht="29">
      <c r="A6" s="8"/>
      <c r="B6" s="10"/>
      <c r="C6" s="8"/>
      <c r="D6" s="10"/>
      <c r="E6" s="10"/>
      <c r="F6" s="10"/>
      <c r="G6" s="4" t="str">
        <f>$B$4&amp;""&amp;G5</f>
        <v>252071</v>
      </c>
      <c r="H6" s="4" t="str">
        <f>IFERROR($B$4&amp;""&amp;H5,"")</f>
        <v>252072</v>
      </c>
      <c r="I6" s="4" t="str">
        <f>$B$4&amp;""&amp;I5</f>
        <v>252073</v>
      </c>
      <c r="J6" s="4" t="str">
        <f>$B$4&amp;""&amp;J5</f>
        <v>252074</v>
      </c>
      <c r="K6" s="4" t="str">
        <f>$B$4&amp;""&amp;K5</f>
        <v>252075</v>
      </c>
    </row>
    <row r="7" spans="1:18" ht="165" customHeight="1">
      <c r="A7" s="8" t="s">
        <v>617</v>
      </c>
      <c r="B7" s="47" t="str">
        <f>VLOOKUP($B$4,DATA!$A$3:$AH$4999,33,FALSE)&amp;" 
"&amp;G7&amp;" 
"&amp;H7&amp;" 
"&amp;I7&amp;" 
"&amp;J7&amp;"
"&amp;K7&amp;""</f>
        <v xml:space="preserve">C. PLUS STEEL 
</v>
      </c>
      <c r="C7" s="8" t="s">
        <v>626</v>
      </c>
      <c r="D7" s="10" t="str">
        <f>VLOOKUP($B$4,DATA!$A$3:$AH$4999,19,FALSE)</f>
        <v>TH</v>
      </c>
      <c r="E7" s="10"/>
      <c r="F7" s="10"/>
      <c r="G7" t="str">
        <f>IFERROR(VLOOKUP(G6,DATA!$A$3:$AH$4999,33,FALSE),"")</f>
        <v/>
      </c>
      <c r="H7" t="str">
        <f>IFERROR(VLOOKUP(H6,DATA!$A$3:$AH$4999,33,FALSE),"")</f>
        <v/>
      </c>
      <c r="I7" t="str">
        <f>IFERROR(VLOOKUP(I6,DATA!$A$3:$AH$4999,33,FALSE),"")</f>
        <v/>
      </c>
      <c r="J7" t="str">
        <f>IFERROR(VLOOKUP(J6,DATA!$A$3:$AH$4999,33,FALSE),"")</f>
        <v/>
      </c>
      <c r="K7" t="str">
        <f>IFERROR(VLOOKUP(K6,DATA!$A$3:$AH$4999,33,FALSE),"")</f>
        <v/>
      </c>
    </row>
    <row r="8" spans="1:18" ht="58.5" customHeight="1">
      <c r="A8" s="8" t="s">
        <v>618</v>
      </c>
      <c r="B8" s="10" t="str">
        <f>VLOOKUP($B$4,DATA!$A$3:$AH$4999,6,FALSE)</f>
        <v>OISHI F&amp;B (CAMBODIA) CO.,LTD</v>
      </c>
      <c r="C8" s="8" t="s">
        <v>626</v>
      </c>
      <c r="D8" s="10" t="s">
        <v>639</v>
      </c>
      <c r="E8" s="10"/>
      <c r="F8" s="10"/>
    </row>
    <row r="9" spans="1:18" ht="84.75" customHeight="1">
      <c r="A9" s="8"/>
      <c r="B9" s="10" t="str">
        <f>VLOOKUP($B$4,DATA!$A$3:$AH$4999,19,FALSE)</f>
        <v>TH</v>
      </c>
      <c r="C9" s="8" t="s">
        <v>627</v>
      </c>
      <c r="D9" s="20" t="str">
        <f>VLOOKUP($B$4,DATA!$A$3:$AH$4999,22,FALSE)</f>
        <v>SISEZ</v>
      </c>
      <c r="E9" s="8" t="s">
        <v>625</v>
      </c>
      <c r="F9" s="10" t="str">
        <f>VLOOKUP($B$4,DATA!$A$3:$AH$4999,20,FALSE)</f>
        <v>SHV11</v>
      </c>
    </row>
    <row r="10" spans="1:18" ht="58.5" customHeight="1">
      <c r="A10" s="7" t="s">
        <v>619</v>
      </c>
      <c r="B10" s="9">
        <f>VLOOKUP($B$4,DATA!$A$3:$AH$4999,17,FALSE)</f>
        <v>45900</v>
      </c>
      <c r="C10" s="7" t="s">
        <v>628</v>
      </c>
      <c r="D10" s="10"/>
      <c r="E10" s="10"/>
      <c r="F10" s="10"/>
    </row>
    <row r="11" spans="1:18" ht="58.5" customHeight="1">
      <c r="A11" s="7" t="s">
        <v>620</v>
      </c>
      <c r="B11" s="10"/>
      <c r="C11" s="8"/>
      <c r="D11" s="10"/>
      <c r="E11" s="10"/>
      <c r="F11" s="10"/>
    </row>
    <row r="12" spans="1:18" ht="83.25" customHeight="1">
      <c r="A12" s="8" t="s">
        <v>621</v>
      </c>
      <c r="B12" s="48" t="str">
        <f>VLOOKUP($B$4,DATA!$A$3:$AH$4999,2,FALSE)&amp;" 
"&amp;G12&amp;" 
"&amp;H12&amp;" 
"&amp;I12&amp;" 
"&amp;J12&amp;"
"&amp;K12</f>
        <v xml:space="preserve">TH25080681 
</v>
      </c>
      <c r="C12" s="8" t="s">
        <v>629</v>
      </c>
      <c r="D12" s="10" t="str">
        <f>VLOOKUP($B$4,DATA!$A$3:$AH$4999,8,FALSE)</f>
        <v>139_2567</v>
      </c>
      <c r="E12" s="10"/>
      <c r="F12" s="10"/>
      <c r="G12" s="83" t="str">
        <f>IFERROR(VLOOKUP(G6,DATA!$A$3:$AH$4999,2,FALSE),"")</f>
        <v/>
      </c>
      <c r="H12" s="83" t="str">
        <f>IFERROR(VLOOKUP(H6,DATA!$A$3:$AH$4999,2,FALSE),"")</f>
        <v/>
      </c>
      <c r="I12" s="83" t="str">
        <f>IFERROR(VLOOKUP(I6,DATA!$A$3:$AH$4999,2,FALSE),"")</f>
        <v/>
      </c>
      <c r="J12" s="83" t="str">
        <f>IFERROR(VLOOKUP(J6,DATA!$A$3:$AH$4999,2,FALSE),"")</f>
        <v/>
      </c>
      <c r="K12" s="83" t="str">
        <f>IFERROR(VLOOKUP(K6,DATA!$A$3:$AH$4999,2,FALSE),"")</f>
        <v/>
      </c>
    </row>
    <row r="13" spans="1:18" ht="201" customHeight="1">
      <c r="A13" s="7" t="s">
        <v>622</v>
      </c>
      <c r="B13" s="50" t="str">
        <f>VLOOKUP($B$4,DATA!$A$3:$AH$4999,28,FALSE)&amp;"
"&amp;G13&amp;"
"
&amp;H13&amp;"
"
&amp;I13&amp;"
"
&amp;J13&amp;"
"
&amp;K13</f>
        <v xml:space="preserve">1.FFAU4696414-40HC, 2.NBYU9027180-40HC, 3.NBYU8114320-40HC, 4.NBYU8158334-40HC, 5.NBYU8170200-40HC
</v>
      </c>
      <c r="C13" s="7" t="s">
        <v>630</v>
      </c>
      <c r="D13" s="213"/>
      <c r="E13" s="213"/>
      <c r="F13" s="213"/>
      <c r="G13" t="str">
        <f>IFERROR(VLOOKUP(G6,DATA!$A$3:$AH$4999,28,FALSE),"")</f>
        <v/>
      </c>
      <c r="H13" t="str">
        <f>IFERROR(VLOOKUP(H6,DATA!$A$3:$AH$4999,28,FALSE),"")</f>
        <v/>
      </c>
      <c r="I13" t="str">
        <f>IFERROR(VLOOKUP(I6,DATA!$A$3:$AH$4999,28,FALSE),"")</f>
        <v/>
      </c>
      <c r="J13" t="str">
        <f>IFERROR(VLOOKUP(J6,DATA!$A$3:$AH$4999,28,FALSE),"")</f>
        <v/>
      </c>
      <c r="K13" t="str">
        <f>IFERROR(VLOOKUP(K6,DATA!$A$3:$AH$4999,28,FALSE),"")</f>
        <v/>
      </c>
    </row>
    <row r="14" spans="1:18" ht="47.75" customHeight="1">
      <c r="A14" s="8" t="s">
        <v>640</v>
      </c>
      <c r="B14" s="10" t="str">
        <f>VLOOKUP($B$4,DATA!$A$3:$AH$4999,30,FALSE)&amp;"x20', "&amp;VLOOKUP($B$4,DATA!$A$3:$AH$4999,31,FALSE)&amp;"x40'"</f>
        <v>0x20', 5x40'</v>
      </c>
      <c r="C14" s="8" t="s">
        <v>631</v>
      </c>
      <c r="D14" s="10" t="str">
        <f>VLOOKUP($B$4,DATA!$A$3:$AH$4999,16,FALSE)</f>
        <v>XIN MING ZHOU 98 V.2511S</v>
      </c>
      <c r="E14" s="10"/>
      <c r="F14" s="10"/>
    </row>
    <row r="15" spans="1:18" ht="82.5" customHeight="1">
      <c r="A15" s="8" t="s">
        <v>623</v>
      </c>
      <c r="B15" s="22"/>
      <c r="C15" s="8" t="s">
        <v>632</v>
      </c>
      <c r="D15" s="214" t="str">
        <f>VLOOKUP($B$4,DATA!$A$3:$AH$4999,23,FALSE)&amp;", "&amp;VLOOKUP($B$4,DATA!$A$3:$AH$4999,29,FALSE)&amp;" 
"&amp;G15&amp;"
"&amp;H15&amp;"
"&amp;I15</f>
        <v xml:space="preserve">UTILITY PIPING SUPPLY FOR MACHINERY, MEP WORKS MATERIAL, 76 PACKAGES 
</v>
      </c>
      <c r="E15" s="214"/>
      <c r="F15" s="214"/>
      <c r="G15" t="str">
        <f>IFERROR(VLOOKUP(G6,DATA!$A$3:$AH$4999,23,FALSE)&amp;", "&amp;VLOOKUP(G6,DATA!$A$3:$AH$4999,29,FALSE),"")</f>
        <v/>
      </c>
      <c r="H15" t="str">
        <f>IFERROR(VLOOKUP(H6,DATA!$A$3:$AH$4999,23,FALSE)&amp;", "&amp;VLOOKUP(H6,DATA!$A$3:$AH$4999,29,FALSE),"")</f>
        <v/>
      </c>
      <c r="I15" t="str">
        <f>IFERROR(VLOOKUP(I6,DATA!$A$3:$AH$4999,23,FALSE)&amp;", "&amp;VLOOKUP(I6,DATA!$A$3:$AH$4999,29,FALSE),"")</f>
        <v/>
      </c>
      <c r="J15" t="str">
        <f>IFERROR(VLOOKUP(J6,DATA!$A$3:$AH$4999,23,FALSE)&amp;", "&amp;VLOOKUP(J6,DATA!$A$3:$AH$4999,29,FALSE),"")</f>
        <v/>
      </c>
      <c r="K15" t="str">
        <f>IFERROR(VLOOKUP(K6,DATA!$A$3:$AH$4999,23,FALSE)&amp;", "&amp;VLOOKUP(K6,DATA!$A$3:$AH$4999,29,FALSE),"")</f>
        <v/>
      </c>
    </row>
    <row r="16" spans="1:18" ht="27" customHeight="1">
      <c r="A16" s="11"/>
      <c r="B16" s="22"/>
      <c r="C16" s="8"/>
      <c r="D16" s="13"/>
      <c r="E16" s="13"/>
      <c r="F16" s="13"/>
    </row>
    <row r="17" spans="1:6" ht="108.75" customHeight="1">
      <c r="A17" s="12"/>
      <c r="B17" s="10"/>
      <c r="C17" s="7" t="s">
        <v>633</v>
      </c>
      <c r="D17" s="215" t="e">
        <f>VLOOKUP($B$4,DATA!$A$3:$AH$4999,35,FALSE)</f>
        <v>#REF!</v>
      </c>
      <c r="E17" s="215"/>
      <c r="F17" s="215"/>
    </row>
    <row r="18" spans="1:6" ht="36" customHeight="1">
      <c r="A18" s="12"/>
      <c r="B18" s="10"/>
      <c r="C18" s="7"/>
      <c r="D18" s="10"/>
      <c r="E18" s="10"/>
      <c r="F18" s="10"/>
    </row>
    <row r="19" spans="1:6" ht="29">
      <c r="A19" s="16" t="s">
        <v>643</v>
      </c>
      <c r="B19" s="14"/>
      <c r="C19" s="14"/>
      <c r="D19" s="14"/>
      <c r="E19" s="14"/>
      <c r="F19" s="14"/>
    </row>
    <row r="20" spans="1:6" ht="45.75" customHeight="1">
      <c r="A20" s="5"/>
      <c r="B20" s="15"/>
      <c r="C20" s="15"/>
      <c r="D20" s="15"/>
      <c r="E20" s="15"/>
      <c r="F20" s="15"/>
    </row>
    <row r="21" spans="1:6" ht="45.75" customHeight="1">
      <c r="A21" s="5"/>
      <c r="B21" s="15"/>
      <c r="C21" s="15"/>
      <c r="D21" s="15"/>
      <c r="E21" s="15"/>
      <c r="F21" s="15"/>
    </row>
    <row r="22" spans="1:6" ht="45.75" customHeight="1">
      <c r="A22" s="5"/>
      <c r="B22" s="15"/>
      <c r="C22" s="15"/>
      <c r="D22" s="15"/>
      <c r="E22" s="15"/>
      <c r="F22" s="15"/>
    </row>
    <row r="23" spans="1:6" ht="45.75" customHeight="1">
      <c r="A23" s="5"/>
      <c r="B23" s="15"/>
      <c r="C23" s="15"/>
      <c r="D23" s="15"/>
      <c r="E23" s="15"/>
      <c r="F23" s="15"/>
    </row>
    <row r="24" spans="1:6" ht="45.75" customHeight="1">
      <c r="A24" s="5"/>
      <c r="B24" s="15"/>
      <c r="C24" s="15"/>
      <c r="D24" s="15"/>
      <c r="E24" s="15"/>
      <c r="F24" s="15"/>
    </row>
    <row r="25" spans="1:6" ht="45.75" customHeight="1">
      <c r="A25" s="5"/>
      <c r="B25" s="15"/>
      <c r="C25" s="15"/>
      <c r="D25" s="15"/>
      <c r="E25" s="15"/>
      <c r="F25" s="15"/>
    </row>
    <row r="26" spans="1:6" ht="45.75" customHeight="1">
      <c r="A26" s="5"/>
      <c r="B26" s="15"/>
      <c r="C26" s="15"/>
      <c r="D26" s="15"/>
      <c r="E26" s="15"/>
      <c r="F26" s="15"/>
    </row>
    <row r="27" spans="1:6" ht="26">
      <c r="A27" s="5"/>
      <c r="B27" s="5"/>
      <c r="C27" s="5"/>
      <c r="D27" s="5"/>
      <c r="E27" s="5"/>
      <c r="F27" s="5"/>
    </row>
  </sheetData>
  <mergeCells count="5">
    <mergeCell ref="A2:F2"/>
    <mergeCell ref="D4:F4"/>
    <mergeCell ref="D13:F13"/>
    <mergeCell ref="D15:F15"/>
    <mergeCell ref="D17:F17"/>
  </mergeCells>
  <pageMargins left="0.7" right="0.7" top="0.45" bottom="0.49" header="0.3" footer="0.3"/>
  <pageSetup paperSize="9" scale="46"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92D050"/>
    <pageSetUpPr fitToPage="1"/>
  </sheetPr>
  <dimension ref="A1:BD2551"/>
  <sheetViews>
    <sheetView tabSelected="1" zoomScaleNormal="100" workbookViewId="0">
      <pane xSplit="7" ySplit="2" topLeftCell="AB2539" activePane="bottomRight" state="frozen"/>
      <selection activeCell="AJ2509" sqref="AJ2509"/>
      <selection pane="topRight" activeCell="AJ2509" sqref="AJ2509"/>
      <selection pane="bottomLeft" activeCell="AJ2509" sqref="AJ2509"/>
      <selection pane="bottomRight" activeCell="D2553" sqref="D2553"/>
    </sheetView>
  </sheetViews>
  <sheetFormatPr baseColWidth="10" defaultColWidth="9.5" defaultRowHeight="15"/>
  <cols>
    <col min="1" max="1" width="8" style="75" customWidth="1"/>
    <col min="2" max="2" width="24.1640625" style="23" bestFit="1" customWidth="1"/>
    <col min="3" max="3" width="14.5" style="140" bestFit="1" customWidth="1"/>
    <col min="4" max="4" width="8" style="23" customWidth="1"/>
    <col min="5" max="5" width="9.5" style="23" customWidth="1"/>
    <col min="6" max="6" width="20.6640625" style="23" customWidth="1"/>
    <col min="7" max="7" width="24.33203125" style="23" bestFit="1" customWidth="1"/>
    <col min="8" max="8" width="20.5" style="23" customWidth="1"/>
    <col min="9" max="9" width="15.5" style="23" customWidth="1"/>
    <col min="10" max="10" width="20.6640625" style="140" bestFit="1" customWidth="1"/>
    <col min="11" max="11" width="18.5" style="23" customWidth="1"/>
    <col min="12" max="12" width="11.83203125" style="140" bestFit="1" customWidth="1"/>
    <col min="13" max="13" width="12.5" style="26" customWidth="1"/>
    <col min="14" max="14" width="9" style="23" customWidth="1"/>
    <col min="15" max="15" width="8.5" style="23" customWidth="1"/>
    <col min="16" max="16" width="19" style="23" customWidth="1"/>
    <col min="17" max="17" width="12.5" style="140" customWidth="1"/>
    <col min="18" max="18" width="10" style="53" customWidth="1"/>
    <col min="19" max="20" width="8.5" style="23" customWidth="1"/>
    <col min="21" max="21" width="6.5" style="23" customWidth="1"/>
    <col min="22" max="22" width="9.5" style="23" customWidth="1"/>
    <col min="23" max="23" width="45.5" style="23" customWidth="1"/>
    <col min="24" max="24" width="12.5" style="23" customWidth="1"/>
    <col min="25" max="25" width="12" style="23" customWidth="1"/>
    <col min="26" max="26" width="14.6640625" style="23" customWidth="1"/>
    <col min="27" max="27" width="10.5" style="23" customWidth="1"/>
    <col min="28" max="28" width="23.5" style="23" customWidth="1"/>
    <col min="29" max="29" width="8.5" style="23" customWidth="1"/>
    <col min="30" max="31" width="5.5" style="23" customWidth="1"/>
    <col min="32" max="32" width="23.5" style="23" customWidth="1"/>
    <col min="33" max="33" width="17.5" style="23" customWidth="1"/>
    <col min="34" max="34" width="8.5" style="23" customWidth="1"/>
    <col min="35" max="35" width="8.5" style="53" customWidth="1"/>
    <col min="36" max="36" width="7.5" style="75" customWidth="1"/>
    <col min="37" max="37" width="7.5" style="53" customWidth="1"/>
    <col min="38" max="38" width="7.5" style="23" customWidth="1"/>
    <col min="39" max="39" width="10.5" style="102" customWidth="1"/>
    <col min="40" max="41" width="7.5" style="23" customWidth="1"/>
    <col min="42" max="42" width="11.5" style="23" customWidth="1"/>
    <col min="43" max="53" width="7.5" style="23" customWidth="1"/>
    <col min="54" max="54" width="26.6640625" style="23" customWidth="1"/>
    <col min="55" max="16384" width="9.5" style="2"/>
  </cols>
  <sheetData>
    <row r="1" spans="1:54">
      <c r="A1" s="122" t="s">
        <v>55</v>
      </c>
      <c r="B1" s="97"/>
      <c r="C1" s="138">
        <v>3</v>
      </c>
      <c r="D1" s="97">
        <v>4</v>
      </c>
      <c r="E1" s="97">
        <v>5</v>
      </c>
      <c r="F1" s="97">
        <v>6</v>
      </c>
      <c r="G1" s="97">
        <v>7</v>
      </c>
      <c r="H1" s="97">
        <v>8</v>
      </c>
      <c r="I1" s="97">
        <v>9</v>
      </c>
      <c r="J1" s="97">
        <v>10</v>
      </c>
      <c r="K1" s="97">
        <v>11</v>
      </c>
      <c r="L1" s="97">
        <v>12</v>
      </c>
      <c r="M1" s="97">
        <v>13</v>
      </c>
      <c r="N1" s="97">
        <v>14</v>
      </c>
      <c r="O1" s="97">
        <v>15</v>
      </c>
      <c r="P1" s="97">
        <v>16</v>
      </c>
      <c r="Q1" s="138">
        <v>17</v>
      </c>
      <c r="R1" s="97">
        <v>18</v>
      </c>
      <c r="S1" s="97">
        <v>19</v>
      </c>
      <c r="T1" s="97">
        <v>20</v>
      </c>
      <c r="U1" s="97">
        <v>21</v>
      </c>
      <c r="V1" s="97">
        <v>22</v>
      </c>
      <c r="W1" s="97">
        <v>23</v>
      </c>
      <c r="X1" s="97">
        <v>24</v>
      </c>
      <c r="Y1" s="97">
        <v>25</v>
      </c>
      <c r="Z1" s="97">
        <v>26</v>
      </c>
      <c r="AA1" s="97">
        <v>27</v>
      </c>
      <c r="AB1" s="97">
        <v>28</v>
      </c>
      <c r="AC1" s="97">
        <v>29</v>
      </c>
      <c r="AD1" s="97">
        <v>30</v>
      </c>
      <c r="AE1" s="97">
        <v>31</v>
      </c>
      <c r="AF1" s="97">
        <v>32</v>
      </c>
      <c r="AG1" s="97">
        <v>33</v>
      </c>
      <c r="AH1" s="97">
        <v>34</v>
      </c>
      <c r="AI1" s="97">
        <v>35</v>
      </c>
      <c r="AJ1" s="216" t="s">
        <v>3048</v>
      </c>
      <c r="AK1" s="217"/>
      <c r="AL1" s="217"/>
      <c r="AM1" s="217"/>
      <c r="AN1" s="217"/>
      <c r="AO1" s="217"/>
      <c r="AP1" s="217"/>
      <c r="AQ1" s="217"/>
      <c r="AR1" s="217"/>
      <c r="AS1" s="217"/>
      <c r="AT1" s="217"/>
      <c r="AU1" s="217"/>
      <c r="AV1" s="217"/>
      <c r="AW1" s="217"/>
      <c r="AX1" s="217"/>
      <c r="AY1" s="217"/>
      <c r="AZ1" s="217"/>
      <c r="BA1" s="217"/>
      <c r="BB1" s="218"/>
    </row>
    <row r="2" spans="1:54" s="18" customFormat="1" ht="64">
      <c r="A2" s="76" t="s">
        <v>14673</v>
      </c>
      <c r="B2" s="25" t="s">
        <v>218</v>
      </c>
      <c r="C2" s="139" t="s">
        <v>4746</v>
      </c>
      <c r="D2" s="19" t="s">
        <v>1</v>
      </c>
      <c r="E2" s="19" t="s">
        <v>12</v>
      </c>
      <c r="F2" s="19" t="s">
        <v>4304</v>
      </c>
      <c r="G2" s="19" t="s">
        <v>4305</v>
      </c>
      <c r="H2" s="25" t="s">
        <v>217</v>
      </c>
      <c r="I2" s="25" t="s">
        <v>6</v>
      </c>
      <c r="J2" s="142" t="s">
        <v>4723</v>
      </c>
      <c r="K2" s="25" t="s">
        <v>169</v>
      </c>
      <c r="L2" s="144" t="s">
        <v>4724</v>
      </c>
      <c r="M2" s="77" t="s">
        <v>0</v>
      </c>
      <c r="N2" s="19" t="s">
        <v>73</v>
      </c>
      <c r="O2" s="23" t="s">
        <v>67</v>
      </c>
      <c r="P2" s="23" t="s">
        <v>11</v>
      </c>
      <c r="Q2" s="140" t="s">
        <v>18</v>
      </c>
      <c r="R2" s="78" t="s">
        <v>22</v>
      </c>
      <c r="S2" s="19" t="s">
        <v>5</v>
      </c>
      <c r="T2" s="19" t="s">
        <v>64</v>
      </c>
      <c r="U2" s="19" t="s">
        <v>3784</v>
      </c>
      <c r="V2" s="19" t="s">
        <v>2</v>
      </c>
      <c r="W2" s="19" t="s">
        <v>11570</v>
      </c>
      <c r="X2" s="19" t="s">
        <v>164</v>
      </c>
      <c r="Y2" s="19" t="s">
        <v>165</v>
      </c>
      <c r="Z2" s="19" t="s">
        <v>6972</v>
      </c>
      <c r="AA2" s="19" t="s">
        <v>166</v>
      </c>
      <c r="AB2" s="19" t="s">
        <v>215</v>
      </c>
      <c r="AC2" s="19" t="s">
        <v>216</v>
      </c>
      <c r="AD2" s="29" t="s">
        <v>19</v>
      </c>
      <c r="AE2" s="29" t="s">
        <v>20</v>
      </c>
      <c r="AF2" s="19" t="s">
        <v>4747</v>
      </c>
      <c r="AG2" s="19" t="s">
        <v>634</v>
      </c>
      <c r="AH2" s="19" t="s">
        <v>635</v>
      </c>
      <c r="AI2" s="19" t="s">
        <v>3066</v>
      </c>
      <c r="AJ2" s="100" t="s">
        <v>1592</v>
      </c>
      <c r="AK2" s="79" t="s">
        <v>4725</v>
      </c>
      <c r="AL2" s="79" t="s">
        <v>3045</v>
      </c>
      <c r="AM2" s="101" t="s">
        <v>4726</v>
      </c>
      <c r="AN2" s="79" t="s">
        <v>4505</v>
      </c>
      <c r="AO2" s="79" t="s">
        <v>2842</v>
      </c>
      <c r="AP2" s="79" t="s">
        <v>4727</v>
      </c>
      <c r="AQ2" s="79" t="s">
        <v>3044</v>
      </c>
      <c r="AR2" s="79" t="s">
        <v>4728</v>
      </c>
      <c r="AS2" s="79" t="s">
        <v>3047</v>
      </c>
      <c r="AT2" s="79" t="s">
        <v>4729</v>
      </c>
      <c r="AU2" s="79" t="s">
        <v>169</v>
      </c>
      <c r="AV2" s="79" t="s">
        <v>4730</v>
      </c>
      <c r="AW2" s="79" t="s">
        <v>3046</v>
      </c>
      <c r="AX2" s="79" t="s">
        <v>4731</v>
      </c>
      <c r="AY2" s="79" t="s">
        <v>4732</v>
      </c>
      <c r="AZ2" s="79" t="s">
        <v>4733</v>
      </c>
      <c r="BA2" s="79" t="s">
        <v>4506</v>
      </c>
      <c r="BB2" s="79" t="s">
        <v>6402</v>
      </c>
    </row>
    <row r="3" spans="1:54">
      <c r="A3" s="62" t="s">
        <v>45</v>
      </c>
      <c r="B3" s="23" t="s">
        <v>4</v>
      </c>
      <c r="D3" s="23" t="s">
        <v>729</v>
      </c>
      <c r="E3" s="23" t="s">
        <v>17</v>
      </c>
      <c r="F3" s="25" t="s">
        <v>3</v>
      </c>
      <c r="H3" s="23" t="s">
        <v>7</v>
      </c>
      <c r="I3" s="23" t="s">
        <v>4</v>
      </c>
      <c r="M3" s="26">
        <v>43706</v>
      </c>
      <c r="R3" s="53">
        <v>43690</v>
      </c>
      <c r="S3" s="23" t="s">
        <v>184</v>
      </c>
      <c r="U3" s="23" t="s">
        <v>220</v>
      </c>
      <c r="V3" s="23" t="s">
        <v>220</v>
      </c>
      <c r="W3" s="23" t="s">
        <v>267</v>
      </c>
      <c r="AC3" s="23" t="s">
        <v>21</v>
      </c>
      <c r="AD3" s="118"/>
      <c r="AF3" s="27" t="s">
        <v>194</v>
      </c>
      <c r="AG3" s="27"/>
      <c r="AH3" s="27"/>
    </row>
    <row r="4" spans="1:54">
      <c r="A4" s="62" t="s">
        <v>48</v>
      </c>
      <c r="B4" s="23" t="s">
        <v>8</v>
      </c>
      <c r="D4" s="23" t="s">
        <v>729</v>
      </c>
      <c r="E4" s="23" t="s">
        <v>17</v>
      </c>
      <c r="F4" s="25" t="s">
        <v>3</v>
      </c>
      <c r="H4" s="23">
        <v>300719</v>
      </c>
      <c r="I4" s="23">
        <v>300719</v>
      </c>
      <c r="M4" s="26">
        <v>43705</v>
      </c>
      <c r="S4" s="23" t="s">
        <v>184</v>
      </c>
      <c r="U4" s="23" t="s">
        <v>220</v>
      </c>
      <c r="V4" s="23" t="s">
        <v>220</v>
      </c>
      <c r="W4" s="23" t="s">
        <v>47</v>
      </c>
      <c r="AD4" s="118"/>
      <c r="AF4" s="27" t="s">
        <v>195</v>
      </c>
      <c r="AG4" s="27"/>
      <c r="AH4" s="27"/>
    </row>
    <row r="5" spans="1:54">
      <c r="A5" s="62" t="s">
        <v>54</v>
      </c>
      <c r="B5" s="23" t="s">
        <v>49</v>
      </c>
      <c r="D5" s="23" t="s">
        <v>729</v>
      </c>
      <c r="E5" s="23" t="s">
        <v>17</v>
      </c>
      <c r="F5" s="25" t="s">
        <v>3</v>
      </c>
      <c r="H5" s="23" t="s">
        <v>9</v>
      </c>
      <c r="I5" s="23" t="s">
        <v>9</v>
      </c>
      <c r="S5" s="23" t="s">
        <v>184</v>
      </c>
      <c r="U5" s="23" t="s">
        <v>220</v>
      </c>
      <c r="V5" s="23" t="s">
        <v>220</v>
      </c>
      <c r="W5" s="23" t="s">
        <v>10</v>
      </c>
      <c r="AD5" s="118"/>
      <c r="AF5" s="27" t="s">
        <v>196</v>
      </c>
      <c r="AG5" s="27"/>
      <c r="AH5" s="27"/>
    </row>
    <row r="6" spans="1:54">
      <c r="A6" s="62" t="s">
        <v>30</v>
      </c>
      <c r="B6" s="23" t="s">
        <v>13</v>
      </c>
      <c r="D6" s="23" t="s">
        <v>729</v>
      </c>
      <c r="E6" s="23" t="s">
        <v>17</v>
      </c>
      <c r="F6" s="25" t="s">
        <v>3</v>
      </c>
      <c r="H6" s="23" t="s">
        <v>15</v>
      </c>
      <c r="I6" s="23" t="s">
        <v>16</v>
      </c>
      <c r="R6" s="53">
        <v>43709</v>
      </c>
      <c r="S6" s="23" t="s">
        <v>184</v>
      </c>
      <c r="U6" s="23" t="s">
        <v>220</v>
      </c>
      <c r="V6" s="23" t="s">
        <v>220</v>
      </c>
      <c r="W6" s="23" t="s">
        <v>14</v>
      </c>
      <c r="AC6" s="23" t="s">
        <v>44</v>
      </c>
      <c r="AD6" s="118"/>
      <c r="AF6" s="27" t="s">
        <v>197</v>
      </c>
      <c r="AG6" s="27"/>
      <c r="AH6" s="27"/>
    </row>
    <row r="7" spans="1:54">
      <c r="A7" s="62" t="s">
        <v>46</v>
      </c>
      <c r="B7" s="23" t="s">
        <v>25</v>
      </c>
      <c r="D7" s="23" t="s">
        <v>729</v>
      </c>
      <c r="E7" s="23" t="s">
        <v>17</v>
      </c>
      <c r="F7" s="25" t="s">
        <v>3</v>
      </c>
      <c r="H7" s="23">
        <v>20190801</v>
      </c>
      <c r="I7" s="23">
        <v>20190801</v>
      </c>
      <c r="M7" s="26">
        <v>43697</v>
      </c>
      <c r="R7" s="53">
        <v>43693</v>
      </c>
      <c r="S7" s="23" t="s">
        <v>184</v>
      </c>
      <c r="U7" s="23" t="s">
        <v>220</v>
      </c>
      <c r="V7" s="23" t="s">
        <v>220</v>
      </c>
      <c r="W7" s="23" t="s">
        <v>24</v>
      </c>
      <c r="AB7" s="23" t="s">
        <v>23</v>
      </c>
      <c r="AD7" s="118"/>
      <c r="AE7" s="118">
        <v>1</v>
      </c>
      <c r="AF7" s="27" t="s">
        <v>198</v>
      </c>
      <c r="AG7" s="27"/>
      <c r="AH7" s="27"/>
    </row>
    <row r="8" spans="1:54">
      <c r="A8" s="62" t="s">
        <v>43</v>
      </c>
      <c r="B8" s="23" t="s">
        <v>29</v>
      </c>
      <c r="D8" s="23" t="s">
        <v>729</v>
      </c>
      <c r="E8" s="23" t="s">
        <v>17</v>
      </c>
      <c r="F8" s="25" t="s">
        <v>3</v>
      </c>
      <c r="H8" s="23" t="s">
        <v>26</v>
      </c>
      <c r="I8" s="23" t="s">
        <v>27</v>
      </c>
      <c r="M8" s="26">
        <v>43706</v>
      </c>
      <c r="S8" s="23" t="s">
        <v>184</v>
      </c>
      <c r="U8" s="23" t="s">
        <v>220</v>
      </c>
      <c r="V8" s="23" t="s">
        <v>220</v>
      </c>
      <c r="W8" s="23" t="s">
        <v>265</v>
      </c>
      <c r="AD8" s="118"/>
      <c r="AE8" s="118"/>
      <c r="AF8" s="27" t="s">
        <v>195</v>
      </c>
      <c r="AG8" s="27"/>
      <c r="AH8" s="27"/>
    </row>
    <row r="9" spans="1:54">
      <c r="A9" s="62" t="s">
        <v>31</v>
      </c>
      <c r="B9" s="23" t="s">
        <v>50</v>
      </c>
      <c r="D9" s="23" t="s">
        <v>729</v>
      </c>
      <c r="E9" s="23" t="s">
        <v>17</v>
      </c>
      <c r="F9" s="25" t="s">
        <v>3</v>
      </c>
      <c r="G9" s="23" t="s">
        <v>91</v>
      </c>
      <c r="H9" s="23" t="s">
        <v>28</v>
      </c>
      <c r="I9" s="23" t="s">
        <v>28</v>
      </c>
      <c r="M9" s="26">
        <v>43710</v>
      </c>
      <c r="R9" s="53">
        <v>43709</v>
      </c>
      <c r="S9" s="23" t="s">
        <v>184</v>
      </c>
      <c r="U9" s="23" t="s">
        <v>220</v>
      </c>
      <c r="V9" s="23" t="s">
        <v>220</v>
      </c>
      <c r="W9" s="23" t="s">
        <v>266</v>
      </c>
      <c r="AC9" s="23" t="s">
        <v>86</v>
      </c>
      <c r="AD9" s="118" t="s">
        <v>51</v>
      </c>
      <c r="AE9" s="118"/>
      <c r="AF9" s="27" t="s">
        <v>199</v>
      </c>
      <c r="AG9" s="27"/>
      <c r="AH9" s="27"/>
    </row>
    <row r="10" spans="1:54">
      <c r="A10" s="62" t="s">
        <v>33</v>
      </c>
      <c r="B10" s="23" t="s">
        <v>62</v>
      </c>
      <c r="D10" s="23" t="s">
        <v>729</v>
      </c>
      <c r="E10" s="23" t="s">
        <v>17</v>
      </c>
      <c r="F10" s="25" t="s">
        <v>3</v>
      </c>
      <c r="G10" s="23" t="s">
        <v>91</v>
      </c>
      <c r="H10" s="23" t="s">
        <v>52</v>
      </c>
      <c r="I10" s="23" t="s">
        <v>52</v>
      </c>
      <c r="S10" s="23" t="s">
        <v>184</v>
      </c>
      <c r="U10" s="23" t="s">
        <v>220</v>
      </c>
      <c r="V10" s="23" t="s">
        <v>220</v>
      </c>
      <c r="W10" s="23" t="s">
        <v>53</v>
      </c>
      <c r="AC10" s="23" t="s">
        <v>87</v>
      </c>
      <c r="AD10" s="118"/>
      <c r="AE10" s="118"/>
      <c r="AF10" s="27" t="s">
        <v>200</v>
      </c>
      <c r="AG10" s="27"/>
      <c r="AH10" s="27"/>
    </row>
    <row r="11" spans="1:54" ht="208">
      <c r="A11" s="62" t="s">
        <v>32</v>
      </c>
      <c r="B11" s="23" t="s">
        <v>58</v>
      </c>
      <c r="D11" s="23" t="s">
        <v>729</v>
      </c>
      <c r="E11" s="23" t="s">
        <v>56</v>
      </c>
      <c r="F11" s="25" t="s">
        <v>57</v>
      </c>
      <c r="G11" s="23" t="s">
        <v>105</v>
      </c>
      <c r="H11" s="23" t="s">
        <v>59</v>
      </c>
      <c r="I11" s="23" t="s">
        <v>59</v>
      </c>
      <c r="M11" s="26">
        <v>43714</v>
      </c>
      <c r="P11" s="23" t="s">
        <v>65</v>
      </c>
      <c r="Q11" s="140">
        <v>43724</v>
      </c>
      <c r="R11" s="53">
        <v>43715</v>
      </c>
      <c r="S11" s="23" t="s">
        <v>183</v>
      </c>
      <c r="T11" s="23" t="s">
        <v>305</v>
      </c>
      <c r="U11" s="23" t="s">
        <v>305</v>
      </c>
      <c r="V11" s="23" t="s">
        <v>233</v>
      </c>
      <c r="W11" s="23" t="s">
        <v>63</v>
      </c>
      <c r="AB11" s="19" t="s">
        <v>192</v>
      </c>
      <c r="AC11" s="23" t="s">
        <v>61</v>
      </c>
      <c r="AD11" s="118"/>
      <c r="AE11" s="118">
        <v>5</v>
      </c>
      <c r="AF11" s="29" t="s">
        <v>219</v>
      </c>
      <c r="AG11" s="29"/>
      <c r="AH11" s="29"/>
      <c r="AI11" s="53" t="s">
        <v>32</v>
      </c>
    </row>
    <row r="12" spans="1:54" ht="192">
      <c r="A12" s="62" t="s">
        <v>34</v>
      </c>
      <c r="B12" s="23" t="s">
        <v>66</v>
      </c>
      <c r="D12" s="23" t="s">
        <v>729</v>
      </c>
      <c r="E12" s="23" t="s">
        <v>56</v>
      </c>
      <c r="F12" s="25" t="s">
        <v>57</v>
      </c>
      <c r="G12" s="23" t="s">
        <v>105</v>
      </c>
      <c r="H12" s="23" t="s">
        <v>84</v>
      </c>
      <c r="I12" s="23" t="s">
        <v>84</v>
      </c>
      <c r="M12" s="26">
        <v>43726</v>
      </c>
      <c r="P12" s="23" t="s">
        <v>85</v>
      </c>
      <c r="Q12" s="140">
        <v>43744</v>
      </c>
      <c r="R12" s="53">
        <v>43728</v>
      </c>
      <c r="S12" s="23" t="s">
        <v>183</v>
      </c>
      <c r="T12" s="23" t="s">
        <v>305</v>
      </c>
      <c r="U12" s="23" t="s">
        <v>305</v>
      </c>
      <c r="V12" s="23" t="s">
        <v>233</v>
      </c>
      <c r="W12" s="23" t="s">
        <v>68</v>
      </c>
      <c r="AB12" s="19" t="s">
        <v>191</v>
      </c>
      <c r="AC12" s="23" t="s">
        <v>72</v>
      </c>
      <c r="AD12" s="118"/>
      <c r="AE12" s="118">
        <v>2</v>
      </c>
      <c r="AF12" s="29" t="s">
        <v>206</v>
      </c>
      <c r="AG12" s="29"/>
      <c r="AH12" s="29"/>
      <c r="AI12" s="53" t="s">
        <v>32</v>
      </c>
    </row>
    <row r="13" spans="1:54" ht="128">
      <c r="A13" s="62" t="s">
        <v>35</v>
      </c>
      <c r="B13" s="23" t="s">
        <v>135</v>
      </c>
      <c r="D13" s="23" t="s">
        <v>729</v>
      </c>
      <c r="E13" s="23" t="s">
        <v>56</v>
      </c>
      <c r="F13" s="23" t="s">
        <v>88</v>
      </c>
      <c r="H13" s="23" t="s">
        <v>69</v>
      </c>
      <c r="I13" s="23" t="s">
        <v>69</v>
      </c>
      <c r="M13" s="26">
        <v>43727</v>
      </c>
      <c r="P13" s="23" t="s">
        <v>70</v>
      </c>
      <c r="Q13" s="140">
        <v>43734</v>
      </c>
      <c r="R13" s="53">
        <v>43706</v>
      </c>
      <c r="S13" s="23" t="s">
        <v>300</v>
      </c>
      <c r="T13" s="23" t="s">
        <v>221</v>
      </c>
      <c r="U13" s="23" t="s">
        <v>221</v>
      </c>
      <c r="V13" s="23" t="s">
        <v>221</v>
      </c>
      <c r="W13" s="23" t="s">
        <v>71</v>
      </c>
      <c r="AB13" s="23" t="s">
        <v>89</v>
      </c>
      <c r="AC13" s="23" t="s">
        <v>90</v>
      </c>
      <c r="AD13" s="118"/>
      <c r="AE13" s="118"/>
      <c r="AF13" s="29" t="s">
        <v>201</v>
      </c>
      <c r="AG13" s="29"/>
      <c r="AH13" s="29"/>
    </row>
    <row r="14" spans="1:54" ht="176">
      <c r="A14" s="62" t="s">
        <v>36</v>
      </c>
      <c r="B14" s="25" t="s">
        <v>74</v>
      </c>
      <c r="D14" s="23" t="s">
        <v>729</v>
      </c>
      <c r="E14" s="23" t="s">
        <v>56</v>
      </c>
      <c r="F14" s="23" t="s">
        <v>57</v>
      </c>
      <c r="G14" s="23" t="s">
        <v>83</v>
      </c>
      <c r="H14" s="25" t="s">
        <v>75</v>
      </c>
      <c r="I14" s="23" t="s">
        <v>75</v>
      </c>
      <c r="M14" s="26">
        <v>43733</v>
      </c>
      <c r="P14" s="23" t="s">
        <v>76</v>
      </c>
      <c r="Q14" s="140">
        <v>43732</v>
      </c>
      <c r="R14" s="53">
        <v>43730</v>
      </c>
      <c r="S14" s="23" t="s">
        <v>184</v>
      </c>
      <c r="T14" s="23" t="s">
        <v>302</v>
      </c>
      <c r="U14" s="23" t="s">
        <v>302</v>
      </c>
      <c r="V14" s="23" t="s">
        <v>233</v>
      </c>
      <c r="W14" s="23" t="s">
        <v>77</v>
      </c>
      <c r="AB14" s="23" t="s">
        <v>189</v>
      </c>
      <c r="AC14" s="23" t="s">
        <v>78</v>
      </c>
      <c r="AD14" s="118"/>
      <c r="AE14" s="118">
        <v>1</v>
      </c>
      <c r="AF14" s="29" t="s">
        <v>207</v>
      </c>
      <c r="AG14" s="29"/>
      <c r="AH14" s="29"/>
      <c r="AI14" s="53" t="str">
        <f>A14</f>
        <v>067</v>
      </c>
    </row>
    <row r="15" spans="1:54" ht="160">
      <c r="A15" s="62" t="s">
        <v>37</v>
      </c>
      <c r="B15" s="23" t="s">
        <v>79</v>
      </c>
      <c r="D15" s="23" t="s">
        <v>729</v>
      </c>
      <c r="E15" s="23" t="s">
        <v>56</v>
      </c>
      <c r="F15" s="23" t="s">
        <v>57</v>
      </c>
      <c r="G15" s="23" t="s">
        <v>83</v>
      </c>
      <c r="H15" s="23" t="s">
        <v>80</v>
      </c>
      <c r="I15" s="23" t="s">
        <v>80</v>
      </c>
      <c r="M15" s="26">
        <v>43733</v>
      </c>
      <c r="P15" s="23" t="s">
        <v>76</v>
      </c>
      <c r="Q15" s="140">
        <v>43732</v>
      </c>
      <c r="R15" s="53">
        <v>43730</v>
      </c>
      <c r="S15" s="23" t="s">
        <v>184</v>
      </c>
      <c r="T15" s="23" t="s">
        <v>302</v>
      </c>
      <c r="U15" s="23" t="s">
        <v>302</v>
      </c>
      <c r="V15" s="23" t="s">
        <v>233</v>
      </c>
      <c r="W15" s="23" t="s">
        <v>81</v>
      </c>
      <c r="AB15" s="23" t="s">
        <v>190</v>
      </c>
      <c r="AC15" s="23" t="s">
        <v>82</v>
      </c>
      <c r="AD15" s="118"/>
      <c r="AE15" s="118">
        <v>1</v>
      </c>
      <c r="AF15" s="29" t="s">
        <v>208</v>
      </c>
      <c r="AG15" s="29"/>
      <c r="AH15" s="29"/>
      <c r="AI15" s="53" t="str">
        <f>A15</f>
        <v>068</v>
      </c>
      <c r="AJ15" s="75" t="s">
        <v>5370</v>
      </c>
      <c r="AL15" s="23" t="s">
        <v>5358</v>
      </c>
      <c r="AM15" s="102">
        <v>43740</v>
      </c>
    </row>
    <row r="16" spans="1:54" ht="128">
      <c r="A16" s="62" t="s">
        <v>38</v>
      </c>
      <c r="B16" s="23" t="s">
        <v>136</v>
      </c>
      <c r="D16" s="23" t="s">
        <v>729</v>
      </c>
      <c r="E16" s="23" t="s">
        <v>56</v>
      </c>
      <c r="F16" s="23" t="s">
        <v>92</v>
      </c>
      <c r="H16" s="23" t="s">
        <v>137</v>
      </c>
      <c r="I16" s="23" t="s">
        <v>137</v>
      </c>
      <c r="M16" s="26">
        <v>43739</v>
      </c>
      <c r="P16" s="23" t="s">
        <v>138</v>
      </c>
      <c r="S16" s="23" t="s">
        <v>300</v>
      </c>
      <c r="T16" s="23" t="s">
        <v>221</v>
      </c>
      <c r="U16" s="23" t="s">
        <v>221</v>
      </c>
      <c r="V16" s="23" t="s">
        <v>221</v>
      </c>
      <c r="W16" s="23" t="s">
        <v>71</v>
      </c>
      <c r="AB16" s="23" t="s">
        <v>89</v>
      </c>
      <c r="AC16" s="23" t="s">
        <v>93</v>
      </c>
      <c r="AD16" s="118"/>
      <c r="AE16" s="118"/>
      <c r="AF16" s="29" t="s">
        <v>202</v>
      </c>
      <c r="AG16" s="29"/>
      <c r="AH16" s="29"/>
    </row>
    <row r="17" spans="1:54" ht="176">
      <c r="A17" s="62" t="s">
        <v>39</v>
      </c>
      <c r="B17" s="23" t="s">
        <v>139</v>
      </c>
      <c r="D17" s="23" t="s">
        <v>729</v>
      </c>
      <c r="E17" s="23" t="s">
        <v>56</v>
      </c>
      <c r="F17" s="23" t="s">
        <v>95</v>
      </c>
      <c r="G17" s="23" t="s">
        <v>134</v>
      </c>
      <c r="H17" s="23" t="s">
        <v>140</v>
      </c>
      <c r="I17" s="23" t="s">
        <v>140</v>
      </c>
      <c r="M17" s="26">
        <v>43739</v>
      </c>
      <c r="P17" s="23" t="s">
        <v>138</v>
      </c>
      <c r="S17" s="23" t="s">
        <v>300</v>
      </c>
      <c r="T17" s="23" t="s">
        <v>221</v>
      </c>
      <c r="U17" s="23" t="s">
        <v>221</v>
      </c>
      <c r="V17" s="23" t="s">
        <v>221</v>
      </c>
      <c r="W17" s="23" t="s">
        <v>71</v>
      </c>
      <c r="AB17" s="23" t="s">
        <v>89</v>
      </c>
      <c r="AC17" s="23" t="s">
        <v>94</v>
      </c>
      <c r="AD17" s="118"/>
      <c r="AE17" s="118"/>
      <c r="AF17" s="29" t="s">
        <v>203</v>
      </c>
      <c r="AG17" s="29"/>
      <c r="AH17" s="29"/>
    </row>
    <row r="18" spans="1:54" s="3" customFormat="1" ht="192">
      <c r="A18" s="63" t="s">
        <v>40</v>
      </c>
      <c r="B18" s="25" t="s">
        <v>107</v>
      </c>
      <c r="C18" s="140"/>
      <c r="D18" s="23" t="s">
        <v>729</v>
      </c>
      <c r="E18" s="25" t="s">
        <v>56</v>
      </c>
      <c r="F18" s="25" t="s">
        <v>57</v>
      </c>
      <c r="G18" s="25" t="s">
        <v>105</v>
      </c>
      <c r="H18" s="25" t="s">
        <v>106</v>
      </c>
      <c r="I18" s="25" t="s">
        <v>106</v>
      </c>
      <c r="J18" s="140"/>
      <c r="K18" s="25"/>
      <c r="L18" s="142"/>
      <c r="M18" s="30">
        <v>43760</v>
      </c>
      <c r="N18" s="25"/>
      <c r="O18" s="25"/>
      <c r="P18" s="25"/>
      <c r="Q18" s="140">
        <v>43764</v>
      </c>
      <c r="R18" s="31"/>
      <c r="S18" s="23" t="s">
        <v>183</v>
      </c>
      <c r="T18" s="23" t="s">
        <v>305</v>
      </c>
      <c r="U18" s="23" t="s">
        <v>305</v>
      </c>
      <c r="V18" s="23" t="s">
        <v>233</v>
      </c>
      <c r="W18" s="25" t="s">
        <v>112</v>
      </c>
      <c r="X18" s="25"/>
      <c r="Y18" s="25"/>
      <c r="Z18" s="25"/>
      <c r="AA18" s="25"/>
      <c r="AB18" s="32" t="s">
        <v>225</v>
      </c>
      <c r="AC18" s="25" t="s">
        <v>72</v>
      </c>
      <c r="AD18" s="119"/>
      <c r="AE18" s="119">
        <v>2</v>
      </c>
      <c r="AF18" s="33" t="s">
        <v>209</v>
      </c>
      <c r="AG18" s="33"/>
      <c r="AH18" s="33"/>
      <c r="AI18" s="53" t="str">
        <f>A18</f>
        <v>071</v>
      </c>
      <c r="AJ18" s="104"/>
      <c r="AK18" s="31"/>
      <c r="AL18" s="25">
        <v>13800000</v>
      </c>
      <c r="AM18" s="103"/>
      <c r="AN18" s="25"/>
      <c r="AO18" s="25"/>
      <c r="AP18" s="25"/>
      <c r="AQ18" s="25"/>
      <c r="AR18" s="25"/>
      <c r="AS18" s="54">
        <v>43787</v>
      </c>
      <c r="AT18" s="54"/>
      <c r="AU18" s="25"/>
      <c r="AV18" s="25"/>
      <c r="AW18" s="25"/>
      <c r="AX18" s="25"/>
      <c r="AY18" s="25"/>
      <c r="AZ18" s="25"/>
      <c r="BA18" s="25"/>
      <c r="BB18" s="25"/>
    </row>
    <row r="19" spans="1:54" ht="192">
      <c r="A19" s="62" t="s">
        <v>41</v>
      </c>
      <c r="B19" s="23" t="s">
        <v>99</v>
      </c>
      <c r="D19" s="23" t="s">
        <v>729</v>
      </c>
      <c r="E19" s="23" t="s">
        <v>6086</v>
      </c>
      <c r="F19" s="23" t="s">
        <v>57</v>
      </c>
      <c r="G19" s="23" t="s">
        <v>57</v>
      </c>
      <c r="H19" s="23">
        <v>9197700031</v>
      </c>
      <c r="I19" s="23">
        <v>847986</v>
      </c>
      <c r="M19" s="26">
        <v>43741</v>
      </c>
      <c r="O19" s="23" t="s">
        <v>100</v>
      </c>
      <c r="S19" s="23" t="s">
        <v>300</v>
      </c>
      <c r="T19" s="23" t="s">
        <v>303</v>
      </c>
      <c r="U19" s="23" t="s">
        <v>303</v>
      </c>
      <c r="V19" s="23" t="s">
        <v>233</v>
      </c>
      <c r="W19" s="23" t="s">
        <v>96</v>
      </c>
      <c r="AB19" s="23" t="s">
        <v>97</v>
      </c>
      <c r="AC19" s="23" t="s">
        <v>98</v>
      </c>
      <c r="AD19" s="118"/>
      <c r="AE19" s="118"/>
      <c r="AF19" s="29" t="s">
        <v>210</v>
      </c>
      <c r="AG19" s="29"/>
      <c r="AH19" s="29"/>
      <c r="AI19" s="53" t="str">
        <f>A19</f>
        <v>072</v>
      </c>
    </row>
    <row r="20" spans="1:54" ht="176">
      <c r="A20" s="62" t="s">
        <v>42</v>
      </c>
      <c r="B20" s="34" t="s">
        <v>101</v>
      </c>
      <c r="D20" s="23" t="s">
        <v>729</v>
      </c>
      <c r="E20" s="23" t="s">
        <v>56</v>
      </c>
      <c r="F20" s="23" t="s">
        <v>57</v>
      </c>
      <c r="G20" s="23" t="s">
        <v>83</v>
      </c>
      <c r="H20" s="23" t="s">
        <v>102</v>
      </c>
      <c r="I20" s="23" t="s">
        <v>102</v>
      </c>
      <c r="M20" s="26">
        <v>43746</v>
      </c>
      <c r="Q20" s="140">
        <v>43745</v>
      </c>
      <c r="S20" s="23" t="s">
        <v>184</v>
      </c>
      <c r="T20" s="23" t="s">
        <v>302</v>
      </c>
      <c r="U20" s="23" t="s">
        <v>302</v>
      </c>
      <c r="V20" s="23" t="s">
        <v>233</v>
      </c>
      <c r="W20" s="23" t="s">
        <v>103</v>
      </c>
      <c r="AB20" s="19" t="s">
        <v>226</v>
      </c>
      <c r="AC20" s="23" t="s">
        <v>104</v>
      </c>
      <c r="AD20" s="118"/>
      <c r="AE20" s="118">
        <v>2</v>
      </c>
      <c r="AF20" s="29" t="s">
        <v>211</v>
      </c>
      <c r="AG20" s="29"/>
      <c r="AH20" s="29"/>
      <c r="AI20" s="53" t="str">
        <f>A20</f>
        <v>073</v>
      </c>
    </row>
    <row r="21" spans="1:54" s="3" customFormat="1" ht="192">
      <c r="A21" s="63" t="s">
        <v>108</v>
      </c>
      <c r="B21" s="25" t="s">
        <v>110</v>
      </c>
      <c r="C21" s="140"/>
      <c r="D21" s="23" t="s">
        <v>729</v>
      </c>
      <c r="E21" s="25" t="s">
        <v>109</v>
      </c>
      <c r="F21" s="25" t="s">
        <v>57</v>
      </c>
      <c r="G21" s="25" t="s">
        <v>105</v>
      </c>
      <c r="H21" s="25" t="s">
        <v>111</v>
      </c>
      <c r="I21" s="25" t="s">
        <v>111</v>
      </c>
      <c r="J21" s="140"/>
      <c r="K21" s="25"/>
      <c r="L21" s="142"/>
      <c r="M21" s="30">
        <v>43774</v>
      </c>
      <c r="N21" s="25" t="s">
        <v>105</v>
      </c>
      <c r="O21" s="25"/>
      <c r="P21" s="25"/>
      <c r="Q21" s="140">
        <v>43794</v>
      </c>
      <c r="R21" s="31"/>
      <c r="S21" s="23" t="s">
        <v>183</v>
      </c>
      <c r="T21" s="23" t="s">
        <v>305</v>
      </c>
      <c r="U21" s="23" t="s">
        <v>305</v>
      </c>
      <c r="V21" s="23" t="s">
        <v>233</v>
      </c>
      <c r="W21" s="25" t="s">
        <v>112</v>
      </c>
      <c r="X21" s="25"/>
      <c r="Y21" s="25"/>
      <c r="Z21" s="25"/>
      <c r="AA21" s="25"/>
      <c r="AB21" s="35" t="s">
        <v>224</v>
      </c>
      <c r="AC21" s="25" t="s">
        <v>113</v>
      </c>
      <c r="AD21" s="119"/>
      <c r="AE21" s="119">
        <v>3</v>
      </c>
      <c r="AF21" s="33" t="s">
        <v>193</v>
      </c>
      <c r="AG21" s="33"/>
      <c r="AH21" s="33"/>
      <c r="AI21" s="53" t="str">
        <f>A21</f>
        <v>074</v>
      </c>
      <c r="AJ21" s="104"/>
      <c r="AK21" s="31"/>
      <c r="AL21" s="25"/>
      <c r="AM21" s="103"/>
      <c r="AN21" s="25"/>
      <c r="AO21" s="25"/>
      <c r="AP21" s="25"/>
      <c r="AQ21" s="25"/>
      <c r="AR21" s="25"/>
      <c r="AS21" s="25"/>
      <c r="AT21" s="25"/>
      <c r="AU21" s="25"/>
      <c r="AV21" s="25"/>
      <c r="AW21" s="25"/>
      <c r="AX21" s="25"/>
      <c r="AY21" s="25"/>
      <c r="AZ21" s="25"/>
      <c r="BA21" s="25"/>
      <c r="BB21" s="25"/>
    </row>
    <row r="22" spans="1:54" ht="208">
      <c r="A22" s="62" t="s">
        <v>114</v>
      </c>
      <c r="B22" s="23" t="s">
        <v>115</v>
      </c>
      <c r="D22" s="23" t="s">
        <v>729</v>
      </c>
      <c r="E22" s="23" t="s">
        <v>56</v>
      </c>
      <c r="F22" s="23" t="s">
        <v>57</v>
      </c>
      <c r="G22" s="23" t="s">
        <v>83</v>
      </c>
      <c r="H22" s="23" t="s">
        <v>116</v>
      </c>
      <c r="I22" s="23" t="s">
        <v>116</v>
      </c>
      <c r="M22" s="26">
        <v>43775</v>
      </c>
      <c r="N22" s="23" t="s">
        <v>83</v>
      </c>
      <c r="Q22" s="140">
        <v>43775</v>
      </c>
      <c r="S22" s="23" t="s">
        <v>184</v>
      </c>
      <c r="T22" s="23" t="s">
        <v>302</v>
      </c>
      <c r="U22" s="23" t="s">
        <v>302</v>
      </c>
      <c r="V22" s="23" t="s">
        <v>233</v>
      </c>
      <c r="W22" s="23" t="s">
        <v>77</v>
      </c>
      <c r="AB22" s="19" t="s">
        <v>223</v>
      </c>
      <c r="AC22" s="23" t="s">
        <v>117</v>
      </c>
      <c r="AD22" s="118"/>
      <c r="AE22" s="118">
        <v>2</v>
      </c>
      <c r="AF22" s="29" t="s">
        <v>212</v>
      </c>
      <c r="AG22" s="29"/>
      <c r="AH22" s="29"/>
      <c r="AI22" s="53" t="str">
        <f>A22</f>
        <v>075</v>
      </c>
      <c r="AJ22" s="75" t="s">
        <v>5371</v>
      </c>
      <c r="AL22" s="23" t="s">
        <v>5372</v>
      </c>
      <c r="AM22" s="102">
        <v>43784</v>
      </c>
      <c r="AS22" s="39">
        <v>43787</v>
      </c>
      <c r="AT22" s="39"/>
    </row>
    <row r="23" spans="1:54">
      <c r="A23" s="62" t="s">
        <v>118</v>
      </c>
      <c r="B23" s="23" t="s">
        <v>121</v>
      </c>
      <c r="D23" s="23" t="s">
        <v>729</v>
      </c>
      <c r="E23" s="23" t="s">
        <v>56</v>
      </c>
      <c r="F23" s="23" t="s">
        <v>119</v>
      </c>
      <c r="G23" s="23" t="s">
        <v>120</v>
      </c>
      <c r="M23" s="26">
        <v>43774</v>
      </c>
      <c r="N23" s="23" t="s">
        <v>120</v>
      </c>
      <c r="P23" s="23" t="s">
        <v>148</v>
      </c>
      <c r="Q23" s="140">
        <v>43753</v>
      </c>
      <c r="S23" s="23" t="s">
        <v>300</v>
      </c>
      <c r="U23" s="23" t="s">
        <v>304</v>
      </c>
      <c r="V23" s="23" t="s">
        <v>298</v>
      </c>
      <c r="W23" s="23" t="s">
        <v>124</v>
      </c>
      <c r="AB23" s="23" t="s">
        <v>122</v>
      </c>
      <c r="AC23" s="23" t="s">
        <v>123</v>
      </c>
      <c r="AD23" s="118"/>
      <c r="AE23" s="118">
        <v>1</v>
      </c>
      <c r="AF23" s="27" t="s">
        <v>204</v>
      </c>
      <c r="AG23" s="27"/>
      <c r="AH23" s="27"/>
      <c r="AL23" s="23" t="s">
        <v>132</v>
      </c>
      <c r="AS23" s="23" t="s">
        <v>133</v>
      </c>
    </row>
    <row r="24" spans="1:54">
      <c r="A24" s="62" t="s">
        <v>125</v>
      </c>
      <c r="B24" s="23" t="s">
        <v>128</v>
      </c>
      <c r="D24" s="23" t="s">
        <v>729</v>
      </c>
      <c r="E24" s="23" t="s">
        <v>56</v>
      </c>
      <c r="F24" s="23" t="s">
        <v>126</v>
      </c>
      <c r="G24" s="23" t="s">
        <v>127</v>
      </c>
      <c r="M24" s="26">
        <v>43785</v>
      </c>
      <c r="N24" s="23" t="s">
        <v>127</v>
      </c>
      <c r="P24" s="23" t="s">
        <v>147</v>
      </c>
      <c r="Q24" s="140">
        <v>43730</v>
      </c>
      <c r="S24" s="23" t="s">
        <v>145</v>
      </c>
      <c r="U24" s="23" t="s">
        <v>304</v>
      </c>
      <c r="V24" s="23" t="s">
        <v>298</v>
      </c>
      <c r="W24" s="23" t="s">
        <v>129</v>
      </c>
      <c r="AB24" s="23" t="s">
        <v>130</v>
      </c>
      <c r="AC24" s="23" t="s">
        <v>131</v>
      </c>
      <c r="AD24" s="118"/>
      <c r="AE24" s="118">
        <v>1</v>
      </c>
      <c r="AF24" s="27" t="s">
        <v>205</v>
      </c>
      <c r="AG24" s="27"/>
      <c r="AH24" s="27"/>
    </row>
    <row r="25" spans="1:54" s="3" customFormat="1" ht="192">
      <c r="A25" s="63" t="s">
        <v>141</v>
      </c>
      <c r="B25" s="25" t="s">
        <v>142</v>
      </c>
      <c r="C25" s="140"/>
      <c r="D25" s="23" t="s">
        <v>729</v>
      </c>
      <c r="E25" s="25" t="s">
        <v>56</v>
      </c>
      <c r="F25" s="25" t="s">
        <v>57</v>
      </c>
      <c r="G25" s="25" t="s">
        <v>105</v>
      </c>
      <c r="H25" s="25" t="s">
        <v>146</v>
      </c>
      <c r="I25" s="25" t="s">
        <v>146</v>
      </c>
      <c r="J25" s="140"/>
      <c r="K25" s="25"/>
      <c r="L25" s="142"/>
      <c r="M25" s="30">
        <v>43790</v>
      </c>
      <c r="N25" s="25" t="s">
        <v>105</v>
      </c>
      <c r="O25" s="25"/>
      <c r="P25" s="25"/>
      <c r="Q25" s="140">
        <v>43794</v>
      </c>
      <c r="R25" s="31"/>
      <c r="S25" s="25" t="s">
        <v>183</v>
      </c>
      <c r="T25" s="23" t="s">
        <v>305</v>
      </c>
      <c r="U25" s="23" t="s">
        <v>305</v>
      </c>
      <c r="V25" s="23" t="s">
        <v>233</v>
      </c>
      <c r="W25" s="25" t="s">
        <v>143</v>
      </c>
      <c r="X25" s="25"/>
      <c r="Y25" s="25"/>
      <c r="Z25" s="25"/>
      <c r="AA25" s="25"/>
      <c r="AB25" s="35" t="s">
        <v>222</v>
      </c>
      <c r="AC25" s="25" t="s">
        <v>144</v>
      </c>
      <c r="AD25" s="119"/>
      <c r="AE25" s="119">
        <v>2</v>
      </c>
      <c r="AF25" s="33" t="s">
        <v>213</v>
      </c>
      <c r="AG25" s="33"/>
      <c r="AH25" s="33"/>
      <c r="AI25" s="53" t="str">
        <f>A25</f>
        <v>078</v>
      </c>
      <c r="AJ25" s="104"/>
      <c r="AK25" s="31"/>
      <c r="AL25" s="25"/>
      <c r="AM25" s="103"/>
      <c r="AN25" s="25"/>
      <c r="AO25" s="25"/>
      <c r="AP25" s="25"/>
      <c r="AQ25" s="25"/>
      <c r="AR25" s="25"/>
      <c r="AS25" s="25"/>
      <c r="AT25" s="25"/>
      <c r="AU25" s="25"/>
      <c r="AV25" s="25"/>
      <c r="AW25" s="25"/>
      <c r="AX25" s="25"/>
      <c r="AY25" s="25"/>
      <c r="AZ25" s="25"/>
      <c r="BA25" s="25"/>
      <c r="BB25" s="25"/>
    </row>
    <row r="26" spans="1:54" ht="256">
      <c r="A26" s="62" t="s">
        <v>149</v>
      </c>
      <c r="B26" s="23" t="s">
        <v>2855</v>
      </c>
      <c r="C26" s="140">
        <v>43787</v>
      </c>
      <c r="D26" s="23" t="s">
        <v>729</v>
      </c>
      <c r="E26" s="23" t="s">
        <v>56</v>
      </c>
      <c r="F26" s="23" t="s">
        <v>2200</v>
      </c>
      <c r="G26" s="23" t="s">
        <v>150</v>
      </c>
      <c r="H26" s="23" t="s">
        <v>151</v>
      </c>
      <c r="I26" s="23" t="s">
        <v>151</v>
      </c>
      <c r="M26" s="26">
        <v>43799</v>
      </c>
      <c r="N26" s="23" t="s">
        <v>152</v>
      </c>
      <c r="Q26" s="140">
        <v>43804</v>
      </c>
      <c r="S26" s="23" t="s">
        <v>300</v>
      </c>
      <c r="T26" s="23" t="s">
        <v>305</v>
      </c>
      <c r="U26" s="23" t="s">
        <v>305</v>
      </c>
      <c r="V26" s="23" t="s">
        <v>299</v>
      </c>
      <c r="W26" s="23" t="s">
        <v>153</v>
      </c>
      <c r="AB26" s="23" t="s">
        <v>182</v>
      </c>
      <c r="AC26" s="23" t="s">
        <v>154</v>
      </c>
      <c r="AD26" s="118"/>
      <c r="AE26" s="118">
        <v>2</v>
      </c>
      <c r="AF26" s="29" t="s">
        <v>188</v>
      </c>
      <c r="AG26" s="29"/>
      <c r="AH26" s="29"/>
    </row>
    <row r="27" spans="1:54" ht="160">
      <c r="A27" s="62" t="s">
        <v>155</v>
      </c>
      <c r="B27" s="23" t="s">
        <v>156</v>
      </c>
      <c r="D27" s="23" t="s">
        <v>729</v>
      </c>
      <c r="E27" s="23" t="s">
        <v>56</v>
      </c>
      <c r="F27" s="23" t="s">
        <v>57</v>
      </c>
      <c r="G27" s="23" t="s">
        <v>83</v>
      </c>
      <c r="H27" s="23" t="s">
        <v>157</v>
      </c>
      <c r="I27" s="23" t="s">
        <v>157</v>
      </c>
      <c r="M27" s="26">
        <v>43810</v>
      </c>
      <c r="N27" s="23" t="s">
        <v>83</v>
      </c>
      <c r="P27" s="23" t="s">
        <v>158</v>
      </c>
      <c r="Q27" s="140">
        <v>43807</v>
      </c>
      <c r="S27" s="23" t="s">
        <v>184</v>
      </c>
      <c r="T27" s="23" t="s">
        <v>302</v>
      </c>
      <c r="U27" s="23" t="s">
        <v>302</v>
      </c>
      <c r="V27" s="23" t="s">
        <v>233</v>
      </c>
      <c r="W27" s="23" t="s">
        <v>159</v>
      </c>
      <c r="AB27" s="23" t="s">
        <v>160</v>
      </c>
      <c r="AC27" s="23" t="s">
        <v>161</v>
      </c>
      <c r="AD27" s="118"/>
      <c r="AE27" s="118">
        <v>1</v>
      </c>
      <c r="AF27" s="29" t="s">
        <v>214</v>
      </c>
      <c r="AG27" s="29"/>
      <c r="AH27" s="29"/>
      <c r="AI27" s="53" t="str">
        <f t="shared" ref="AI27:AI33" si="0">A27</f>
        <v>080</v>
      </c>
    </row>
    <row r="28" spans="1:54" ht="128">
      <c r="A28" s="62" t="s">
        <v>162</v>
      </c>
      <c r="B28" s="23" t="s">
        <v>167</v>
      </c>
      <c r="C28" s="140">
        <v>43813</v>
      </c>
      <c r="D28" s="23" t="s">
        <v>729</v>
      </c>
      <c r="E28" s="23" t="s">
        <v>56</v>
      </c>
      <c r="F28" s="23" t="s">
        <v>57</v>
      </c>
      <c r="G28" s="23" t="s">
        <v>60</v>
      </c>
      <c r="H28" s="23" t="s">
        <v>168</v>
      </c>
      <c r="I28" s="23" t="s">
        <v>168</v>
      </c>
      <c r="J28" s="140">
        <v>43812</v>
      </c>
      <c r="K28" s="23" t="s">
        <v>185</v>
      </c>
      <c r="L28" s="140">
        <v>43816</v>
      </c>
      <c r="M28" s="26">
        <v>43815</v>
      </c>
      <c r="N28" s="23" t="s">
        <v>105</v>
      </c>
      <c r="P28" s="23" t="s">
        <v>186</v>
      </c>
      <c r="Q28" s="140">
        <v>43820</v>
      </c>
      <c r="S28" s="23" t="s">
        <v>183</v>
      </c>
      <c r="T28" s="23" t="s">
        <v>305</v>
      </c>
      <c r="U28" s="23" t="s">
        <v>305</v>
      </c>
      <c r="V28" s="23" t="s">
        <v>233</v>
      </c>
      <c r="W28" s="23" t="s">
        <v>143</v>
      </c>
      <c r="X28" s="36" t="s">
        <v>180</v>
      </c>
      <c r="Y28" s="36" t="s">
        <v>178</v>
      </c>
      <c r="Z28" s="36" t="s">
        <v>174</v>
      </c>
      <c r="AA28" s="36" t="s">
        <v>176</v>
      </c>
      <c r="AB28" s="23" t="s">
        <v>227</v>
      </c>
      <c r="AC28" s="23" t="s">
        <v>170</v>
      </c>
      <c r="AD28" s="118"/>
      <c r="AE28" s="118">
        <v>1</v>
      </c>
      <c r="AF28" s="29" t="s">
        <v>242</v>
      </c>
      <c r="AG28" s="29"/>
      <c r="AH28" s="29"/>
      <c r="AI28" s="55" t="str">
        <f t="shared" si="0"/>
        <v>081</v>
      </c>
      <c r="AJ28" s="105" t="s">
        <v>247</v>
      </c>
      <c r="AK28" s="56"/>
    </row>
    <row r="29" spans="1:54" ht="128">
      <c r="A29" s="63" t="s">
        <v>163</v>
      </c>
      <c r="B29" s="23" t="s">
        <v>171</v>
      </c>
      <c r="C29" s="140">
        <v>43813</v>
      </c>
      <c r="D29" s="23" t="s">
        <v>729</v>
      </c>
      <c r="E29" s="23" t="s">
        <v>56</v>
      </c>
      <c r="F29" s="23" t="s">
        <v>57</v>
      </c>
      <c r="G29" s="23" t="s">
        <v>60</v>
      </c>
      <c r="H29" s="23" t="s">
        <v>172</v>
      </c>
      <c r="I29" s="23" t="s">
        <v>172</v>
      </c>
      <c r="J29" s="140">
        <v>43809</v>
      </c>
      <c r="K29" s="23" t="s">
        <v>187</v>
      </c>
      <c r="L29" s="140">
        <v>43816</v>
      </c>
      <c r="M29" s="26">
        <v>43815</v>
      </c>
      <c r="N29" s="23" t="s">
        <v>105</v>
      </c>
      <c r="P29" s="23" t="s">
        <v>186</v>
      </c>
      <c r="Q29" s="140">
        <v>43820</v>
      </c>
      <c r="S29" s="23" t="s">
        <v>183</v>
      </c>
      <c r="T29" s="23" t="s">
        <v>305</v>
      </c>
      <c r="U29" s="23" t="s">
        <v>305</v>
      </c>
      <c r="V29" s="23" t="s">
        <v>233</v>
      </c>
      <c r="W29" s="23" t="s">
        <v>112</v>
      </c>
      <c r="X29" s="36" t="s">
        <v>181</v>
      </c>
      <c r="Y29" s="36" t="s">
        <v>179</v>
      </c>
      <c r="Z29" s="36" t="s">
        <v>175</v>
      </c>
      <c r="AA29" s="36" t="s">
        <v>177</v>
      </c>
      <c r="AB29" s="19" t="s">
        <v>228</v>
      </c>
      <c r="AC29" s="23" t="s">
        <v>173</v>
      </c>
      <c r="AD29" s="118"/>
      <c r="AE29" s="118">
        <v>3</v>
      </c>
      <c r="AF29" s="29" t="s">
        <v>243</v>
      </c>
      <c r="AG29" s="29"/>
      <c r="AH29" s="29"/>
      <c r="AI29" s="55" t="str">
        <f t="shared" si="0"/>
        <v>082</v>
      </c>
      <c r="AJ29" s="105" t="s">
        <v>246</v>
      </c>
      <c r="AK29" s="56"/>
    </row>
    <row r="30" spans="1:54" ht="48">
      <c r="A30" s="63" t="s">
        <v>229</v>
      </c>
      <c r="B30" s="23" t="s">
        <v>230</v>
      </c>
      <c r="C30" s="140">
        <v>43842</v>
      </c>
      <c r="D30" s="23" t="s">
        <v>729</v>
      </c>
      <c r="E30" s="23" t="s">
        <v>56</v>
      </c>
      <c r="F30" s="23" t="s">
        <v>57</v>
      </c>
      <c r="G30" s="23" t="s">
        <v>83</v>
      </c>
      <c r="H30" s="23" t="s">
        <v>231</v>
      </c>
      <c r="I30" s="23" t="s">
        <v>231</v>
      </c>
      <c r="J30" s="140">
        <v>43839</v>
      </c>
      <c r="M30" s="26">
        <v>43845</v>
      </c>
      <c r="N30" s="23" t="s">
        <v>83</v>
      </c>
      <c r="P30" s="23" t="s">
        <v>232</v>
      </c>
      <c r="Q30" s="140">
        <v>43844</v>
      </c>
      <c r="S30" s="23" t="s">
        <v>184</v>
      </c>
      <c r="T30" s="23" t="s">
        <v>302</v>
      </c>
      <c r="U30" s="23" t="s">
        <v>302</v>
      </c>
      <c r="V30" s="23" t="s">
        <v>233</v>
      </c>
      <c r="W30" s="23" t="s">
        <v>234</v>
      </c>
      <c r="X30" s="36" t="s">
        <v>236</v>
      </c>
      <c r="Y30" s="36" t="s">
        <v>237</v>
      </c>
      <c r="Z30" s="36" t="s">
        <v>238</v>
      </c>
      <c r="AA30" s="36" t="s">
        <v>239</v>
      </c>
      <c r="AB30" s="23" t="s">
        <v>235</v>
      </c>
      <c r="AC30" s="23" t="s">
        <v>240</v>
      </c>
      <c r="AD30" s="118"/>
      <c r="AE30" s="118">
        <v>1</v>
      </c>
      <c r="AF30" s="29" t="s">
        <v>241</v>
      </c>
      <c r="AG30" s="29"/>
      <c r="AH30" s="29"/>
      <c r="AI30" s="55" t="str">
        <f t="shared" si="0"/>
        <v>083</v>
      </c>
      <c r="AJ30" s="105" t="s">
        <v>5353</v>
      </c>
      <c r="AK30" s="56"/>
      <c r="AL30" s="23" t="s">
        <v>5350</v>
      </c>
      <c r="AM30" s="102">
        <v>43836</v>
      </c>
    </row>
    <row r="31" spans="1:54" ht="128">
      <c r="A31" s="63" t="s">
        <v>244</v>
      </c>
      <c r="B31" s="23" t="s">
        <v>248</v>
      </c>
      <c r="C31" s="140">
        <v>43848</v>
      </c>
      <c r="D31" s="23" t="s">
        <v>729</v>
      </c>
      <c r="E31" s="23" t="s">
        <v>56</v>
      </c>
      <c r="F31" s="23" t="s">
        <v>57</v>
      </c>
      <c r="G31" s="23" t="s">
        <v>60</v>
      </c>
      <c r="H31" s="23" t="s">
        <v>254</v>
      </c>
      <c r="I31" s="23" t="s">
        <v>254</v>
      </c>
      <c r="J31" s="140">
        <v>43845</v>
      </c>
      <c r="K31" s="23" t="s">
        <v>256</v>
      </c>
      <c r="L31" s="140">
        <v>43880</v>
      </c>
      <c r="M31" s="26">
        <v>43847</v>
      </c>
      <c r="N31" s="23" t="s">
        <v>60</v>
      </c>
      <c r="Q31" s="140">
        <v>43855</v>
      </c>
      <c r="S31" s="23" t="s">
        <v>183</v>
      </c>
      <c r="T31" s="23" t="s">
        <v>305</v>
      </c>
      <c r="U31" s="23" t="s">
        <v>305</v>
      </c>
      <c r="V31" s="23" t="s">
        <v>233</v>
      </c>
      <c r="W31" s="23" t="s">
        <v>143</v>
      </c>
      <c r="X31" s="27" t="s">
        <v>251</v>
      </c>
      <c r="Y31" s="27" t="s">
        <v>250</v>
      </c>
      <c r="Z31" s="27" t="s">
        <v>252</v>
      </c>
      <c r="AA31" s="27" t="s">
        <v>253</v>
      </c>
      <c r="AB31" s="19" t="s">
        <v>255</v>
      </c>
      <c r="AC31" s="23" t="s">
        <v>249</v>
      </c>
      <c r="AD31" s="118"/>
      <c r="AE31" s="118">
        <v>4</v>
      </c>
      <c r="AF31" s="29" t="s">
        <v>257</v>
      </c>
      <c r="AG31" s="29"/>
      <c r="AH31" s="29"/>
      <c r="AI31" s="55" t="str">
        <f t="shared" si="0"/>
        <v>084</v>
      </c>
      <c r="AJ31" s="105" t="s">
        <v>245</v>
      </c>
      <c r="AK31" s="56"/>
    </row>
    <row r="32" spans="1:54" ht="48">
      <c r="A32" s="63" t="s">
        <v>268</v>
      </c>
      <c r="B32" s="23" t="s">
        <v>269</v>
      </c>
      <c r="C32" s="140">
        <v>43868</v>
      </c>
      <c r="D32" s="23" t="s">
        <v>729</v>
      </c>
      <c r="E32" s="23" t="s">
        <v>56</v>
      </c>
      <c r="F32" s="23" t="s">
        <v>57</v>
      </c>
      <c r="G32" s="23" t="s">
        <v>83</v>
      </c>
      <c r="H32" s="23" t="s">
        <v>279</v>
      </c>
      <c r="I32" s="23" t="s">
        <v>279</v>
      </c>
      <c r="J32" s="140">
        <v>43864</v>
      </c>
      <c r="M32" s="26">
        <v>43872</v>
      </c>
      <c r="N32" s="23" t="s">
        <v>83</v>
      </c>
      <c r="P32" s="23" t="s">
        <v>270</v>
      </c>
      <c r="Q32" s="140">
        <v>43871</v>
      </c>
      <c r="S32" s="23" t="s">
        <v>184</v>
      </c>
      <c r="T32" s="23" t="s">
        <v>302</v>
      </c>
      <c r="U32" s="23" t="s">
        <v>302</v>
      </c>
      <c r="V32" s="23" t="s">
        <v>233</v>
      </c>
      <c r="W32" s="23" t="s">
        <v>271</v>
      </c>
      <c r="X32" s="27" t="s">
        <v>280</v>
      </c>
      <c r="Y32" s="27" t="s">
        <v>272</v>
      </c>
      <c r="Z32" s="27" t="s">
        <v>281</v>
      </c>
      <c r="AA32" s="27" t="s">
        <v>282</v>
      </c>
      <c r="AB32" s="23" t="s">
        <v>273</v>
      </c>
      <c r="AC32" s="23" t="s">
        <v>274</v>
      </c>
      <c r="AD32" s="118"/>
      <c r="AE32" s="118">
        <v>1</v>
      </c>
      <c r="AF32" s="29" t="s">
        <v>287</v>
      </c>
      <c r="AG32" s="29"/>
      <c r="AH32" s="29"/>
      <c r="AI32" s="57" t="str">
        <f t="shared" si="0"/>
        <v>085</v>
      </c>
      <c r="AJ32" s="106"/>
      <c r="AK32" s="55"/>
    </row>
    <row r="33" spans="1:39" ht="48">
      <c r="A33" s="63" t="s">
        <v>275</v>
      </c>
      <c r="B33" s="23" t="s">
        <v>276</v>
      </c>
      <c r="C33" s="140">
        <v>43868</v>
      </c>
      <c r="D33" s="23" t="s">
        <v>729</v>
      </c>
      <c r="E33" s="23" t="s">
        <v>56</v>
      </c>
      <c r="F33" s="23" t="s">
        <v>57</v>
      </c>
      <c r="G33" s="23" t="s">
        <v>83</v>
      </c>
      <c r="H33" s="23" t="s">
        <v>283</v>
      </c>
      <c r="I33" s="23" t="s">
        <v>283</v>
      </c>
      <c r="J33" s="140">
        <v>43864</v>
      </c>
      <c r="K33" s="23" t="s">
        <v>297</v>
      </c>
      <c r="L33" s="140">
        <v>43872</v>
      </c>
      <c r="M33" s="26">
        <v>43872</v>
      </c>
      <c r="N33" s="23" t="s">
        <v>83</v>
      </c>
      <c r="P33" s="23" t="s">
        <v>270</v>
      </c>
      <c r="Q33" s="140">
        <v>43871</v>
      </c>
      <c r="S33" s="23" t="s">
        <v>184</v>
      </c>
      <c r="T33" s="23" t="s">
        <v>302</v>
      </c>
      <c r="U33" s="23" t="s">
        <v>302</v>
      </c>
      <c r="V33" s="23" t="s">
        <v>233</v>
      </c>
      <c r="W33" s="23" t="s">
        <v>284</v>
      </c>
      <c r="X33" s="27" t="s">
        <v>285</v>
      </c>
      <c r="Y33" s="27" t="s">
        <v>277</v>
      </c>
      <c r="Z33" s="44">
        <v>11415.61</v>
      </c>
      <c r="AA33" s="43">
        <v>10390.76</v>
      </c>
      <c r="AB33" s="23" t="s">
        <v>278</v>
      </c>
      <c r="AC33" s="23" t="s">
        <v>286</v>
      </c>
      <c r="AD33" s="118"/>
      <c r="AE33" s="118">
        <v>1</v>
      </c>
      <c r="AF33" s="29" t="s">
        <v>288</v>
      </c>
      <c r="AG33" s="23" t="s">
        <v>787</v>
      </c>
      <c r="AH33" s="29"/>
      <c r="AI33" s="57" t="str">
        <f t="shared" si="0"/>
        <v>086</v>
      </c>
      <c r="AJ33" s="106"/>
      <c r="AK33" s="55"/>
    </row>
    <row r="34" spans="1:39" ht="64">
      <c r="A34" s="63" t="s">
        <v>289</v>
      </c>
      <c r="B34" s="23" t="s">
        <v>294</v>
      </c>
      <c r="C34" s="140">
        <v>43877</v>
      </c>
      <c r="D34" s="23" t="s">
        <v>729</v>
      </c>
      <c r="E34" s="23" t="s">
        <v>56</v>
      </c>
      <c r="F34" s="23" t="s">
        <v>57</v>
      </c>
      <c r="G34" s="23" t="s">
        <v>60</v>
      </c>
      <c r="H34" s="23" t="s">
        <v>290</v>
      </c>
      <c r="I34" s="23" t="s">
        <v>290</v>
      </c>
      <c r="J34" s="140">
        <v>43874</v>
      </c>
      <c r="K34" s="23" t="s">
        <v>306</v>
      </c>
      <c r="L34" s="140">
        <v>43880</v>
      </c>
      <c r="M34" s="26">
        <v>43878</v>
      </c>
      <c r="N34" s="23" t="s">
        <v>60</v>
      </c>
      <c r="P34" s="23" t="s">
        <v>307</v>
      </c>
      <c r="Q34" s="140">
        <v>43882</v>
      </c>
      <c r="S34" s="23" t="s">
        <v>183</v>
      </c>
      <c r="T34" s="23" t="s">
        <v>305</v>
      </c>
      <c r="U34" s="23" t="s">
        <v>305</v>
      </c>
      <c r="V34" s="23" t="s">
        <v>233</v>
      </c>
      <c r="W34" s="23" t="s">
        <v>143</v>
      </c>
      <c r="X34" s="27" t="s">
        <v>292</v>
      </c>
      <c r="Y34" s="27" t="s">
        <v>291</v>
      </c>
      <c r="Z34" s="27" t="s">
        <v>295</v>
      </c>
      <c r="AA34" s="37" t="s">
        <v>296</v>
      </c>
      <c r="AB34" s="19" t="s">
        <v>293</v>
      </c>
      <c r="AC34" s="23" t="s">
        <v>249</v>
      </c>
      <c r="AD34" s="118"/>
      <c r="AE34" s="118">
        <v>4</v>
      </c>
      <c r="AI34" s="58" t="s">
        <v>289</v>
      </c>
    </row>
    <row r="35" spans="1:39">
      <c r="A35" s="64" t="s">
        <v>308</v>
      </c>
      <c r="B35" s="23" t="s">
        <v>309</v>
      </c>
      <c r="C35" s="140">
        <v>43736</v>
      </c>
      <c r="D35" s="23" t="s">
        <v>729</v>
      </c>
      <c r="E35" s="23" t="s">
        <v>56</v>
      </c>
      <c r="F35" s="23" t="s">
        <v>126</v>
      </c>
      <c r="G35" s="23" t="s">
        <v>310</v>
      </c>
      <c r="M35" s="26">
        <v>43902</v>
      </c>
      <c r="N35" s="23" t="s">
        <v>310</v>
      </c>
      <c r="P35" s="23" t="s">
        <v>311</v>
      </c>
      <c r="Q35" s="140">
        <v>43787</v>
      </c>
      <c r="S35" s="23" t="s">
        <v>312</v>
      </c>
      <c r="T35" s="23" t="s">
        <v>304</v>
      </c>
      <c r="U35" s="23" t="s">
        <v>304</v>
      </c>
      <c r="V35" s="23" t="s">
        <v>298</v>
      </c>
      <c r="W35" s="23" t="s">
        <v>317</v>
      </c>
      <c r="Y35" s="27" t="s">
        <v>313</v>
      </c>
      <c r="AA35" s="37"/>
      <c r="AB35" s="23" t="s">
        <v>314</v>
      </c>
      <c r="AC35" s="23" t="s">
        <v>123</v>
      </c>
      <c r="AD35" s="118"/>
      <c r="AE35" s="118">
        <v>1</v>
      </c>
    </row>
    <row r="36" spans="1:39">
      <c r="A36" s="62" t="s">
        <v>315</v>
      </c>
      <c r="B36" s="23" t="s">
        <v>316</v>
      </c>
      <c r="C36" s="140">
        <v>43864</v>
      </c>
      <c r="D36" s="23" t="s">
        <v>729</v>
      </c>
      <c r="E36" s="23" t="s">
        <v>56</v>
      </c>
      <c r="F36" s="23" t="s">
        <v>2127</v>
      </c>
      <c r="G36" s="23" t="s">
        <v>2197</v>
      </c>
      <c r="M36" s="26">
        <v>43902</v>
      </c>
      <c r="N36" s="23" t="s">
        <v>310</v>
      </c>
      <c r="P36" s="23" t="s">
        <v>342</v>
      </c>
      <c r="Q36" s="140">
        <v>43912</v>
      </c>
      <c r="S36" s="23" t="s">
        <v>312</v>
      </c>
      <c r="T36" s="23" t="s">
        <v>304</v>
      </c>
      <c r="U36" s="23" t="s">
        <v>304</v>
      </c>
      <c r="V36" s="23" t="s">
        <v>298</v>
      </c>
      <c r="W36" s="23" t="s">
        <v>318</v>
      </c>
      <c r="Y36" s="27" t="s">
        <v>321</v>
      </c>
      <c r="AA36" s="37"/>
      <c r="AB36" s="23" t="s">
        <v>322</v>
      </c>
      <c r="AC36" s="23" t="s">
        <v>123</v>
      </c>
      <c r="AD36" s="118"/>
      <c r="AE36" s="118">
        <v>1</v>
      </c>
    </row>
    <row r="37" spans="1:39">
      <c r="A37" s="62" t="s">
        <v>325</v>
      </c>
      <c r="B37" s="23" t="s">
        <v>326</v>
      </c>
      <c r="C37" s="140">
        <v>43872</v>
      </c>
      <c r="D37" s="23" t="s">
        <v>729</v>
      </c>
      <c r="E37" s="23" t="s">
        <v>56</v>
      </c>
      <c r="F37" s="23" t="s">
        <v>2127</v>
      </c>
      <c r="G37" s="23" t="s">
        <v>2197</v>
      </c>
      <c r="M37" s="26">
        <v>43902</v>
      </c>
      <c r="N37" s="23" t="s">
        <v>327</v>
      </c>
      <c r="S37" s="23" t="s">
        <v>319</v>
      </c>
      <c r="T37" s="23" t="s">
        <v>304</v>
      </c>
      <c r="U37" s="23" t="s">
        <v>304</v>
      </c>
      <c r="V37" s="23" t="s">
        <v>298</v>
      </c>
      <c r="W37" s="23" t="s">
        <v>320</v>
      </c>
      <c r="Y37" s="27" t="s">
        <v>323</v>
      </c>
      <c r="AA37" s="37"/>
      <c r="AB37" s="23" t="s">
        <v>324</v>
      </c>
      <c r="AC37" s="23" t="s">
        <v>131</v>
      </c>
      <c r="AD37" s="118"/>
      <c r="AE37" s="118">
        <v>1</v>
      </c>
    </row>
    <row r="38" spans="1:39">
      <c r="A38" s="63" t="s">
        <v>328</v>
      </c>
      <c r="B38" s="23" t="s">
        <v>329</v>
      </c>
      <c r="C38" s="140">
        <v>43902</v>
      </c>
      <c r="D38" s="23" t="s">
        <v>729</v>
      </c>
      <c r="E38" s="23" t="s">
        <v>56</v>
      </c>
      <c r="F38" s="23" t="s">
        <v>57</v>
      </c>
      <c r="G38" s="23" t="s">
        <v>83</v>
      </c>
      <c r="H38" s="23" t="s">
        <v>330</v>
      </c>
      <c r="I38" s="23" t="s">
        <v>330</v>
      </c>
      <c r="J38" s="140">
        <v>43895</v>
      </c>
      <c r="M38" s="26">
        <v>43902</v>
      </c>
      <c r="N38" s="23" t="s">
        <v>83</v>
      </c>
      <c r="P38" s="23" t="s">
        <v>331</v>
      </c>
      <c r="S38" s="23" t="s">
        <v>184</v>
      </c>
      <c r="T38" s="23" t="s">
        <v>302</v>
      </c>
      <c r="U38" s="23" t="s">
        <v>302</v>
      </c>
      <c r="V38" s="23" t="s">
        <v>233</v>
      </c>
      <c r="W38" s="23" t="s">
        <v>332</v>
      </c>
      <c r="X38" s="27" t="s">
        <v>334</v>
      </c>
      <c r="Y38" s="27" t="s">
        <v>333</v>
      </c>
      <c r="Z38" s="37">
        <v>21793.48</v>
      </c>
      <c r="AA38" s="37">
        <v>20307.169999999998</v>
      </c>
      <c r="AB38" s="23" t="s">
        <v>335</v>
      </c>
      <c r="AC38" s="23" t="s">
        <v>336</v>
      </c>
      <c r="AD38" s="118"/>
      <c r="AE38" s="118">
        <v>1</v>
      </c>
      <c r="AJ38" s="75" t="s">
        <v>5356</v>
      </c>
      <c r="AL38" s="23" t="s">
        <v>5343</v>
      </c>
      <c r="AM38" s="102">
        <v>43907</v>
      </c>
    </row>
    <row r="39" spans="1:39" ht="64">
      <c r="A39" s="71" t="s">
        <v>337</v>
      </c>
      <c r="B39" s="23" t="s">
        <v>338</v>
      </c>
      <c r="C39" s="140">
        <v>43900</v>
      </c>
      <c r="D39" s="23" t="s">
        <v>729</v>
      </c>
      <c r="E39" s="23" t="s">
        <v>56</v>
      </c>
      <c r="F39" s="23" t="s">
        <v>2200</v>
      </c>
      <c r="G39" s="23" t="s">
        <v>150</v>
      </c>
      <c r="H39" s="23" t="s">
        <v>339</v>
      </c>
      <c r="I39" s="23" t="s">
        <v>339</v>
      </c>
      <c r="J39" s="140">
        <v>43850</v>
      </c>
      <c r="K39" s="23" t="s">
        <v>340</v>
      </c>
      <c r="L39" s="140">
        <v>43901</v>
      </c>
      <c r="M39" s="26">
        <v>43910</v>
      </c>
      <c r="N39" s="23" t="s">
        <v>152</v>
      </c>
      <c r="P39" s="23" t="s">
        <v>341</v>
      </c>
      <c r="Q39" s="140">
        <v>43911</v>
      </c>
      <c r="S39" s="23" t="s">
        <v>300</v>
      </c>
      <c r="T39" s="23" t="s">
        <v>305</v>
      </c>
      <c r="U39" s="23" t="s">
        <v>305</v>
      </c>
      <c r="V39" s="23" t="s">
        <v>299</v>
      </c>
      <c r="W39" s="23" t="s">
        <v>355</v>
      </c>
      <c r="X39" s="27" t="s">
        <v>343</v>
      </c>
      <c r="Y39" s="27" t="s">
        <v>343</v>
      </c>
      <c r="Z39" s="37">
        <v>158400</v>
      </c>
      <c r="AA39" s="37">
        <v>156000</v>
      </c>
      <c r="AB39" s="19" t="s">
        <v>344</v>
      </c>
      <c r="AC39" s="23" t="s">
        <v>345</v>
      </c>
      <c r="AD39" s="118">
        <v>0</v>
      </c>
      <c r="AE39" s="118">
        <v>4</v>
      </c>
    </row>
    <row r="40" spans="1:39" ht="96">
      <c r="A40" s="63" t="s">
        <v>346</v>
      </c>
      <c r="B40" s="23" t="s">
        <v>347</v>
      </c>
      <c r="C40" s="140">
        <v>43912</v>
      </c>
      <c r="D40" s="23" t="s">
        <v>729</v>
      </c>
      <c r="E40" s="23" t="s">
        <v>56</v>
      </c>
      <c r="F40" s="23" t="s">
        <v>57</v>
      </c>
      <c r="G40" s="23" t="s">
        <v>348</v>
      </c>
      <c r="H40" s="23" t="s">
        <v>349</v>
      </c>
      <c r="I40" s="23" t="s">
        <v>349</v>
      </c>
      <c r="J40" s="140">
        <v>43908</v>
      </c>
      <c r="K40" s="23" t="s">
        <v>350</v>
      </c>
      <c r="L40" s="140">
        <v>43915</v>
      </c>
      <c r="M40" s="26">
        <v>43916</v>
      </c>
      <c r="N40" s="23" t="s">
        <v>348</v>
      </c>
      <c r="S40" s="23" t="s">
        <v>183</v>
      </c>
      <c r="T40" s="23" t="s">
        <v>305</v>
      </c>
      <c r="U40" s="23" t="s">
        <v>305</v>
      </c>
      <c r="V40" s="23" t="s">
        <v>356</v>
      </c>
      <c r="W40" s="23" t="s">
        <v>351</v>
      </c>
      <c r="X40" s="27" t="s">
        <v>352</v>
      </c>
      <c r="Y40" s="27" t="s">
        <v>353</v>
      </c>
      <c r="Z40" s="37">
        <v>74653.48</v>
      </c>
      <c r="AA40" s="37">
        <v>71065.48</v>
      </c>
      <c r="AB40" s="19" t="s">
        <v>357</v>
      </c>
      <c r="AC40" s="23" t="s">
        <v>354</v>
      </c>
      <c r="AD40" s="118"/>
      <c r="AE40" s="118">
        <v>6</v>
      </c>
    </row>
    <row r="41" spans="1:39" ht="80">
      <c r="A41" s="62" t="s">
        <v>358</v>
      </c>
      <c r="B41" s="23" t="s">
        <v>359</v>
      </c>
      <c r="C41" s="140">
        <v>43919</v>
      </c>
      <c r="D41" s="23" t="s">
        <v>729</v>
      </c>
      <c r="E41" s="23" t="s">
        <v>360</v>
      </c>
      <c r="F41" s="23" t="s">
        <v>362</v>
      </c>
      <c r="G41" s="23" t="s">
        <v>361</v>
      </c>
      <c r="S41" s="23" t="s">
        <v>183</v>
      </c>
      <c r="T41" s="23" t="s">
        <v>363</v>
      </c>
      <c r="U41" s="23" t="s">
        <v>363</v>
      </c>
      <c r="V41" s="23" t="s">
        <v>298</v>
      </c>
      <c r="W41" s="19" t="s">
        <v>364</v>
      </c>
      <c r="Y41" s="37">
        <v>4347.07</v>
      </c>
      <c r="AB41" s="23" t="s">
        <v>365</v>
      </c>
      <c r="AC41" s="23" t="s">
        <v>366</v>
      </c>
      <c r="AD41" s="118"/>
      <c r="AE41" s="118">
        <v>1</v>
      </c>
      <c r="AF41" s="23" t="s">
        <v>367</v>
      </c>
    </row>
    <row r="42" spans="1:39" ht="112">
      <c r="A42" s="65" t="s">
        <v>368</v>
      </c>
      <c r="B42" s="23" t="s">
        <v>371</v>
      </c>
      <c r="C42" s="140">
        <v>43914</v>
      </c>
      <c r="D42" s="23" t="s">
        <v>729</v>
      </c>
      <c r="E42" s="23" t="s">
        <v>56</v>
      </c>
      <c r="F42" s="23" t="s">
        <v>2200</v>
      </c>
      <c r="G42" s="23" t="s">
        <v>150</v>
      </c>
      <c r="H42" s="23" t="s">
        <v>372</v>
      </c>
      <c r="I42" s="23" t="s">
        <v>372</v>
      </c>
      <c r="J42" s="140">
        <v>43881</v>
      </c>
      <c r="K42" s="23" t="s">
        <v>373</v>
      </c>
      <c r="L42" s="140">
        <v>43920</v>
      </c>
      <c r="N42" s="23" t="s">
        <v>375</v>
      </c>
      <c r="P42" s="23" t="s">
        <v>376</v>
      </c>
      <c r="Q42" s="140">
        <v>43927</v>
      </c>
      <c r="S42" s="23" t="s">
        <v>300</v>
      </c>
      <c r="T42" s="23" t="s">
        <v>305</v>
      </c>
      <c r="U42" s="23" t="s">
        <v>305</v>
      </c>
      <c r="V42" s="23" t="s">
        <v>299</v>
      </c>
      <c r="W42" s="23" t="s">
        <v>377</v>
      </c>
      <c r="X42" s="37">
        <v>76551</v>
      </c>
      <c r="Y42" s="37">
        <v>76551</v>
      </c>
      <c r="Z42" s="38">
        <v>698700</v>
      </c>
      <c r="AC42" s="23" t="s">
        <v>378</v>
      </c>
      <c r="AD42" s="118">
        <v>0</v>
      </c>
      <c r="AE42" s="118">
        <v>17</v>
      </c>
      <c r="AF42" s="42" t="s">
        <v>1321</v>
      </c>
    </row>
    <row r="43" spans="1:39">
      <c r="A43" s="62" t="s">
        <v>374</v>
      </c>
      <c r="B43" s="23" t="s">
        <v>369</v>
      </c>
      <c r="C43" s="140">
        <v>43920</v>
      </c>
      <c r="D43" s="23" t="s">
        <v>729</v>
      </c>
      <c r="E43" s="23" t="s">
        <v>56</v>
      </c>
      <c r="F43" s="23" t="s">
        <v>370</v>
      </c>
      <c r="G43" s="23" t="s">
        <v>150</v>
      </c>
      <c r="H43" s="23" t="s">
        <v>405</v>
      </c>
      <c r="I43" s="23" t="s">
        <v>405</v>
      </c>
      <c r="J43" s="140">
        <v>43915</v>
      </c>
      <c r="Q43" s="140">
        <v>43933</v>
      </c>
      <c r="S43" s="23" t="s">
        <v>300</v>
      </c>
      <c r="T43" s="23" t="s">
        <v>305</v>
      </c>
      <c r="U43" s="23" t="s">
        <v>305</v>
      </c>
      <c r="V43" s="23" t="s">
        <v>305</v>
      </c>
      <c r="W43" s="23" t="s">
        <v>406</v>
      </c>
      <c r="Y43" s="23">
        <v>2381.8000000000002</v>
      </c>
      <c r="AB43" s="23" t="s">
        <v>407</v>
      </c>
      <c r="AC43" s="23" t="s">
        <v>408</v>
      </c>
      <c r="AD43" s="118"/>
      <c r="AE43" s="118">
        <v>1</v>
      </c>
    </row>
    <row r="44" spans="1:39">
      <c r="A44" s="62" t="s">
        <v>379</v>
      </c>
      <c r="B44" s="23" t="s">
        <v>380</v>
      </c>
      <c r="C44" s="140">
        <v>43900</v>
      </c>
      <c r="D44" s="23" t="s">
        <v>729</v>
      </c>
      <c r="E44" s="23" t="s">
        <v>56</v>
      </c>
      <c r="F44" s="23" t="s">
        <v>88</v>
      </c>
      <c r="H44" s="23" t="s">
        <v>381</v>
      </c>
      <c r="I44" s="23" t="s">
        <v>381</v>
      </c>
      <c r="J44" s="140">
        <v>43895</v>
      </c>
      <c r="K44" s="23" t="s">
        <v>382</v>
      </c>
      <c r="L44" s="140">
        <v>43909</v>
      </c>
      <c r="Q44" s="140">
        <v>43936</v>
      </c>
      <c r="S44" s="23" t="s">
        <v>300</v>
      </c>
      <c r="T44" s="23" t="s">
        <v>221</v>
      </c>
      <c r="U44" s="23" t="s">
        <v>221</v>
      </c>
      <c r="V44" s="23" t="s">
        <v>221</v>
      </c>
      <c r="W44" s="23" t="s">
        <v>383</v>
      </c>
      <c r="X44" s="23">
        <v>2801.0340000000001</v>
      </c>
      <c r="Y44" s="23">
        <v>2801.0340000000001</v>
      </c>
      <c r="Z44" s="23">
        <v>1545518.7</v>
      </c>
      <c r="AA44" s="23">
        <v>1405017</v>
      </c>
      <c r="AB44" s="23" t="s">
        <v>89</v>
      </c>
      <c r="AC44" s="23" t="s">
        <v>384</v>
      </c>
      <c r="AD44" s="118"/>
      <c r="AE44" s="118"/>
    </row>
    <row r="45" spans="1:39">
      <c r="A45" s="62" t="s">
        <v>385</v>
      </c>
      <c r="B45" s="27" t="s">
        <v>414</v>
      </c>
      <c r="C45" s="140">
        <v>43933</v>
      </c>
      <c r="D45" s="23" t="s">
        <v>729</v>
      </c>
      <c r="E45" s="23" t="s">
        <v>360</v>
      </c>
      <c r="F45" s="23" t="s">
        <v>362</v>
      </c>
      <c r="G45" s="23" t="s">
        <v>361</v>
      </c>
      <c r="M45" s="26">
        <v>43935</v>
      </c>
      <c r="N45" s="23" t="s">
        <v>361</v>
      </c>
      <c r="S45" s="23" t="s">
        <v>183</v>
      </c>
      <c r="T45" s="23" t="s">
        <v>363</v>
      </c>
      <c r="U45" s="23" t="s">
        <v>363</v>
      </c>
      <c r="V45" s="23" t="s">
        <v>298</v>
      </c>
      <c r="W45" s="23" t="s">
        <v>386</v>
      </c>
      <c r="Y45" s="37">
        <v>5079</v>
      </c>
      <c r="AB45" s="23" t="s">
        <v>387</v>
      </c>
      <c r="AC45" s="23" t="s">
        <v>388</v>
      </c>
      <c r="AD45" s="118"/>
      <c r="AE45" s="118">
        <v>1</v>
      </c>
      <c r="AF45" s="23" t="s">
        <v>451</v>
      </c>
    </row>
    <row r="46" spans="1:39">
      <c r="A46" s="63" t="s">
        <v>389</v>
      </c>
      <c r="B46" s="23" t="s">
        <v>392</v>
      </c>
      <c r="C46" s="140">
        <v>43937</v>
      </c>
      <c r="D46" s="23" t="s">
        <v>729</v>
      </c>
      <c r="E46" s="23" t="s">
        <v>56</v>
      </c>
      <c r="F46" s="23" t="s">
        <v>57</v>
      </c>
      <c r="G46" s="23" t="s">
        <v>83</v>
      </c>
      <c r="H46" s="23" t="s">
        <v>393</v>
      </c>
      <c r="I46" s="23" t="s">
        <v>393</v>
      </c>
      <c r="J46" s="140">
        <v>43929</v>
      </c>
      <c r="K46" s="23" t="s">
        <v>394</v>
      </c>
      <c r="L46" s="140">
        <v>43941</v>
      </c>
      <c r="M46" s="26">
        <v>43943</v>
      </c>
      <c r="Q46" s="140">
        <v>43939</v>
      </c>
      <c r="S46" s="23" t="s">
        <v>184</v>
      </c>
      <c r="T46" s="23" t="s">
        <v>302</v>
      </c>
      <c r="U46" s="23" t="s">
        <v>302</v>
      </c>
      <c r="V46" s="23" t="s">
        <v>233</v>
      </c>
      <c r="W46" s="23" t="s">
        <v>284</v>
      </c>
      <c r="X46" s="37">
        <v>8512</v>
      </c>
      <c r="Y46" s="37">
        <v>8812</v>
      </c>
      <c r="Z46" s="37">
        <v>11175.91</v>
      </c>
      <c r="AA46" s="37">
        <v>10172.57</v>
      </c>
      <c r="AB46" s="23" t="s">
        <v>396</v>
      </c>
      <c r="AC46" s="23" t="s">
        <v>395</v>
      </c>
      <c r="AD46" s="118"/>
      <c r="AE46" s="118">
        <v>1</v>
      </c>
      <c r="AJ46" s="75" t="s">
        <v>5363</v>
      </c>
      <c r="AL46" s="23" t="s">
        <v>5345</v>
      </c>
      <c r="AM46" s="102">
        <v>43948</v>
      </c>
    </row>
    <row r="47" spans="1:39" ht="32">
      <c r="A47" s="62" t="s">
        <v>390</v>
      </c>
      <c r="B47" s="23" t="s">
        <v>397</v>
      </c>
      <c r="C47" s="140">
        <v>43941</v>
      </c>
      <c r="D47" s="23" t="s">
        <v>729</v>
      </c>
      <c r="E47" s="23" t="s">
        <v>17</v>
      </c>
      <c r="G47" s="23" t="s">
        <v>361</v>
      </c>
      <c r="Q47" s="140">
        <v>43945</v>
      </c>
      <c r="S47" s="23" t="s">
        <v>183</v>
      </c>
      <c r="T47" s="23" t="s">
        <v>363</v>
      </c>
      <c r="U47" s="23" t="s">
        <v>363</v>
      </c>
      <c r="V47" s="23" t="s">
        <v>298</v>
      </c>
      <c r="W47" s="23" t="s">
        <v>398</v>
      </c>
      <c r="Y47" s="37">
        <v>15968</v>
      </c>
      <c r="Z47" s="37"/>
      <c r="AA47" s="37"/>
      <c r="AB47" s="19" t="s">
        <v>419</v>
      </c>
      <c r="AC47" s="23" t="s">
        <v>399</v>
      </c>
      <c r="AD47" s="118"/>
      <c r="AE47" s="118">
        <v>2</v>
      </c>
      <c r="AF47" s="23" t="s">
        <v>455</v>
      </c>
    </row>
    <row r="48" spans="1:39" ht="32">
      <c r="A48" s="62" t="s">
        <v>391</v>
      </c>
      <c r="B48" s="23" t="s">
        <v>400</v>
      </c>
      <c r="C48" s="140">
        <v>43933</v>
      </c>
      <c r="D48" s="23" t="s">
        <v>729</v>
      </c>
      <c r="E48" s="23" t="s">
        <v>17</v>
      </c>
      <c r="F48" s="23" t="s">
        <v>456</v>
      </c>
      <c r="G48" s="23" t="s">
        <v>361</v>
      </c>
      <c r="Q48" s="140">
        <v>43945</v>
      </c>
      <c r="S48" s="23" t="s">
        <v>183</v>
      </c>
      <c r="T48" s="23" t="s">
        <v>363</v>
      </c>
      <c r="U48" s="23" t="s">
        <v>363</v>
      </c>
      <c r="V48" s="23" t="s">
        <v>298</v>
      </c>
      <c r="W48" s="23" t="s">
        <v>401</v>
      </c>
      <c r="Y48" s="37">
        <v>14500</v>
      </c>
      <c r="Z48" s="37"/>
      <c r="AA48" s="37"/>
      <c r="AB48" s="19" t="s">
        <v>402</v>
      </c>
      <c r="AC48" s="23" t="s">
        <v>403</v>
      </c>
      <c r="AD48" s="118">
        <v>2</v>
      </c>
      <c r="AE48" s="118"/>
      <c r="AF48" s="23" t="s">
        <v>449</v>
      </c>
    </row>
    <row r="49" spans="1:32">
      <c r="A49" s="62" t="s">
        <v>404</v>
      </c>
      <c r="B49" s="23" t="s">
        <v>410</v>
      </c>
      <c r="C49" s="140">
        <v>43946</v>
      </c>
      <c r="D49" s="23" t="s">
        <v>729</v>
      </c>
      <c r="E49" s="23" t="s">
        <v>17</v>
      </c>
      <c r="F49" s="23" t="s">
        <v>456</v>
      </c>
      <c r="G49" s="23" t="s">
        <v>361</v>
      </c>
      <c r="Q49" s="140">
        <v>43949</v>
      </c>
      <c r="S49" s="23" t="s">
        <v>183</v>
      </c>
      <c r="T49" s="23" t="s">
        <v>363</v>
      </c>
      <c r="U49" s="23" t="s">
        <v>363</v>
      </c>
      <c r="V49" s="23" t="s">
        <v>298</v>
      </c>
      <c r="W49" s="23" t="s">
        <v>411</v>
      </c>
      <c r="Y49" s="37">
        <v>7018</v>
      </c>
      <c r="Z49" s="37"/>
      <c r="AA49" s="37"/>
      <c r="AB49" s="23" t="s">
        <v>412</v>
      </c>
      <c r="AC49" s="23" t="s">
        <v>413</v>
      </c>
      <c r="AD49" s="118"/>
      <c r="AE49" s="118">
        <v>1</v>
      </c>
      <c r="AF49" s="23" t="s">
        <v>450</v>
      </c>
    </row>
    <row r="50" spans="1:32">
      <c r="A50" s="62" t="s">
        <v>409</v>
      </c>
      <c r="B50" s="23" t="s">
        <v>417</v>
      </c>
      <c r="C50" s="140">
        <v>43946</v>
      </c>
      <c r="D50" s="23" t="s">
        <v>729</v>
      </c>
      <c r="E50" s="23" t="s">
        <v>17</v>
      </c>
      <c r="F50" s="23" t="s">
        <v>456</v>
      </c>
      <c r="G50" s="23" t="s">
        <v>361</v>
      </c>
      <c r="Q50" s="140">
        <v>43949</v>
      </c>
      <c r="S50" s="23" t="s">
        <v>183</v>
      </c>
      <c r="T50" s="23" t="s">
        <v>363</v>
      </c>
      <c r="U50" s="23" t="s">
        <v>363</v>
      </c>
      <c r="V50" s="23" t="s">
        <v>298</v>
      </c>
      <c r="W50" s="23" t="s">
        <v>418</v>
      </c>
      <c r="Y50" s="37">
        <v>5153</v>
      </c>
      <c r="Z50" s="37"/>
      <c r="AA50" s="37"/>
      <c r="AB50" s="23" t="s">
        <v>415</v>
      </c>
      <c r="AC50" s="23" t="s">
        <v>416</v>
      </c>
      <c r="AD50" s="118"/>
      <c r="AE50" s="118">
        <v>1</v>
      </c>
      <c r="AF50" s="23" t="s">
        <v>450</v>
      </c>
    </row>
    <row r="51" spans="1:32">
      <c r="A51" s="62" t="s">
        <v>420</v>
      </c>
      <c r="B51" s="23" t="s">
        <v>424</v>
      </c>
      <c r="C51" s="140">
        <v>43953</v>
      </c>
      <c r="D51" s="23" t="s">
        <v>729</v>
      </c>
      <c r="E51" s="23" t="s">
        <v>17</v>
      </c>
      <c r="F51" s="23" t="s">
        <v>456</v>
      </c>
      <c r="G51" s="23" t="s">
        <v>361</v>
      </c>
      <c r="Q51" s="140">
        <v>43958</v>
      </c>
      <c r="S51" s="23" t="s">
        <v>183</v>
      </c>
      <c r="T51" s="23" t="s">
        <v>363</v>
      </c>
      <c r="U51" s="23" t="s">
        <v>363</v>
      </c>
      <c r="V51" s="23" t="s">
        <v>298</v>
      </c>
      <c r="W51" s="23" t="s">
        <v>425</v>
      </c>
      <c r="Y51" s="37">
        <v>5988.4</v>
      </c>
      <c r="Z51" s="37"/>
      <c r="AA51" s="37"/>
      <c r="AB51" s="23" t="s">
        <v>426</v>
      </c>
      <c r="AC51" s="23" t="s">
        <v>427</v>
      </c>
      <c r="AD51" s="118"/>
      <c r="AE51" s="118">
        <v>1</v>
      </c>
      <c r="AF51" s="23" t="s">
        <v>448</v>
      </c>
    </row>
    <row r="52" spans="1:32">
      <c r="A52" s="62" t="s">
        <v>421</v>
      </c>
      <c r="B52" s="23" t="s">
        <v>428</v>
      </c>
      <c r="C52" s="140">
        <v>43953</v>
      </c>
      <c r="D52" s="23" t="s">
        <v>729</v>
      </c>
      <c r="E52" s="23" t="s">
        <v>17</v>
      </c>
      <c r="F52" s="23" t="s">
        <v>456</v>
      </c>
      <c r="G52" s="23" t="s">
        <v>361</v>
      </c>
      <c r="Q52" s="140">
        <v>43958</v>
      </c>
      <c r="S52" s="23" t="s">
        <v>183</v>
      </c>
      <c r="T52" s="23" t="s">
        <v>363</v>
      </c>
      <c r="U52" s="23" t="s">
        <v>363</v>
      </c>
      <c r="V52" s="23" t="s">
        <v>298</v>
      </c>
      <c r="W52" s="23" t="s">
        <v>429</v>
      </c>
      <c r="Y52" s="37">
        <v>2374</v>
      </c>
      <c r="Z52" s="37"/>
      <c r="AA52" s="37"/>
      <c r="AB52" s="23" t="s">
        <v>430</v>
      </c>
      <c r="AC52" s="23" t="s">
        <v>431</v>
      </c>
      <c r="AD52" s="118">
        <v>1</v>
      </c>
      <c r="AE52" s="118"/>
      <c r="AF52" s="23" t="s">
        <v>448</v>
      </c>
    </row>
    <row r="53" spans="1:32">
      <c r="A53" s="62" t="s">
        <v>422</v>
      </c>
      <c r="B53" s="23" t="s">
        <v>432</v>
      </c>
      <c r="C53" s="140">
        <v>43954</v>
      </c>
      <c r="D53" s="23" t="s">
        <v>729</v>
      </c>
      <c r="E53" s="23" t="s">
        <v>17</v>
      </c>
      <c r="F53" s="23" t="s">
        <v>456</v>
      </c>
      <c r="G53" s="23" t="s">
        <v>361</v>
      </c>
      <c r="Q53" s="140">
        <v>43958</v>
      </c>
      <c r="S53" s="23" t="s">
        <v>300</v>
      </c>
      <c r="T53" s="23" t="s">
        <v>363</v>
      </c>
      <c r="U53" s="23" t="s">
        <v>363</v>
      </c>
      <c r="V53" s="23" t="s">
        <v>298</v>
      </c>
      <c r="W53" s="23" t="s">
        <v>433</v>
      </c>
      <c r="Y53" s="37">
        <v>4551.5</v>
      </c>
      <c r="Z53" s="37"/>
      <c r="AA53" s="37"/>
      <c r="AB53" s="23" t="s">
        <v>434</v>
      </c>
      <c r="AC53" s="23" t="s">
        <v>435</v>
      </c>
      <c r="AD53" s="118"/>
      <c r="AE53" s="118">
        <v>1</v>
      </c>
      <c r="AF53" s="23" t="s">
        <v>446</v>
      </c>
    </row>
    <row r="54" spans="1:32" ht="32">
      <c r="A54" s="62" t="s">
        <v>423</v>
      </c>
      <c r="B54" s="23" t="s">
        <v>436</v>
      </c>
      <c r="C54" s="140">
        <v>43955</v>
      </c>
      <c r="D54" s="23" t="s">
        <v>729</v>
      </c>
      <c r="E54" s="23" t="s">
        <v>17</v>
      </c>
      <c r="F54" s="23" t="s">
        <v>456</v>
      </c>
      <c r="G54" s="23" t="s">
        <v>361</v>
      </c>
      <c r="Q54" s="140">
        <v>43958</v>
      </c>
      <c r="S54" s="23" t="s">
        <v>300</v>
      </c>
      <c r="T54" s="23" t="s">
        <v>363</v>
      </c>
      <c r="U54" s="23" t="s">
        <v>363</v>
      </c>
      <c r="V54" s="23" t="s">
        <v>298</v>
      </c>
      <c r="W54" s="19" t="s">
        <v>437</v>
      </c>
      <c r="Y54" s="37">
        <v>14494.1</v>
      </c>
      <c r="Z54" s="37"/>
      <c r="AA54" s="37"/>
      <c r="AB54" s="19" t="s">
        <v>438</v>
      </c>
      <c r="AC54" s="23" t="s">
        <v>439</v>
      </c>
      <c r="AD54" s="118"/>
      <c r="AE54" s="118">
        <v>2</v>
      </c>
      <c r="AF54" s="23" t="s">
        <v>447</v>
      </c>
    </row>
    <row r="55" spans="1:32">
      <c r="A55" s="62" t="s">
        <v>440</v>
      </c>
      <c r="B55" s="27" t="s">
        <v>442</v>
      </c>
      <c r="C55" s="140">
        <v>43958</v>
      </c>
      <c r="D55" s="23" t="s">
        <v>729</v>
      </c>
      <c r="E55" s="23" t="s">
        <v>17</v>
      </c>
      <c r="F55" s="23" t="s">
        <v>456</v>
      </c>
      <c r="G55" s="23" t="s">
        <v>361</v>
      </c>
      <c r="Q55" s="140">
        <v>43963</v>
      </c>
      <c r="S55" s="23" t="s">
        <v>300</v>
      </c>
      <c r="T55" s="23" t="s">
        <v>363</v>
      </c>
      <c r="U55" s="23" t="s">
        <v>363</v>
      </c>
      <c r="V55" s="23" t="s">
        <v>298</v>
      </c>
      <c r="Y55" s="37">
        <v>6870</v>
      </c>
      <c r="Z55" s="37"/>
      <c r="AA55" s="37"/>
      <c r="AB55" s="23" t="s">
        <v>453</v>
      </c>
      <c r="AC55" s="23" t="s">
        <v>454</v>
      </c>
      <c r="AD55" s="118"/>
      <c r="AE55" s="118">
        <v>1</v>
      </c>
      <c r="AF55" s="23" t="s">
        <v>475</v>
      </c>
    </row>
    <row r="56" spans="1:32">
      <c r="A56" s="62" t="s">
        <v>441</v>
      </c>
      <c r="B56" s="23" t="s">
        <v>443</v>
      </c>
      <c r="C56" s="140">
        <v>43953</v>
      </c>
      <c r="D56" s="23" t="s">
        <v>729</v>
      </c>
      <c r="E56" s="23" t="s">
        <v>17</v>
      </c>
      <c r="F56" s="23" t="s">
        <v>456</v>
      </c>
      <c r="G56" s="23" t="s">
        <v>361</v>
      </c>
      <c r="Q56" s="140">
        <v>43963</v>
      </c>
      <c r="S56" s="23" t="s">
        <v>300</v>
      </c>
      <c r="T56" s="23" t="s">
        <v>363</v>
      </c>
      <c r="U56" s="23" t="s">
        <v>363</v>
      </c>
      <c r="V56" s="23" t="s">
        <v>298</v>
      </c>
      <c r="W56" s="23" t="s">
        <v>444</v>
      </c>
      <c r="Y56" s="37">
        <v>16800</v>
      </c>
      <c r="Z56" s="37"/>
      <c r="AA56" s="37"/>
      <c r="AB56" s="23" t="s">
        <v>452</v>
      </c>
      <c r="AC56" s="23" t="s">
        <v>445</v>
      </c>
      <c r="AD56" s="118"/>
      <c r="AE56" s="118">
        <v>1</v>
      </c>
      <c r="AF56" s="23" t="s">
        <v>475</v>
      </c>
    </row>
    <row r="57" spans="1:32" ht="64">
      <c r="A57" s="62" t="s">
        <v>457</v>
      </c>
      <c r="B57" s="27" t="s">
        <v>461</v>
      </c>
      <c r="C57" s="140">
        <v>43961</v>
      </c>
      <c r="D57" s="23" t="s">
        <v>729</v>
      </c>
      <c r="E57" s="23" t="s">
        <v>17</v>
      </c>
      <c r="F57" s="23" t="s">
        <v>456</v>
      </c>
      <c r="G57" s="23" t="s">
        <v>361</v>
      </c>
      <c r="Q57" s="140">
        <v>43966</v>
      </c>
      <c r="S57" s="23" t="s">
        <v>300</v>
      </c>
      <c r="T57" s="23" t="s">
        <v>363</v>
      </c>
      <c r="U57" s="23" t="s">
        <v>363</v>
      </c>
      <c r="V57" s="23" t="s">
        <v>298</v>
      </c>
      <c r="W57" s="23" t="s">
        <v>411</v>
      </c>
      <c r="Y57" s="37">
        <v>14219.2</v>
      </c>
      <c r="Z57" s="37"/>
      <c r="AA57" s="37"/>
      <c r="AB57" s="19" t="s">
        <v>462</v>
      </c>
      <c r="AC57" s="23" t="s">
        <v>463</v>
      </c>
      <c r="AD57" s="118"/>
      <c r="AE57" s="118">
        <v>2</v>
      </c>
      <c r="AF57" s="23" t="s">
        <v>474</v>
      </c>
    </row>
    <row r="58" spans="1:32">
      <c r="A58" s="62" t="s">
        <v>458</v>
      </c>
      <c r="B58" s="23" t="s">
        <v>464</v>
      </c>
      <c r="C58" s="140">
        <v>43960</v>
      </c>
      <c r="D58" s="23" t="s">
        <v>729</v>
      </c>
      <c r="E58" s="23" t="s">
        <v>17</v>
      </c>
      <c r="F58" s="23" t="s">
        <v>456</v>
      </c>
      <c r="G58" s="23" t="s">
        <v>361</v>
      </c>
      <c r="Q58" s="140">
        <v>43966</v>
      </c>
      <c r="S58" s="23" t="s">
        <v>300</v>
      </c>
      <c r="T58" s="23" t="s">
        <v>363</v>
      </c>
      <c r="U58" s="23" t="s">
        <v>363</v>
      </c>
      <c r="V58" s="23" t="s">
        <v>298</v>
      </c>
      <c r="W58" s="23" t="s">
        <v>425</v>
      </c>
      <c r="Y58" s="37">
        <v>5988.4</v>
      </c>
      <c r="Z58" s="37"/>
      <c r="AA58" s="37"/>
      <c r="AB58" s="23" t="s">
        <v>465</v>
      </c>
      <c r="AC58" s="23" t="s">
        <v>427</v>
      </c>
      <c r="AD58" s="118"/>
      <c r="AE58" s="118">
        <v>1</v>
      </c>
      <c r="AF58" s="23" t="s">
        <v>475</v>
      </c>
    </row>
    <row r="59" spans="1:32" ht="64">
      <c r="A59" s="62" t="s">
        <v>459</v>
      </c>
      <c r="B59" s="27" t="s">
        <v>466</v>
      </c>
      <c r="C59" s="140">
        <v>43960</v>
      </c>
      <c r="D59" s="23" t="s">
        <v>729</v>
      </c>
      <c r="E59" s="23" t="s">
        <v>17</v>
      </c>
      <c r="F59" s="23" t="s">
        <v>456</v>
      </c>
      <c r="G59" s="23" t="s">
        <v>361</v>
      </c>
      <c r="Q59" s="140">
        <v>43967</v>
      </c>
      <c r="S59" s="23" t="s">
        <v>300</v>
      </c>
      <c r="T59" s="23" t="s">
        <v>363</v>
      </c>
      <c r="U59" s="23" t="s">
        <v>363</v>
      </c>
      <c r="V59" s="23" t="s">
        <v>298</v>
      </c>
      <c r="W59" s="19" t="s">
        <v>467</v>
      </c>
      <c r="Y59" s="37">
        <v>17468</v>
      </c>
      <c r="Z59" s="37"/>
      <c r="AA59" s="37"/>
      <c r="AB59" s="19" t="s">
        <v>469</v>
      </c>
      <c r="AC59" s="19" t="s">
        <v>468</v>
      </c>
      <c r="AD59" s="118"/>
      <c r="AE59" s="118">
        <v>2</v>
      </c>
      <c r="AF59" s="23" t="s">
        <v>474</v>
      </c>
    </row>
    <row r="60" spans="1:32" ht="32">
      <c r="A60" s="62" t="s">
        <v>460</v>
      </c>
      <c r="B60" s="23" t="s">
        <v>470</v>
      </c>
      <c r="C60" s="140">
        <v>43960</v>
      </c>
      <c r="D60" s="23" t="s">
        <v>729</v>
      </c>
      <c r="E60" s="23" t="s">
        <v>17</v>
      </c>
      <c r="F60" s="23" t="s">
        <v>456</v>
      </c>
      <c r="G60" s="23" t="s">
        <v>361</v>
      </c>
      <c r="Q60" s="140">
        <v>43967</v>
      </c>
      <c r="S60" s="23" t="s">
        <v>300</v>
      </c>
      <c r="T60" s="23" t="s">
        <v>363</v>
      </c>
      <c r="U60" s="23" t="s">
        <v>363</v>
      </c>
      <c r="V60" s="23" t="s">
        <v>298</v>
      </c>
      <c r="W60" s="19" t="s">
        <v>471</v>
      </c>
      <c r="Y60" s="37">
        <v>4239</v>
      </c>
      <c r="Z60" s="37"/>
      <c r="AA60" s="37"/>
      <c r="AB60" s="23" t="s">
        <v>472</v>
      </c>
      <c r="AC60" s="23" t="s">
        <v>473</v>
      </c>
      <c r="AD60" s="118"/>
      <c r="AE60" s="118">
        <v>1</v>
      </c>
      <c r="AF60" s="23" t="s">
        <v>474</v>
      </c>
    </row>
    <row r="61" spans="1:32">
      <c r="A61" s="62" t="s">
        <v>476</v>
      </c>
      <c r="B61" s="23" t="s">
        <v>477</v>
      </c>
      <c r="C61" s="140">
        <v>43964</v>
      </c>
      <c r="D61" s="23" t="s">
        <v>729</v>
      </c>
      <c r="E61" s="23" t="s">
        <v>17</v>
      </c>
      <c r="F61" s="23" t="s">
        <v>456</v>
      </c>
      <c r="G61" s="23" t="s">
        <v>361</v>
      </c>
      <c r="Q61" s="140">
        <v>43971</v>
      </c>
      <c r="S61" s="23" t="s">
        <v>300</v>
      </c>
      <c r="T61" s="23" t="s">
        <v>363</v>
      </c>
      <c r="U61" s="23" t="s">
        <v>363</v>
      </c>
      <c r="V61" s="23" t="s">
        <v>298</v>
      </c>
      <c r="W61" s="23" t="s">
        <v>429</v>
      </c>
      <c r="Y61" s="37">
        <v>4450</v>
      </c>
      <c r="Z61" s="37"/>
      <c r="AA61" s="37"/>
      <c r="AB61" s="23" t="s">
        <v>478</v>
      </c>
      <c r="AC61" s="23" t="s">
        <v>479</v>
      </c>
      <c r="AD61" s="118"/>
      <c r="AE61" s="118">
        <v>1</v>
      </c>
      <c r="AF61" s="23" t="s">
        <v>517</v>
      </c>
    </row>
    <row r="62" spans="1:32">
      <c r="A62" s="62" t="s">
        <v>480</v>
      </c>
      <c r="B62" s="23" t="s">
        <v>481</v>
      </c>
      <c r="C62" s="140">
        <v>43963</v>
      </c>
      <c r="D62" s="23" t="s">
        <v>729</v>
      </c>
      <c r="E62" s="23" t="s">
        <v>17</v>
      </c>
      <c r="F62" s="23" t="s">
        <v>456</v>
      </c>
      <c r="G62" s="23" t="s">
        <v>361</v>
      </c>
      <c r="Q62" s="140">
        <v>43971</v>
      </c>
      <c r="S62" s="23" t="s">
        <v>300</v>
      </c>
      <c r="T62" s="23" t="s">
        <v>363</v>
      </c>
      <c r="U62" s="23" t="s">
        <v>363</v>
      </c>
      <c r="V62" s="23" t="s">
        <v>298</v>
      </c>
      <c r="W62" s="23" t="s">
        <v>425</v>
      </c>
      <c r="Y62" s="37">
        <v>6137.56</v>
      </c>
      <c r="Z62" s="37"/>
      <c r="AA62" s="37"/>
      <c r="AB62" s="23" t="s">
        <v>482</v>
      </c>
      <c r="AC62" s="23" t="s">
        <v>483</v>
      </c>
      <c r="AD62" s="118"/>
      <c r="AE62" s="118">
        <v>1</v>
      </c>
      <c r="AF62" s="23" t="s">
        <v>517</v>
      </c>
    </row>
    <row r="63" spans="1:32" ht="16">
      <c r="A63" s="62" t="s">
        <v>484</v>
      </c>
      <c r="B63" s="23" t="s">
        <v>485</v>
      </c>
      <c r="C63" s="140">
        <v>43966</v>
      </c>
      <c r="D63" s="23" t="s">
        <v>729</v>
      </c>
      <c r="E63" s="23" t="s">
        <v>17</v>
      </c>
      <c r="F63" s="23" t="s">
        <v>456</v>
      </c>
      <c r="G63" s="23" t="s">
        <v>361</v>
      </c>
      <c r="Q63" s="140">
        <v>43972</v>
      </c>
      <c r="S63" s="23" t="s">
        <v>300</v>
      </c>
      <c r="T63" s="23" t="s">
        <v>363</v>
      </c>
      <c r="U63" s="23" t="s">
        <v>363</v>
      </c>
      <c r="V63" s="23" t="s">
        <v>298</v>
      </c>
      <c r="W63" s="19" t="s">
        <v>486</v>
      </c>
      <c r="Y63" s="37">
        <v>3155.5</v>
      </c>
      <c r="Z63" s="37"/>
      <c r="AA63" s="37"/>
      <c r="AB63" s="23" t="s">
        <v>487</v>
      </c>
      <c r="AC63" s="19" t="s">
        <v>488</v>
      </c>
      <c r="AD63" s="118"/>
      <c r="AE63" s="118">
        <v>1</v>
      </c>
      <c r="AF63" s="23" t="s">
        <v>518</v>
      </c>
    </row>
    <row r="64" spans="1:32" ht="64">
      <c r="A64" s="62" t="s">
        <v>489</v>
      </c>
      <c r="B64" s="23" t="s">
        <v>493</v>
      </c>
      <c r="C64" s="140">
        <v>43973</v>
      </c>
      <c r="D64" s="23" t="s">
        <v>729</v>
      </c>
      <c r="E64" s="23" t="s">
        <v>17</v>
      </c>
      <c r="F64" s="23" t="s">
        <v>456</v>
      </c>
      <c r="G64" s="23" t="s">
        <v>361</v>
      </c>
      <c r="Q64" s="140">
        <v>43977</v>
      </c>
      <c r="S64" s="23" t="s">
        <v>300</v>
      </c>
      <c r="T64" s="23" t="s">
        <v>363</v>
      </c>
      <c r="U64" s="23" t="s">
        <v>363</v>
      </c>
      <c r="V64" s="23" t="s">
        <v>298</v>
      </c>
      <c r="W64" s="23" t="s">
        <v>494</v>
      </c>
      <c r="Y64" s="37">
        <v>10059.1</v>
      </c>
      <c r="Z64" s="37"/>
      <c r="AA64" s="37"/>
      <c r="AB64" s="23" t="s">
        <v>495</v>
      </c>
      <c r="AC64" s="19" t="s">
        <v>496</v>
      </c>
      <c r="AD64" s="118"/>
      <c r="AE64" s="118">
        <v>1</v>
      </c>
      <c r="AF64" s="23" t="s">
        <v>519</v>
      </c>
    </row>
    <row r="65" spans="1:44" ht="16">
      <c r="A65" s="62" t="s">
        <v>490</v>
      </c>
      <c r="B65" s="23" t="s">
        <v>497</v>
      </c>
      <c r="C65" s="140">
        <v>43969</v>
      </c>
      <c r="D65" s="23" t="s">
        <v>729</v>
      </c>
      <c r="E65" s="23" t="s">
        <v>17</v>
      </c>
      <c r="F65" s="23" t="s">
        <v>456</v>
      </c>
      <c r="G65" s="23" t="s">
        <v>361</v>
      </c>
      <c r="Q65" s="140">
        <v>43977</v>
      </c>
      <c r="S65" s="23" t="s">
        <v>300</v>
      </c>
      <c r="T65" s="23" t="s">
        <v>363</v>
      </c>
      <c r="U65" s="23" t="s">
        <v>363</v>
      </c>
      <c r="V65" s="23" t="s">
        <v>298</v>
      </c>
      <c r="W65" s="23" t="s">
        <v>498</v>
      </c>
      <c r="Y65" s="37">
        <v>5681.5</v>
      </c>
      <c r="Z65" s="37"/>
      <c r="AA65" s="37"/>
      <c r="AB65" s="23" t="s">
        <v>499</v>
      </c>
      <c r="AC65" s="19" t="s">
        <v>500</v>
      </c>
      <c r="AD65" s="118"/>
      <c r="AE65" s="118">
        <v>1</v>
      </c>
      <c r="AF65" s="23" t="s">
        <v>537</v>
      </c>
    </row>
    <row r="66" spans="1:44" ht="64">
      <c r="A66" s="62" t="s">
        <v>491</v>
      </c>
      <c r="B66" s="23" t="s">
        <v>501</v>
      </c>
      <c r="C66" s="140">
        <v>43972</v>
      </c>
      <c r="D66" s="23" t="s">
        <v>729</v>
      </c>
      <c r="E66" s="23" t="s">
        <v>17</v>
      </c>
      <c r="F66" s="23" t="s">
        <v>456</v>
      </c>
      <c r="G66" s="23" t="s">
        <v>361</v>
      </c>
      <c r="Q66" s="140">
        <v>43978</v>
      </c>
      <c r="S66" s="23" t="s">
        <v>300</v>
      </c>
      <c r="T66" s="23" t="s">
        <v>363</v>
      </c>
      <c r="U66" s="23" t="s">
        <v>363</v>
      </c>
      <c r="V66" s="23" t="s">
        <v>298</v>
      </c>
      <c r="W66" s="23" t="s">
        <v>502</v>
      </c>
      <c r="Y66" s="37">
        <v>6286.3</v>
      </c>
      <c r="Z66" s="37"/>
      <c r="AA66" s="37"/>
      <c r="AB66" s="23" t="s">
        <v>503</v>
      </c>
      <c r="AC66" s="19" t="s">
        <v>504</v>
      </c>
      <c r="AD66" s="118"/>
      <c r="AE66" s="118">
        <v>1</v>
      </c>
      <c r="AF66" s="23" t="s">
        <v>538</v>
      </c>
    </row>
    <row r="67" spans="1:44" ht="32">
      <c r="A67" s="62" t="s">
        <v>492</v>
      </c>
      <c r="B67" s="23" t="s">
        <v>505</v>
      </c>
      <c r="C67" s="140">
        <v>43971</v>
      </c>
      <c r="D67" s="23" t="s">
        <v>729</v>
      </c>
      <c r="E67" s="23" t="s">
        <v>17</v>
      </c>
      <c r="F67" s="23" t="s">
        <v>456</v>
      </c>
      <c r="G67" s="23" t="s">
        <v>361</v>
      </c>
      <c r="Q67" s="140">
        <v>43978</v>
      </c>
      <c r="S67" s="23" t="s">
        <v>300</v>
      </c>
      <c r="T67" s="23" t="s">
        <v>363</v>
      </c>
      <c r="U67" s="23" t="s">
        <v>363</v>
      </c>
      <c r="V67" s="23" t="s">
        <v>298</v>
      </c>
      <c r="W67" s="23" t="s">
        <v>444</v>
      </c>
      <c r="Y67" s="37">
        <v>17300</v>
      </c>
      <c r="Z67" s="37"/>
      <c r="AA67" s="37"/>
      <c r="AB67" s="23" t="s">
        <v>506</v>
      </c>
      <c r="AC67" s="19" t="s">
        <v>507</v>
      </c>
      <c r="AD67" s="118"/>
      <c r="AE67" s="118">
        <v>1</v>
      </c>
      <c r="AF67" s="23" t="s">
        <v>536</v>
      </c>
    </row>
    <row r="68" spans="1:44" ht="80">
      <c r="A68" s="62" t="s">
        <v>508</v>
      </c>
      <c r="B68" s="23" t="s">
        <v>509</v>
      </c>
      <c r="C68" s="140">
        <v>43976</v>
      </c>
      <c r="D68" s="23" t="s">
        <v>729</v>
      </c>
      <c r="E68" s="23" t="s">
        <v>17</v>
      </c>
      <c r="F68" s="23" t="s">
        <v>456</v>
      </c>
      <c r="G68" s="23" t="s">
        <v>361</v>
      </c>
      <c r="Q68" s="140">
        <v>43980</v>
      </c>
      <c r="S68" s="23" t="s">
        <v>300</v>
      </c>
      <c r="T68" s="23" t="s">
        <v>363</v>
      </c>
      <c r="U68" s="23" t="s">
        <v>363</v>
      </c>
      <c r="V68" s="23" t="s">
        <v>298</v>
      </c>
      <c r="W68" s="23" t="s">
        <v>411</v>
      </c>
      <c r="Y68" s="37">
        <v>9226</v>
      </c>
      <c r="Z68" s="37"/>
      <c r="AA68" s="37"/>
      <c r="AB68" s="23" t="s">
        <v>510</v>
      </c>
      <c r="AC68" s="19" t="s">
        <v>511</v>
      </c>
      <c r="AD68" s="118"/>
      <c r="AE68" s="118">
        <v>1</v>
      </c>
      <c r="AF68" s="29" t="s">
        <v>744</v>
      </c>
      <c r="AG68" s="23" t="s">
        <v>666</v>
      </c>
    </row>
    <row r="69" spans="1:44" ht="80">
      <c r="A69" s="62" t="s">
        <v>512</v>
      </c>
      <c r="B69" s="23" t="s">
        <v>513</v>
      </c>
      <c r="C69" s="140">
        <v>43976</v>
      </c>
      <c r="D69" s="23" t="s">
        <v>729</v>
      </c>
      <c r="E69" s="23" t="s">
        <v>17</v>
      </c>
      <c r="F69" s="23" t="s">
        <v>456</v>
      </c>
      <c r="G69" s="23" t="s">
        <v>361</v>
      </c>
      <c r="Q69" s="140">
        <v>43980</v>
      </c>
      <c r="S69" s="23" t="s">
        <v>300</v>
      </c>
      <c r="T69" s="23" t="s">
        <v>363</v>
      </c>
      <c r="U69" s="23" t="s">
        <v>363</v>
      </c>
      <c r="V69" s="23" t="s">
        <v>298</v>
      </c>
      <c r="W69" s="23" t="s">
        <v>514</v>
      </c>
      <c r="Y69" s="37">
        <v>26882.5</v>
      </c>
      <c r="Z69" s="37"/>
      <c r="AA69" s="37"/>
      <c r="AB69" s="23" t="s">
        <v>515</v>
      </c>
      <c r="AC69" s="19" t="s">
        <v>516</v>
      </c>
      <c r="AD69" s="118"/>
      <c r="AE69" s="118">
        <v>1</v>
      </c>
      <c r="AF69" s="29" t="s">
        <v>744</v>
      </c>
      <c r="AG69" s="23" t="s">
        <v>637</v>
      </c>
    </row>
    <row r="70" spans="1:44" ht="192">
      <c r="A70" s="62" t="s">
        <v>520</v>
      </c>
      <c r="B70" s="23" t="s">
        <v>529</v>
      </c>
      <c r="C70" s="140">
        <v>43974</v>
      </c>
      <c r="D70" s="23" t="s">
        <v>729</v>
      </c>
      <c r="E70" s="23" t="s">
        <v>17</v>
      </c>
      <c r="F70" s="23" t="s">
        <v>456</v>
      </c>
      <c r="G70" s="23" t="s">
        <v>361</v>
      </c>
      <c r="Q70" s="140">
        <v>43985</v>
      </c>
      <c r="S70" s="23" t="s">
        <v>300</v>
      </c>
      <c r="T70" s="23" t="s">
        <v>363</v>
      </c>
      <c r="U70" s="23" t="s">
        <v>363</v>
      </c>
      <c r="V70" s="23" t="s">
        <v>298</v>
      </c>
      <c r="W70" s="23" t="s">
        <v>532</v>
      </c>
      <c r="Y70" s="37">
        <v>130121.92</v>
      </c>
      <c r="Z70" s="37"/>
      <c r="AA70" s="37">
        <v>6</v>
      </c>
      <c r="AB70" s="19" t="s">
        <v>530</v>
      </c>
      <c r="AC70" s="19" t="s">
        <v>531</v>
      </c>
      <c r="AD70" s="118">
        <v>0</v>
      </c>
      <c r="AE70" s="118">
        <v>6</v>
      </c>
      <c r="AF70" s="29" t="s">
        <v>745</v>
      </c>
      <c r="AL70" s="53"/>
      <c r="AN70" s="53"/>
      <c r="AO70" s="53"/>
      <c r="AP70" s="53"/>
      <c r="AQ70" s="53"/>
      <c r="AR70" s="53"/>
    </row>
    <row r="71" spans="1:44" ht="80">
      <c r="A71" s="62" t="s">
        <v>524</v>
      </c>
      <c r="B71" s="23" t="s">
        <v>521</v>
      </c>
      <c r="C71" s="140">
        <v>43977</v>
      </c>
      <c r="D71" s="23" t="s">
        <v>729</v>
      </c>
      <c r="E71" s="23" t="s">
        <v>17</v>
      </c>
      <c r="F71" s="23" t="s">
        <v>456</v>
      </c>
      <c r="G71" s="23" t="s">
        <v>361</v>
      </c>
      <c r="Q71" s="140">
        <v>43986</v>
      </c>
      <c r="S71" s="23" t="s">
        <v>300</v>
      </c>
      <c r="T71" s="23" t="s">
        <v>363</v>
      </c>
      <c r="U71" s="23" t="s">
        <v>363</v>
      </c>
      <c r="V71" s="23" t="s">
        <v>298</v>
      </c>
      <c r="W71" s="23" t="s">
        <v>411</v>
      </c>
      <c r="Y71" s="37">
        <v>11610</v>
      </c>
      <c r="Z71" s="37"/>
      <c r="AA71" s="37">
        <v>6</v>
      </c>
      <c r="AB71" s="19" t="s">
        <v>522</v>
      </c>
      <c r="AC71" s="19" t="s">
        <v>523</v>
      </c>
      <c r="AD71" s="118">
        <v>0</v>
      </c>
      <c r="AE71" s="118">
        <v>2</v>
      </c>
      <c r="AF71" s="29" t="s">
        <v>746</v>
      </c>
    </row>
    <row r="72" spans="1:44" ht="80">
      <c r="A72" s="62" t="s">
        <v>525</v>
      </c>
      <c r="B72" s="23" t="s">
        <v>527</v>
      </c>
      <c r="C72" s="140">
        <v>43980</v>
      </c>
      <c r="D72" s="23" t="s">
        <v>729</v>
      </c>
      <c r="E72" s="23" t="s">
        <v>17</v>
      </c>
      <c r="F72" s="23" t="s">
        <v>456</v>
      </c>
      <c r="G72" s="23" t="s">
        <v>361</v>
      </c>
      <c r="Q72" s="140">
        <v>43986</v>
      </c>
      <c r="S72" s="23" t="s">
        <v>300</v>
      </c>
      <c r="T72" s="23" t="s">
        <v>363</v>
      </c>
      <c r="U72" s="23" t="s">
        <v>363</v>
      </c>
      <c r="V72" s="23" t="s">
        <v>298</v>
      </c>
      <c r="W72" s="23" t="s">
        <v>514</v>
      </c>
      <c r="Y72" s="37">
        <v>9444</v>
      </c>
      <c r="Z72" s="37"/>
      <c r="AA72" s="37">
        <v>6</v>
      </c>
      <c r="AB72" s="23" t="s">
        <v>528</v>
      </c>
      <c r="AC72" s="19" t="s">
        <v>642</v>
      </c>
      <c r="AD72" s="118">
        <v>0</v>
      </c>
      <c r="AE72" s="118">
        <v>1</v>
      </c>
      <c r="AF72" s="29" t="s">
        <v>747</v>
      </c>
    </row>
    <row r="73" spans="1:44" ht="80">
      <c r="A73" s="62" t="s">
        <v>526</v>
      </c>
      <c r="B73" s="23" t="s">
        <v>533</v>
      </c>
      <c r="C73" s="140">
        <v>43972</v>
      </c>
      <c r="D73" s="23" t="s">
        <v>729</v>
      </c>
      <c r="E73" s="23" t="s">
        <v>17</v>
      </c>
      <c r="F73" s="23" t="s">
        <v>456</v>
      </c>
      <c r="G73" s="23" t="s">
        <v>361</v>
      </c>
      <c r="Q73" s="140">
        <v>43986</v>
      </c>
      <c r="S73" s="23" t="s">
        <v>300</v>
      </c>
      <c r="T73" s="23" t="s">
        <v>363</v>
      </c>
      <c r="U73" s="23" t="s">
        <v>363</v>
      </c>
      <c r="V73" s="23" t="s">
        <v>298</v>
      </c>
      <c r="W73" s="23" t="s">
        <v>532</v>
      </c>
      <c r="Y73" s="37">
        <v>20789.46</v>
      </c>
      <c r="Z73" s="37"/>
      <c r="AA73" s="37">
        <v>6</v>
      </c>
      <c r="AB73" s="23" t="s">
        <v>534</v>
      </c>
      <c r="AC73" s="19" t="s">
        <v>535</v>
      </c>
      <c r="AD73" s="118">
        <v>0</v>
      </c>
      <c r="AE73" s="118">
        <v>1</v>
      </c>
      <c r="AF73" s="29" t="s">
        <v>748</v>
      </c>
    </row>
    <row r="74" spans="1:44" ht="96">
      <c r="A74" s="62" t="s">
        <v>539</v>
      </c>
      <c r="B74" s="23" t="s">
        <v>540</v>
      </c>
      <c r="C74" s="140">
        <v>43984</v>
      </c>
      <c r="D74" s="23" t="s">
        <v>729</v>
      </c>
      <c r="E74" s="23" t="s">
        <v>17</v>
      </c>
      <c r="F74" s="23" t="s">
        <v>456</v>
      </c>
      <c r="G74" s="23" t="s">
        <v>361</v>
      </c>
      <c r="Q74" s="140">
        <v>43987</v>
      </c>
      <c r="S74" s="23" t="s">
        <v>300</v>
      </c>
      <c r="T74" s="23" t="s">
        <v>363</v>
      </c>
      <c r="U74" s="23" t="s">
        <v>363</v>
      </c>
      <c r="V74" s="23" t="s">
        <v>298</v>
      </c>
      <c r="W74" s="23" t="s">
        <v>541</v>
      </c>
      <c r="Y74" s="37">
        <v>55455.86</v>
      </c>
      <c r="Z74" s="37"/>
      <c r="AA74" s="37">
        <v>6</v>
      </c>
      <c r="AB74" s="19" t="s">
        <v>542</v>
      </c>
      <c r="AC74" s="19" t="s">
        <v>543</v>
      </c>
      <c r="AD74" s="118">
        <v>0</v>
      </c>
      <c r="AE74" s="118">
        <v>3</v>
      </c>
      <c r="AF74" s="23" t="s">
        <v>601</v>
      </c>
    </row>
    <row r="75" spans="1:44" ht="96">
      <c r="A75" s="62" t="s">
        <v>544</v>
      </c>
      <c r="B75" s="23" t="s">
        <v>545</v>
      </c>
      <c r="C75" s="140">
        <v>43984</v>
      </c>
      <c r="D75" s="23" t="s">
        <v>729</v>
      </c>
      <c r="E75" s="23" t="s">
        <v>17</v>
      </c>
      <c r="F75" s="23" t="s">
        <v>456</v>
      </c>
      <c r="G75" s="23" t="s">
        <v>361</v>
      </c>
      <c r="Q75" s="140">
        <v>43987</v>
      </c>
      <c r="S75" s="23" t="s">
        <v>300</v>
      </c>
      <c r="T75" s="23" t="s">
        <v>363</v>
      </c>
      <c r="U75" s="23" t="s">
        <v>363</v>
      </c>
      <c r="V75" s="23" t="s">
        <v>298</v>
      </c>
      <c r="W75" s="23" t="s">
        <v>541</v>
      </c>
      <c r="Y75" s="37">
        <v>28639.86</v>
      </c>
      <c r="Z75" s="37"/>
      <c r="AA75" s="37">
        <v>6</v>
      </c>
      <c r="AB75" s="19" t="s">
        <v>547</v>
      </c>
      <c r="AC75" s="19" t="s">
        <v>546</v>
      </c>
      <c r="AD75" s="118">
        <v>0</v>
      </c>
      <c r="AE75" s="118">
        <v>3</v>
      </c>
      <c r="AF75" s="23" t="s">
        <v>600</v>
      </c>
    </row>
    <row r="76" spans="1:44" ht="16">
      <c r="A76" s="62" t="s">
        <v>548</v>
      </c>
      <c r="B76" s="23" t="s">
        <v>549</v>
      </c>
      <c r="C76" s="140">
        <v>43984</v>
      </c>
      <c r="D76" s="23" t="s">
        <v>729</v>
      </c>
      <c r="E76" s="23" t="s">
        <v>17</v>
      </c>
      <c r="F76" s="23" t="s">
        <v>456</v>
      </c>
      <c r="G76" s="23" t="s">
        <v>361</v>
      </c>
      <c r="Q76" s="140">
        <v>43988</v>
      </c>
      <c r="S76" s="23" t="s">
        <v>300</v>
      </c>
      <c r="T76" s="23" t="s">
        <v>363</v>
      </c>
      <c r="U76" s="23" t="s">
        <v>363</v>
      </c>
      <c r="V76" s="23" t="s">
        <v>298</v>
      </c>
      <c r="W76" s="23" t="s">
        <v>429</v>
      </c>
      <c r="Y76" s="37">
        <v>5361.5</v>
      </c>
      <c r="Z76" s="37"/>
      <c r="AA76" s="37">
        <v>6</v>
      </c>
      <c r="AB76" s="23" t="s">
        <v>550</v>
      </c>
      <c r="AC76" s="19" t="s">
        <v>551</v>
      </c>
      <c r="AD76" s="118">
        <v>0</v>
      </c>
      <c r="AE76" s="118">
        <v>1</v>
      </c>
      <c r="AF76" s="23" t="s">
        <v>602</v>
      </c>
    </row>
    <row r="77" spans="1:44" ht="96">
      <c r="A77" s="62" t="s">
        <v>552</v>
      </c>
      <c r="B77" s="23" t="s">
        <v>553</v>
      </c>
      <c r="C77" s="140">
        <v>43984</v>
      </c>
      <c r="D77" s="23" t="s">
        <v>729</v>
      </c>
      <c r="E77" s="23" t="s">
        <v>17</v>
      </c>
      <c r="F77" s="23" t="s">
        <v>456</v>
      </c>
      <c r="G77" s="23" t="s">
        <v>361</v>
      </c>
      <c r="Q77" s="140">
        <v>43988</v>
      </c>
      <c r="S77" s="23" t="s">
        <v>300</v>
      </c>
      <c r="T77" s="23" t="s">
        <v>363</v>
      </c>
      <c r="U77" s="23" t="s">
        <v>363</v>
      </c>
      <c r="V77" s="23" t="s">
        <v>298</v>
      </c>
      <c r="W77" s="23" t="s">
        <v>554</v>
      </c>
      <c r="Y77" s="37">
        <v>30581.75</v>
      </c>
      <c r="Z77" s="37"/>
      <c r="AA77" s="37">
        <v>6</v>
      </c>
      <c r="AB77" s="19" t="s">
        <v>555</v>
      </c>
      <c r="AC77" s="19" t="s">
        <v>556</v>
      </c>
      <c r="AD77" s="118">
        <v>0</v>
      </c>
      <c r="AE77" s="118">
        <v>3</v>
      </c>
      <c r="AF77" s="23" t="s">
        <v>606</v>
      </c>
    </row>
    <row r="78" spans="1:44" ht="96">
      <c r="A78" s="62" t="s">
        <v>557</v>
      </c>
      <c r="B78" s="23" t="s">
        <v>558</v>
      </c>
      <c r="C78" s="140">
        <v>43984</v>
      </c>
      <c r="D78" s="23" t="s">
        <v>729</v>
      </c>
      <c r="E78" s="23" t="s">
        <v>17</v>
      </c>
      <c r="F78" s="23" t="s">
        <v>456</v>
      </c>
      <c r="G78" s="23" t="s">
        <v>361</v>
      </c>
      <c r="Q78" s="140">
        <v>43988</v>
      </c>
      <c r="S78" s="23" t="s">
        <v>300</v>
      </c>
      <c r="T78" s="23" t="s">
        <v>363</v>
      </c>
      <c r="U78" s="23" t="s">
        <v>363</v>
      </c>
      <c r="V78" s="23" t="s">
        <v>298</v>
      </c>
      <c r="W78" s="23" t="s">
        <v>554</v>
      </c>
      <c r="Y78" s="37">
        <v>31375.5</v>
      </c>
      <c r="Z78" s="37"/>
      <c r="AA78" s="37">
        <v>6</v>
      </c>
      <c r="AB78" s="19" t="s">
        <v>559</v>
      </c>
      <c r="AC78" s="19" t="s">
        <v>560</v>
      </c>
      <c r="AD78" s="118">
        <v>0</v>
      </c>
      <c r="AE78" s="118">
        <v>3</v>
      </c>
      <c r="AF78" s="23" t="s">
        <v>604</v>
      </c>
    </row>
    <row r="79" spans="1:44" ht="64">
      <c r="A79" s="62" t="s">
        <v>561</v>
      </c>
      <c r="B79" s="23" t="s">
        <v>562</v>
      </c>
      <c r="C79" s="140">
        <v>43984</v>
      </c>
      <c r="D79" s="23" t="s">
        <v>729</v>
      </c>
      <c r="E79" s="23" t="s">
        <v>17</v>
      </c>
      <c r="F79" s="23" t="s">
        <v>456</v>
      </c>
      <c r="G79" s="23" t="s">
        <v>361</v>
      </c>
      <c r="Q79" s="140">
        <v>43988</v>
      </c>
      <c r="S79" s="23" t="s">
        <v>300</v>
      </c>
      <c r="T79" s="23" t="s">
        <v>363</v>
      </c>
      <c r="U79" s="23" t="s">
        <v>363</v>
      </c>
      <c r="V79" s="23" t="s">
        <v>298</v>
      </c>
      <c r="W79" s="23" t="s">
        <v>563</v>
      </c>
      <c r="Y79" s="37">
        <v>32045</v>
      </c>
      <c r="Z79" s="37"/>
      <c r="AA79" s="37">
        <v>6</v>
      </c>
      <c r="AB79" s="19" t="s">
        <v>564</v>
      </c>
      <c r="AC79" s="19" t="s">
        <v>565</v>
      </c>
      <c r="AD79" s="118">
        <v>0</v>
      </c>
      <c r="AE79" s="118">
        <v>2</v>
      </c>
      <c r="AF79" s="23" t="s">
        <v>605</v>
      </c>
    </row>
    <row r="80" spans="1:44" ht="64">
      <c r="A80" s="62" t="s">
        <v>566</v>
      </c>
      <c r="B80" s="27" t="s">
        <v>568</v>
      </c>
      <c r="C80" s="140">
        <v>43983</v>
      </c>
      <c r="D80" s="23" t="s">
        <v>729</v>
      </c>
      <c r="E80" s="23" t="s">
        <v>17</v>
      </c>
      <c r="F80" s="23" t="s">
        <v>456</v>
      </c>
      <c r="G80" s="23" t="s">
        <v>361</v>
      </c>
      <c r="Q80" s="140">
        <v>43991</v>
      </c>
      <c r="S80" s="23" t="s">
        <v>300</v>
      </c>
      <c r="T80" s="23" t="s">
        <v>363</v>
      </c>
      <c r="U80" s="23" t="s">
        <v>363</v>
      </c>
      <c r="V80" s="23" t="s">
        <v>298</v>
      </c>
      <c r="W80" s="23" t="s">
        <v>494</v>
      </c>
      <c r="Y80" s="37">
        <v>11189.5</v>
      </c>
      <c r="Z80" s="37"/>
      <c r="AA80" s="37">
        <v>6</v>
      </c>
      <c r="AB80" s="23" t="s">
        <v>569</v>
      </c>
      <c r="AC80" s="19" t="s">
        <v>570</v>
      </c>
      <c r="AD80" s="118">
        <v>0</v>
      </c>
      <c r="AE80" s="118">
        <v>1</v>
      </c>
      <c r="AF80" s="23" t="s">
        <v>603</v>
      </c>
    </row>
    <row r="81" spans="1:34" ht="32">
      <c r="A81" s="62" t="s">
        <v>567</v>
      </c>
      <c r="B81" s="23" t="s">
        <v>571</v>
      </c>
      <c r="C81" s="140">
        <v>43981</v>
      </c>
      <c r="D81" s="23" t="s">
        <v>729</v>
      </c>
      <c r="E81" s="23" t="s">
        <v>17</v>
      </c>
      <c r="F81" s="23" t="s">
        <v>456</v>
      </c>
      <c r="G81" s="23" t="s">
        <v>361</v>
      </c>
      <c r="Q81" s="140">
        <v>43991</v>
      </c>
      <c r="S81" s="23" t="s">
        <v>300</v>
      </c>
      <c r="T81" s="23" t="s">
        <v>363</v>
      </c>
      <c r="U81" s="23" t="s">
        <v>363</v>
      </c>
      <c r="V81" s="23" t="s">
        <v>298</v>
      </c>
      <c r="W81" s="23" t="s">
        <v>514</v>
      </c>
      <c r="Y81" s="37">
        <v>19700</v>
      </c>
      <c r="Z81" s="37"/>
      <c r="AA81" s="37">
        <v>6</v>
      </c>
      <c r="AB81" s="23" t="s">
        <v>572</v>
      </c>
      <c r="AC81" s="19" t="s">
        <v>573</v>
      </c>
      <c r="AD81" s="118">
        <v>0</v>
      </c>
      <c r="AE81" s="118">
        <v>1</v>
      </c>
      <c r="AF81" s="23" t="s">
        <v>607</v>
      </c>
    </row>
    <row r="82" spans="1:34" ht="64">
      <c r="A82" s="62" t="s">
        <v>574</v>
      </c>
      <c r="B82" s="23" t="s">
        <v>575</v>
      </c>
      <c r="C82" s="140">
        <v>43987</v>
      </c>
      <c r="D82" s="23" t="s">
        <v>729</v>
      </c>
      <c r="E82" s="23" t="s">
        <v>17</v>
      </c>
      <c r="F82" s="23" t="s">
        <v>456</v>
      </c>
      <c r="G82" s="23" t="s">
        <v>361</v>
      </c>
      <c r="Q82" s="140">
        <v>43993</v>
      </c>
      <c r="S82" s="23" t="s">
        <v>300</v>
      </c>
      <c r="T82" s="23" t="s">
        <v>363</v>
      </c>
      <c r="U82" s="23" t="s">
        <v>363</v>
      </c>
      <c r="V82" s="23" t="s">
        <v>298</v>
      </c>
      <c r="W82" s="23" t="s">
        <v>494</v>
      </c>
      <c r="Y82" s="37">
        <v>18174</v>
      </c>
      <c r="Z82" s="37"/>
      <c r="AA82" s="37">
        <v>6</v>
      </c>
      <c r="AB82" s="19" t="s">
        <v>576</v>
      </c>
      <c r="AC82" s="19" t="s">
        <v>577</v>
      </c>
      <c r="AD82" s="118">
        <v>0</v>
      </c>
      <c r="AE82" s="118">
        <v>2</v>
      </c>
      <c r="AF82" s="23" t="s">
        <v>611</v>
      </c>
    </row>
    <row r="83" spans="1:34" ht="144">
      <c r="A83" s="62" t="s">
        <v>578</v>
      </c>
      <c r="B83" s="23" t="s">
        <v>579</v>
      </c>
      <c r="C83" s="140">
        <v>43982</v>
      </c>
      <c r="D83" s="23" t="s">
        <v>729</v>
      </c>
      <c r="E83" s="23" t="s">
        <v>56</v>
      </c>
      <c r="F83" s="23" t="s">
        <v>370</v>
      </c>
      <c r="G83" s="23" t="s">
        <v>150</v>
      </c>
      <c r="H83" s="23" t="s">
        <v>660</v>
      </c>
      <c r="I83" s="23" t="s">
        <v>660</v>
      </c>
      <c r="J83" s="140">
        <v>44009</v>
      </c>
      <c r="P83" s="23" t="s">
        <v>714</v>
      </c>
      <c r="Q83" s="140">
        <v>43991</v>
      </c>
      <c r="S83" s="23" t="s">
        <v>300</v>
      </c>
      <c r="T83" s="23" t="s">
        <v>305</v>
      </c>
      <c r="U83" s="23" t="s">
        <v>305</v>
      </c>
      <c r="V83" s="23" t="s">
        <v>305</v>
      </c>
      <c r="W83" s="23" t="s">
        <v>406</v>
      </c>
      <c r="Y83" s="37">
        <v>2030</v>
      </c>
      <c r="Z83" s="37"/>
      <c r="AA83" s="37">
        <v>67</v>
      </c>
      <c r="AB83" s="23" t="s">
        <v>580</v>
      </c>
      <c r="AC83" s="19" t="s">
        <v>581</v>
      </c>
      <c r="AD83" s="118">
        <v>0</v>
      </c>
      <c r="AE83" s="118">
        <v>1</v>
      </c>
      <c r="AF83" s="29" t="s">
        <v>743</v>
      </c>
      <c r="AG83" s="23" t="s">
        <v>659</v>
      </c>
      <c r="AH83" s="39">
        <v>43992</v>
      </c>
    </row>
    <row r="84" spans="1:34" ht="48">
      <c r="A84" s="62" t="s">
        <v>582</v>
      </c>
      <c r="B84" s="23" t="s">
        <v>586</v>
      </c>
      <c r="C84" s="140">
        <v>43988</v>
      </c>
      <c r="D84" s="23" t="s">
        <v>729</v>
      </c>
      <c r="E84" s="23" t="s">
        <v>17</v>
      </c>
      <c r="F84" s="23" t="s">
        <v>456</v>
      </c>
      <c r="G84" s="23" t="s">
        <v>361</v>
      </c>
      <c r="Q84" s="140">
        <v>43995</v>
      </c>
      <c r="S84" s="23" t="s">
        <v>300</v>
      </c>
      <c r="T84" s="23" t="s">
        <v>363</v>
      </c>
      <c r="U84" s="23" t="s">
        <v>363</v>
      </c>
      <c r="V84" s="23" t="s">
        <v>298</v>
      </c>
      <c r="W84" s="23" t="s">
        <v>494</v>
      </c>
      <c r="Y84" s="37">
        <v>3503.3</v>
      </c>
      <c r="Z84" s="37"/>
      <c r="AA84" s="37">
        <v>6</v>
      </c>
      <c r="AB84" s="23" t="s">
        <v>587</v>
      </c>
      <c r="AC84" s="19" t="s">
        <v>588</v>
      </c>
      <c r="AD84" s="118">
        <v>1</v>
      </c>
      <c r="AE84" s="118">
        <v>0</v>
      </c>
      <c r="AF84" s="23" t="s">
        <v>612</v>
      </c>
    </row>
    <row r="85" spans="1:34" ht="48">
      <c r="A85" s="62" t="s">
        <v>583</v>
      </c>
      <c r="B85" s="23" t="s">
        <v>589</v>
      </c>
      <c r="C85" s="140">
        <v>43988</v>
      </c>
      <c r="D85" s="23" t="s">
        <v>729</v>
      </c>
      <c r="E85" s="23" t="s">
        <v>17</v>
      </c>
      <c r="F85" s="23" t="s">
        <v>456</v>
      </c>
      <c r="G85" s="23" t="s">
        <v>361</v>
      </c>
      <c r="Q85" s="140">
        <v>43995</v>
      </c>
      <c r="S85" s="23" t="s">
        <v>300</v>
      </c>
      <c r="T85" s="23" t="s">
        <v>363</v>
      </c>
      <c r="U85" s="23" t="s">
        <v>363</v>
      </c>
      <c r="V85" s="23" t="s">
        <v>298</v>
      </c>
      <c r="W85" s="23" t="s">
        <v>541</v>
      </c>
      <c r="Y85" s="37">
        <v>9864</v>
      </c>
      <c r="Z85" s="37"/>
      <c r="AA85" s="37">
        <v>6</v>
      </c>
      <c r="AB85" s="23" t="s">
        <v>590</v>
      </c>
      <c r="AC85" s="19" t="s">
        <v>591</v>
      </c>
      <c r="AD85" s="118">
        <v>0</v>
      </c>
      <c r="AE85" s="118">
        <v>1</v>
      </c>
      <c r="AF85" s="39" t="s">
        <v>613</v>
      </c>
      <c r="AG85" s="39"/>
      <c r="AH85" s="39"/>
    </row>
    <row r="86" spans="1:34" ht="64">
      <c r="A86" s="62" t="s">
        <v>584</v>
      </c>
      <c r="B86" s="23" t="s">
        <v>592</v>
      </c>
      <c r="C86" s="140">
        <v>43990</v>
      </c>
      <c r="D86" s="23" t="s">
        <v>729</v>
      </c>
      <c r="E86" s="23" t="s">
        <v>17</v>
      </c>
      <c r="F86" s="23" t="s">
        <v>456</v>
      </c>
      <c r="G86" s="23" t="s">
        <v>361</v>
      </c>
      <c r="Q86" s="140">
        <v>43995</v>
      </c>
      <c r="S86" s="23" t="s">
        <v>300</v>
      </c>
      <c r="T86" s="23" t="s">
        <v>363</v>
      </c>
      <c r="U86" s="23" t="s">
        <v>363</v>
      </c>
      <c r="V86" s="23" t="s">
        <v>298</v>
      </c>
      <c r="W86" s="23" t="s">
        <v>593</v>
      </c>
      <c r="Y86" s="37">
        <v>21249</v>
      </c>
      <c r="Z86" s="37"/>
      <c r="AA86" s="37">
        <v>6</v>
      </c>
      <c r="AB86" s="19" t="s">
        <v>594</v>
      </c>
      <c r="AC86" s="19" t="s">
        <v>595</v>
      </c>
      <c r="AD86" s="118">
        <v>0</v>
      </c>
      <c r="AE86" s="118">
        <v>2</v>
      </c>
      <c r="AF86" s="23" t="s">
        <v>641</v>
      </c>
    </row>
    <row r="87" spans="1:34" ht="64">
      <c r="A87" s="62" t="s">
        <v>585</v>
      </c>
      <c r="B87" s="23" t="s">
        <v>596</v>
      </c>
      <c r="C87" s="140">
        <v>43987</v>
      </c>
      <c r="D87" s="23" t="s">
        <v>729</v>
      </c>
      <c r="E87" s="23" t="s">
        <v>17</v>
      </c>
      <c r="F87" s="23" t="s">
        <v>456</v>
      </c>
      <c r="G87" s="23" t="s">
        <v>361</v>
      </c>
      <c r="Q87" s="140">
        <v>43995</v>
      </c>
      <c r="S87" s="23" t="s">
        <v>300</v>
      </c>
      <c r="T87" s="23" t="s">
        <v>363</v>
      </c>
      <c r="U87" s="23" t="s">
        <v>363</v>
      </c>
      <c r="V87" s="23" t="s">
        <v>298</v>
      </c>
      <c r="W87" s="23" t="s">
        <v>597</v>
      </c>
      <c r="Y87" s="37">
        <v>24500</v>
      </c>
      <c r="Z87" s="37"/>
      <c r="AA87" s="37">
        <v>6</v>
      </c>
      <c r="AB87" s="19" t="s">
        <v>598</v>
      </c>
      <c r="AC87" s="19" t="s">
        <v>599</v>
      </c>
      <c r="AD87" s="118">
        <v>0</v>
      </c>
      <c r="AE87" s="118">
        <v>2</v>
      </c>
      <c r="AF87" s="23" t="s">
        <v>614</v>
      </c>
    </row>
    <row r="88" spans="1:34" ht="64">
      <c r="A88" s="62" t="s">
        <v>608</v>
      </c>
      <c r="B88" s="27" t="s">
        <v>609</v>
      </c>
      <c r="C88" s="140">
        <v>43995</v>
      </c>
      <c r="D88" s="23" t="s">
        <v>729</v>
      </c>
      <c r="E88" s="23" t="s">
        <v>636</v>
      </c>
      <c r="F88" s="23" t="s">
        <v>456</v>
      </c>
      <c r="G88" s="23" t="s">
        <v>361</v>
      </c>
      <c r="Q88" s="140">
        <v>43997</v>
      </c>
      <c r="S88" s="23" t="s">
        <v>300</v>
      </c>
      <c r="T88" s="23" t="s">
        <v>363</v>
      </c>
      <c r="U88" s="23" t="s">
        <v>363</v>
      </c>
      <c r="V88" s="23" t="s">
        <v>298</v>
      </c>
      <c r="W88" s="23" t="s">
        <v>494</v>
      </c>
      <c r="Y88" s="37">
        <v>14711.6</v>
      </c>
      <c r="Z88" s="37"/>
      <c r="AA88" s="37">
        <v>6</v>
      </c>
      <c r="AB88" s="19" t="s">
        <v>638</v>
      </c>
      <c r="AC88" s="19" t="s">
        <v>610</v>
      </c>
      <c r="AD88" s="118">
        <v>0</v>
      </c>
      <c r="AE88" s="118">
        <v>2</v>
      </c>
      <c r="AF88" s="23" t="s">
        <v>705</v>
      </c>
      <c r="AG88" s="23" t="s">
        <v>637</v>
      </c>
      <c r="AH88" s="39">
        <v>43997</v>
      </c>
    </row>
    <row r="89" spans="1:34">
      <c r="A89" s="62" t="s">
        <v>644</v>
      </c>
      <c r="B89" s="23" t="s">
        <v>647</v>
      </c>
      <c r="C89" s="140">
        <v>43993</v>
      </c>
      <c r="D89" s="23" t="s">
        <v>729</v>
      </c>
      <c r="E89" s="23" t="s">
        <v>636</v>
      </c>
      <c r="F89" s="23" t="s">
        <v>456</v>
      </c>
      <c r="G89" s="23" t="s">
        <v>361</v>
      </c>
      <c r="Q89" s="140">
        <v>44001</v>
      </c>
      <c r="S89" s="23" t="s">
        <v>300</v>
      </c>
      <c r="T89" s="23" t="s">
        <v>363</v>
      </c>
      <c r="U89" s="23" t="s">
        <v>363</v>
      </c>
      <c r="V89" s="23" t="s">
        <v>298</v>
      </c>
      <c r="W89" s="23" t="s">
        <v>648</v>
      </c>
      <c r="Y89" s="37">
        <v>26500</v>
      </c>
      <c r="Z89" s="37"/>
      <c r="AA89" s="37">
        <v>6</v>
      </c>
      <c r="AB89" s="23" t="s">
        <v>649</v>
      </c>
      <c r="AC89" s="23" t="s">
        <v>650</v>
      </c>
      <c r="AD89" s="118">
        <v>0</v>
      </c>
      <c r="AE89" s="118">
        <v>1</v>
      </c>
      <c r="AF89" s="23" t="s">
        <v>706</v>
      </c>
      <c r="AG89" s="23" t="s">
        <v>651</v>
      </c>
      <c r="AH89" s="39">
        <v>43999</v>
      </c>
    </row>
    <row r="90" spans="1:34" ht="160">
      <c r="A90" s="62" t="s">
        <v>645</v>
      </c>
      <c r="B90" s="23" t="s">
        <v>652</v>
      </c>
      <c r="C90" s="140">
        <v>43993</v>
      </c>
      <c r="D90" s="23" t="s">
        <v>729</v>
      </c>
      <c r="E90" s="23" t="s">
        <v>636</v>
      </c>
      <c r="F90" s="23" t="s">
        <v>456</v>
      </c>
      <c r="G90" s="23" t="s">
        <v>361</v>
      </c>
      <c r="Q90" s="140">
        <v>44001</v>
      </c>
      <c r="S90" s="23" t="s">
        <v>300</v>
      </c>
      <c r="T90" s="23" t="s">
        <v>363</v>
      </c>
      <c r="U90" s="23" t="s">
        <v>363</v>
      </c>
      <c r="V90" s="23" t="s">
        <v>298</v>
      </c>
      <c r="W90" s="23" t="s">
        <v>653</v>
      </c>
      <c r="Y90" s="37">
        <v>77390</v>
      </c>
      <c r="Z90" s="37"/>
      <c r="AA90" s="37">
        <v>6</v>
      </c>
      <c r="AB90" s="19" t="s">
        <v>654</v>
      </c>
      <c r="AC90" s="23" t="s">
        <v>655</v>
      </c>
      <c r="AD90" s="118">
        <v>5</v>
      </c>
      <c r="AE90" s="118">
        <v>0</v>
      </c>
      <c r="AF90" s="23" t="s">
        <v>707</v>
      </c>
      <c r="AG90" s="23" t="s">
        <v>651</v>
      </c>
      <c r="AH90" s="39">
        <v>43999</v>
      </c>
    </row>
    <row r="91" spans="1:34">
      <c r="A91" s="62" t="s">
        <v>646</v>
      </c>
      <c r="B91" s="23" t="s">
        <v>656</v>
      </c>
      <c r="C91" s="140">
        <v>43989</v>
      </c>
      <c r="D91" s="23" t="s">
        <v>729</v>
      </c>
      <c r="E91" s="23" t="s">
        <v>636</v>
      </c>
      <c r="F91" s="23" t="s">
        <v>456</v>
      </c>
      <c r="G91" s="23" t="s">
        <v>361</v>
      </c>
      <c r="Q91" s="140">
        <v>44001</v>
      </c>
      <c r="S91" s="23" t="s">
        <v>300</v>
      </c>
      <c r="T91" s="23" t="s">
        <v>363</v>
      </c>
      <c r="U91" s="23" t="s">
        <v>363</v>
      </c>
      <c r="V91" s="23" t="s">
        <v>298</v>
      </c>
      <c r="W91" s="23" t="s">
        <v>444</v>
      </c>
      <c r="Y91" s="37">
        <v>15600</v>
      </c>
      <c r="Z91" s="37"/>
      <c r="AA91" s="37">
        <v>6</v>
      </c>
      <c r="AB91" s="23" t="s">
        <v>657</v>
      </c>
      <c r="AC91" s="23" t="s">
        <v>658</v>
      </c>
      <c r="AD91" s="118">
        <v>0</v>
      </c>
      <c r="AE91" s="118">
        <v>1</v>
      </c>
      <c r="AF91" s="23" t="s">
        <v>708</v>
      </c>
      <c r="AG91" s="23" t="s">
        <v>637</v>
      </c>
      <c r="AH91" s="39">
        <v>43999</v>
      </c>
    </row>
    <row r="92" spans="1:34">
      <c r="A92" s="62" t="s">
        <v>661</v>
      </c>
      <c r="B92" s="23" t="s">
        <v>662</v>
      </c>
      <c r="C92" s="140">
        <v>43994</v>
      </c>
      <c r="D92" s="23" t="s">
        <v>729</v>
      </c>
      <c r="E92" s="23" t="s">
        <v>636</v>
      </c>
      <c r="F92" s="23" t="s">
        <v>456</v>
      </c>
      <c r="G92" s="23" t="s">
        <v>361</v>
      </c>
      <c r="Q92" s="140">
        <v>44001</v>
      </c>
      <c r="S92" s="23" t="s">
        <v>300</v>
      </c>
      <c r="T92" s="23" t="s">
        <v>363</v>
      </c>
      <c r="U92" s="23" t="s">
        <v>363</v>
      </c>
      <c r="V92" s="23" t="s">
        <v>298</v>
      </c>
      <c r="W92" s="23" t="s">
        <v>541</v>
      </c>
      <c r="Y92" s="37">
        <v>12891.2</v>
      </c>
      <c r="Z92" s="37"/>
      <c r="AA92" s="37">
        <v>6</v>
      </c>
      <c r="AB92" s="23" t="s">
        <v>663</v>
      </c>
      <c r="AC92" s="23" t="s">
        <v>664</v>
      </c>
      <c r="AD92" s="118">
        <v>0</v>
      </c>
      <c r="AE92" s="118">
        <v>1</v>
      </c>
      <c r="AF92" s="23" t="s">
        <v>709</v>
      </c>
      <c r="AG92" s="23" t="s">
        <v>665</v>
      </c>
      <c r="AH92" s="39">
        <v>43999</v>
      </c>
    </row>
    <row r="93" spans="1:34">
      <c r="A93" s="62" t="s">
        <v>667</v>
      </c>
      <c r="B93" s="23" t="s">
        <v>669</v>
      </c>
      <c r="C93" s="140">
        <v>43995</v>
      </c>
      <c r="D93" s="23" t="s">
        <v>729</v>
      </c>
      <c r="E93" s="23" t="s">
        <v>636</v>
      </c>
      <c r="F93" s="23" t="s">
        <v>456</v>
      </c>
      <c r="G93" s="23" t="s">
        <v>361</v>
      </c>
      <c r="Q93" s="140">
        <v>44003</v>
      </c>
      <c r="S93" s="23" t="s">
        <v>300</v>
      </c>
      <c r="T93" s="23" t="s">
        <v>363</v>
      </c>
      <c r="U93" s="23" t="s">
        <v>363</v>
      </c>
      <c r="V93" s="23" t="s">
        <v>298</v>
      </c>
      <c r="W93" s="23" t="s">
        <v>494</v>
      </c>
      <c r="Y93" s="37">
        <v>12940.5</v>
      </c>
      <c r="Z93" s="37"/>
      <c r="AA93" s="37">
        <v>6</v>
      </c>
      <c r="AB93" s="23" t="s">
        <v>670</v>
      </c>
      <c r="AC93" s="23" t="s">
        <v>671</v>
      </c>
      <c r="AD93" s="118">
        <v>0</v>
      </c>
      <c r="AE93" s="118">
        <v>1</v>
      </c>
      <c r="AF93" s="23" t="s">
        <v>710</v>
      </c>
      <c r="AG93" s="23" t="s">
        <v>666</v>
      </c>
      <c r="AH93" s="39">
        <v>44001</v>
      </c>
    </row>
    <row r="94" spans="1:34">
      <c r="A94" s="62" t="s">
        <v>668</v>
      </c>
      <c r="B94" s="23" t="s">
        <v>672</v>
      </c>
      <c r="C94" s="140">
        <v>43999</v>
      </c>
      <c r="D94" s="23" t="s">
        <v>729</v>
      </c>
      <c r="E94" s="23" t="s">
        <v>636</v>
      </c>
      <c r="F94" s="23" t="s">
        <v>456</v>
      </c>
      <c r="G94" s="23" t="s">
        <v>361</v>
      </c>
      <c r="Q94" s="140">
        <v>44004</v>
      </c>
      <c r="S94" s="23" t="s">
        <v>300</v>
      </c>
      <c r="T94" s="23" t="s">
        <v>363</v>
      </c>
      <c r="U94" s="23" t="s">
        <v>363</v>
      </c>
      <c r="V94" s="23" t="s">
        <v>298</v>
      </c>
      <c r="W94" s="23" t="s">
        <v>673</v>
      </c>
      <c r="Y94" s="37">
        <v>24000</v>
      </c>
      <c r="Z94" s="37"/>
      <c r="AA94" s="37">
        <v>6</v>
      </c>
      <c r="AB94" s="23" t="s">
        <v>674</v>
      </c>
      <c r="AC94" s="23" t="s">
        <v>675</v>
      </c>
      <c r="AD94" s="118">
        <v>0</v>
      </c>
      <c r="AE94" s="118">
        <v>1</v>
      </c>
      <c r="AF94" s="23" t="s">
        <v>711</v>
      </c>
      <c r="AG94" s="23" t="s">
        <v>679</v>
      </c>
      <c r="AH94" s="39">
        <v>44001</v>
      </c>
    </row>
    <row r="95" spans="1:34">
      <c r="A95" s="62" t="s">
        <v>676</v>
      </c>
      <c r="B95" s="23" t="s">
        <v>677</v>
      </c>
      <c r="C95" s="140">
        <v>43999</v>
      </c>
      <c r="D95" s="23" t="s">
        <v>729</v>
      </c>
      <c r="E95" s="23" t="s">
        <v>636</v>
      </c>
      <c r="F95" s="23" t="s">
        <v>456</v>
      </c>
      <c r="G95" s="23" t="s">
        <v>361</v>
      </c>
      <c r="Q95" s="140">
        <v>44004</v>
      </c>
      <c r="S95" s="23" t="s">
        <v>300</v>
      </c>
      <c r="T95" s="23" t="s">
        <v>363</v>
      </c>
      <c r="U95" s="23" t="s">
        <v>363</v>
      </c>
      <c r="V95" s="23" t="s">
        <v>298</v>
      </c>
      <c r="W95" s="23" t="s">
        <v>494</v>
      </c>
      <c r="Y95" s="37">
        <v>10460</v>
      </c>
      <c r="Z95" s="37"/>
      <c r="AA95" s="37">
        <v>6</v>
      </c>
      <c r="AB95" s="23" t="s">
        <v>678</v>
      </c>
      <c r="AC95" s="23" t="s">
        <v>500</v>
      </c>
      <c r="AD95" s="118">
        <v>0</v>
      </c>
      <c r="AE95" s="118">
        <v>1</v>
      </c>
      <c r="AF95" s="23" t="s">
        <v>713</v>
      </c>
      <c r="AG95" s="23" t="s">
        <v>666</v>
      </c>
      <c r="AH95" s="39">
        <v>44004</v>
      </c>
    </row>
    <row r="96" spans="1:34">
      <c r="A96" s="62" t="s">
        <v>680</v>
      </c>
      <c r="B96" s="23" t="s">
        <v>681</v>
      </c>
      <c r="C96" s="140">
        <v>44000</v>
      </c>
      <c r="D96" s="23" t="s">
        <v>729</v>
      </c>
      <c r="E96" s="23" t="s">
        <v>636</v>
      </c>
      <c r="F96" s="23" t="s">
        <v>456</v>
      </c>
      <c r="G96" s="23" t="s">
        <v>361</v>
      </c>
      <c r="Q96" s="140">
        <v>44005</v>
      </c>
      <c r="S96" s="23" t="s">
        <v>300</v>
      </c>
      <c r="T96" s="23" t="s">
        <v>363</v>
      </c>
      <c r="U96" s="23" t="s">
        <v>363</v>
      </c>
      <c r="V96" s="23" t="s">
        <v>298</v>
      </c>
      <c r="W96" s="23" t="s">
        <v>682</v>
      </c>
      <c r="Y96" s="37">
        <v>4050</v>
      </c>
      <c r="Z96" s="37"/>
      <c r="AA96" s="37">
        <v>6</v>
      </c>
      <c r="AB96" s="23" t="s">
        <v>683</v>
      </c>
      <c r="AC96" s="23" t="s">
        <v>684</v>
      </c>
      <c r="AD96" s="118">
        <v>0</v>
      </c>
      <c r="AE96" s="118">
        <v>1</v>
      </c>
      <c r="AF96" s="23" t="s">
        <v>712</v>
      </c>
      <c r="AG96" s="23" t="s">
        <v>637</v>
      </c>
      <c r="AH96" s="39">
        <v>44004</v>
      </c>
    </row>
    <row r="97" spans="1:39">
      <c r="A97" s="62" t="s">
        <v>685</v>
      </c>
      <c r="B97" s="23" t="s">
        <v>686</v>
      </c>
      <c r="C97" s="140">
        <v>44001</v>
      </c>
      <c r="D97" s="23" t="s">
        <v>729</v>
      </c>
      <c r="E97" s="23" t="s">
        <v>636</v>
      </c>
      <c r="F97" s="23" t="s">
        <v>456</v>
      </c>
      <c r="G97" s="23" t="s">
        <v>361</v>
      </c>
      <c r="Q97" s="140">
        <v>44006</v>
      </c>
      <c r="S97" s="23" t="s">
        <v>300</v>
      </c>
      <c r="T97" s="23" t="s">
        <v>363</v>
      </c>
      <c r="U97" s="23" t="s">
        <v>363</v>
      </c>
      <c r="V97" s="23" t="s">
        <v>298</v>
      </c>
      <c r="W97" s="23" t="s">
        <v>494</v>
      </c>
      <c r="Y97" s="37">
        <v>14082.35</v>
      </c>
      <c r="Z97" s="37"/>
      <c r="AA97" s="37">
        <v>6</v>
      </c>
      <c r="AB97" s="23" t="s">
        <v>687</v>
      </c>
      <c r="AC97" s="23" t="s">
        <v>688</v>
      </c>
      <c r="AD97" s="118">
        <v>0</v>
      </c>
      <c r="AE97" s="118">
        <v>1</v>
      </c>
      <c r="AF97" s="23" t="s">
        <v>715</v>
      </c>
      <c r="AG97" s="23" t="s">
        <v>666</v>
      </c>
      <c r="AH97" s="39">
        <v>44005</v>
      </c>
    </row>
    <row r="98" spans="1:39" ht="160">
      <c r="A98" s="62" t="s">
        <v>689</v>
      </c>
      <c r="B98" s="23" t="s">
        <v>690</v>
      </c>
      <c r="C98" s="140">
        <v>44000</v>
      </c>
      <c r="D98" s="23" t="s">
        <v>729</v>
      </c>
      <c r="E98" s="23" t="s">
        <v>636</v>
      </c>
      <c r="F98" s="23" t="s">
        <v>456</v>
      </c>
      <c r="G98" s="23" t="s">
        <v>361</v>
      </c>
      <c r="Q98" s="140">
        <v>44006</v>
      </c>
      <c r="S98" s="23" t="s">
        <v>300</v>
      </c>
      <c r="T98" s="23" t="s">
        <v>363</v>
      </c>
      <c r="U98" s="23" t="s">
        <v>363</v>
      </c>
      <c r="V98" s="23" t="s">
        <v>298</v>
      </c>
      <c r="W98" s="23" t="s">
        <v>653</v>
      </c>
      <c r="Y98" s="37">
        <v>76159</v>
      </c>
      <c r="Z98" s="37"/>
      <c r="AA98" s="37">
        <v>6</v>
      </c>
      <c r="AB98" s="19" t="s">
        <v>691</v>
      </c>
      <c r="AC98" s="23" t="s">
        <v>692</v>
      </c>
      <c r="AD98" s="118">
        <v>5</v>
      </c>
      <c r="AE98" s="118">
        <v>0</v>
      </c>
      <c r="AF98" s="23" t="s">
        <v>716</v>
      </c>
      <c r="AG98" s="23" t="s">
        <v>651</v>
      </c>
      <c r="AH98" s="39">
        <v>44005</v>
      </c>
    </row>
    <row r="99" spans="1:39">
      <c r="A99" s="62" t="s">
        <v>693</v>
      </c>
      <c r="B99" s="23" t="s">
        <v>694</v>
      </c>
      <c r="C99" s="140">
        <v>44003</v>
      </c>
      <c r="D99" s="23" t="s">
        <v>729</v>
      </c>
      <c r="E99" s="23" t="s">
        <v>636</v>
      </c>
      <c r="F99" s="23" t="s">
        <v>456</v>
      </c>
      <c r="G99" s="23" t="s">
        <v>361</v>
      </c>
      <c r="Q99" s="140">
        <v>44007</v>
      </c>
      <c r="S99" s="23" t="s">
        <v>300</v>
      </c>
      <c r="T99" s="23" t="s">
        <v>363</v>
      </c>
      <c r="U99" s="23" t="s">
        <v>363</v>
      </c>
      <c r="V99" s="23" t="s">
        <v>298</v>
      </c>
      <c r="W99" s="23" t="s">
        <v>494</v>
      </c>
      <c r="Y99" s="37">
        <v>13000</v>
      </c>
      <c r="Z99" s="37"/>
      <c r="AA99" s="37">
        <v>6</v>
      </c>
      <c r="AB99" s="23" t="s">
        <v>695</v>
      </c>
      <c r="AC99" s="23" t="s">
        <v>696</v>
      </c>
      <c r="AD99" s="118">
        <v>0</v>
      </c>
      <c r="AE99" s="118">
        <v>1</v>
      </c>
      <c r="AF99" s="23" t="s">
        <v>717</v>
      </c>
      <c r="AG99" s="23" t="s">
        <v>666</v>
      </c>
      <c r="AH99" s="39">
        <v>44005</v>
      </c>
    </row>
    <row r="100" spans="1:39">
      <c r="A100" s="62" t="s">
        <v>697</v>
      </c>
      <c r="B100" s="23" t="s">
        <v>698</v>
      </c>
      <c r="C100" s="140">
        <v>43998</v>
      </c>
      <c r="D100" s="23" t="s">
        <v>729</v>
      </c>
      <c r="E100" s="23" t="s">
        <v>636</v>
      </c>
      <c r="F100" s="23" t="s">
        <v>456</v>
      </c>
      <c r="G100" s="23" t="s">
        <v>361</v>
      </c>
      <c r="Q100" s="140">
        <v>44008</v>
      </c>
      <c r="S100" s="23" t="s">
        <v>300</v>
      </c>
      <c r="T100" s="23" t="s">
        <v>363</v>
      </c>
      <c r="U100" s="23" t="s">
        <v>363</v>
      </c>
      <c r="V100" s="23" t="s">
        <v>298</v>
      </c>
      <c r="W100" s="23" t="s">
        <v>444</v>
      </c>
      <c r="Y100" s="37">
        <v>16000</v>
      </c>
      <c r="Z100" s="37"/>
      <c r="AA100" s="37">
        <v>6</v>
      </c>
      <c r="AB100" s="23" t="s">
        <v>699</v>
      </c>
      <c r="AC100" s="23" t="s">
        <v>700</v>
      </c>
      <c r="AD100" s="118">
        <v>0</v>
      </c>
      <c r="AE100" s="118">
        <v>1</v>
      </c>
      <c r="AF100" s="23" t="s">
        <v>730</v>
      </c>
      <c r="AG100" s="23" t="s">
        <v>637</v>
      </c>
      <c r="AH100" s="39">
        <v>44005</v>
      </c>
    </row>
    <row r="101" spans="1:39">
      <c r="A101" s="62" t="s">
        <v>701</v>
      </c>
      <c r="B101" s="23" t="s">
        <v>702</v>
      </c>
      <c r="C101" s="140">
        <v>43995</v>
      </c>
      <c r="D101" s="23" t="s">
        <v>729</v>
      </c>
      <c r="E101" s="23" t="s">
        <v>636</v>
      </c>
      <c r="F101" s="23" t="s">
        <v>456</v>
      </c>
      <c r="G101" s="23" t="s">
        <v>361</v>
      </c>
      <c r="Q101" s="140">
        <v>44008</v>
      </c>
      <c r="S101" s="23" t="s">
        <v>300</v>
      </c>
      <c r="T101" s="23" t="s">
        <v>363</v>
      </c>
      <c r="U101" s="23" t="s">
        <v>363</v>
      </c>
      <c r="V101" s="23" t="s">
        <v>298</v>
      </c>
      <c r="W101" s="23" t="s">
        <v>494</v>
      </c>
      <c r="Y101" s="37">
        <v>6275</v>
      </c>
      <c r="Z101" s="37"/>
      <c r="AA101" s="37">
        <v>6</v>
      </c>
      <c r="AB101" s="23" t="s">
        <v>703</v>
      </c>
      <c r="AC101" s="23" t="s">
        <v>704</v>
      </c>
      <c r="AD101" s="118">
        <v>1</v>
      </c>
      <c r="AE101" s="118">
        <v>0</v>
      </c>
      <c r="AF101" s="23" t="s">
        <v>731</v>
      </c>
      <c r="AG101" s="23" t="s">
        <v>637</v>
      </c>
      <c r="AH101" s="39">
        <v>44005</v>
      </c>
    </row>
    <row r="102" spans="1:39" ht="64">
      <c r="A102" s="64" t="s">
        <v>718</v>
      </c>
      <c r="B102" s="23" t="s">
        <v>719</v>
      </c>
      <c r="C102" s="140">
        <v>43492</v>
      </c>
      <c r="D102" s="23" t="s">
        <v>729</v>
      </c>
      <c r="E102" s="23" t="s">
        <v>726</v>
      </c>
      <c r="F102" s="23" t="s">
        <v>727</v>
      </c>
      <c r="H102" s="23" t="s">
        <v>720</v>
      </c>
      <c r="I102" s="23" t="s">
        <v>720</v>
      </c>
      <c r="J102" s="140">
        <v>43276</v>
      </c>
      <c r="P102" s="23" t="s">
        <v>721</v>
      </c>
      <c r="Q102" s="140">
        <v>43498</v>
      </c>
      <c r="S102" s="23" t="s">
        <v>183</v>
      </c>
      <c r="T102" s="23" t="s">
        <v>305</v>
      </c>
      <c r="U102" s="23" t="s">
        <v>305</v>
      </c>
      <c r="V102" s="23" t="s">
        <v>356</v>
      </c>
      <c r="W102" s="23" t="s">
        <v>722</v>
      </c>
      <c r="Y102" s="37">
        <v>74415</v>
      </c>
      <c r="Z102" s="37"/>
      <c r="AA102" s="37"/>
      <c r="AB102" s="19" t="s">
        <v>723</v>
      </c>
      <c r="AC102" s="23" t="s">
        <v>724</v>
      </c>
      <c r="AD102" s="118">
        <v>0</v>
      </c>
      <c r="AE102" s="118">
        <v>4</v>
      </c>
      <c r="AF102" s="29" t="s">
        <v>725</v>
      </c>
      <c r="AG102" s="23" t="s">
        <v>728</v>
      </c>
    </row>
    <row r="103" spans="1:39" ht="112">
      <c r="A103" s="66" t="s">
        <v>732</v>
      </c>
      <c r="B103" s="23" t="s">
        <v>733</v>
      </c>
      <c r="C103" s="140">
        <v>43943</v>
      </c>
      <c r="D103" s="23" t="s">
        <v>729</v>
      </c>
      <c r="E103" s="23" t="s">
        <v>726</v>
      </c>
      <c r="F103" s="23" t="s">
        <v>2111</v>
      </c>
      <c r="G103" s="23" t="s">
        <v>1989</v>
      </c>
      <c r="H103" s="23" t="s">
        <v>734</v>
      </c>
      <c r="I103" s="23" t="s">
        <v>734</v>
      </c>
      <c r="J103" s="140">
        <v>43933</v>
      </c>
      <c r="P103" s="23" t="s">
        <v>735</v>
      </c>
      <c r="Q103" s="140">
        <v>44009</v>
      </c>
      <c r="S103" s="23" t="s">
        <v>312</v>
      </c>
      <c r="T103" s="23" t="s">
        <v>304</v>
      </c>
      <c r="U103" s="23" t="s">
        <v>304</v>
      </c>
      <c r="V103" s="23" t="s">
        <v>736</v>
      </c>
      <c r="W103" s="23" t="s">
        <v>749</v>
      </c>
      <c r="X103" s="37">
        <v>2735</v>
      </c>
      <c r="Y103" s="37">
        <v>2735</v>
      </c>
      <c r="Z103" s="37"/>
      <c r="AA103" s="37">
        <v>6</v>
      </c>
      <c r="AB103" s="23" t="s">
        <v>737</v>
      </c>
      <c r="AC103" s="23" t="s">
        <v>131</v>
      </c>
      <c r="AD103" s="118">
        <v>0</v>
      </c>
      <c r="AE103" s="118">
        <v>1</v>
      </c>
      <c r="AF103" s="29" t="s">
        <v>1239</v>
      </c>
      <c r="AG103" s="23" t="s">
        <v>738</v>
      </c>
      <c r="AH103" s="39">
        <v>44006</v>
      </c>
    </row>
    <row r="104" spans="1:39" ht="288">
      <c r="A104" s="62" t="s">
        <v>739</v>
      </c>
      <c r="B104" s="23" t="s">
        <v>740</v>
      </c>
      <c r="C104" s="140">
        <v>44002</v>
      </c>
      <c r="D104" s="23" t="s">
        <v>729</v>
      </c>
      <c r="E104" s="23" t="s">
        <v>636</v>
      </c>
      <c r="F104" s="23" t="s">
        <v>456</v>
      </c>
      <c r="G104" s="23" t="s">
        <v>361</v>
      </c>
      <c r="Q104" s="140">
        <v>44009</v>
      </c>
      <c r="S104" s="23" t="s">
        <v>300</v>
      </c>
      <c r="T104" s="23" t="s">
        <v>363</v>
      </c>
      <c r="U104" s="23" t="s">
        <v>363</v>
      </c>
      <c r="V104" s="23" t="s">
        <v>298</v>
      </c>
      <c r="W104" s="23" t="s">
        <v>653</v>
      </c>
      <c r="Y104" s="37">
        <v>139280</v>
      </c>
      <c r="Z104" s="37"/>
      <c r="AA104" s="37">
        <v>6</v>
      </c>
      <c r="AB104" s="40" t="s">
        <v>741</v>
      </c>
      <c r="AC104" s="23" t="s">
        <v>742</v>
      </c>
      <c r="AD104" s="118">
        <v>9</v>
      </c>
      <c r="AE104" s="118">
        <v>0</v>
      </c>
      <c r="AF104" s="29" t="s">
        <v>868</v>
      </c>
      <c r="AG104" s="23" t="s">
        <v>651</v>
      </c>
      <c r="AH104" s="39">
        <v>44007</v>
      </c>
    </row>
    <row r="105" spans="1:39" ht="160">
      <c r="A105" s="63" t="s">
        <v>750</v>
      </c>
      <c r="B105" s="23" t="s">
        <v>751</v>
      </c>
      <c r="C105" s="140">
        <v>44008</v>
      </c>
      <c r="D105" s="23" t="s">
        <v>729</v>
      </c>
      <c r="E105" s="23" t="s">
        <v>752</v>
      </c>
      <c r="F105" s="23" t="s">
        <v>57</v>
      </c>
      <c r="G105" s="23" t="s">
        <v>83</v>
      </c>
      <c r="H105" s="27" t="s">
        <v>753</v>
      </c>
      <c r="I105" s="27" t="s">
        <v>753</v>
      </c>
      <c r="J105" s="140">
        <v>44001</v>
      </c>
      <c r="K105" s="23" t="s">
        <v>755</v>
      </c>
      <c r="L105" s="140">
        <v>44011</v>
      </c>
      <c r="M105" s="26">
        <v>44013</v>
      </c>
      <c r="N105" s="23" t="s">
        <v>83</v>
      </c>
      <c r="Q105" s="140">
        <v>44010</v>
      </c>
      <c r="S105" s="23" t="s">
        <v>184</v>
      </c>
      <c r="T105" s="23" t="s">
        <v>302</v>
      </c>
      <c r="U105" s="23" t="s">
        <v>302</v>
      </c>
      <c r="V105" s="23" t="s">
        <v>233</v>
      </c>
      <c r="W105" s="23" t="s">
        <v>284</v>
      </c>
      <c r="X105" s="37">
        <v>8759</v>
      </c>
      <c r="Y105" s="37">
        <v>9059</v>
      </c>
      <c r="Z105" s="37">
        <v>11489.17</v>
      </c>
      <c r="AA105" s="37">
        <v>10449.74</v>
      </c>
      <c r="AB105" s="23" t="s">
        <v>754</v>
      </c>
      <c r="AC105" s="23" t="s">
        <v>395</v>
      </c>
      <c r="AD105" s="118">
        <v>0</v>
      </c>
      <c r="AE105" s="118">
        <v>1</v>
      </c>
      <c r="AF105" s="29" t="s">
        <v>848</v>
      </c>
      <c r="AG105" s="19" t="s">
        <v>787</v>
      </c>
      <c r="AH105" s="39">
        <v>44013</v>
      </c>
      <c r="AJ105" s="75" t="s">
        <v>5366</v>
      </c>
      <c r="AL105" s="23" t="s">
        <v>5346</v>
      </c>
      <c r="AM105" s="102">
        <v>44014</v>
      </c>
    </row>
    <row r="106" spans="1:39" ht="80">
      <c r="A106" s="62" t="s">
        <v>756</v>
      </c>
      <c r="B106" s="23" t="s">
        <v>757</v>
      </c>
      <c r="C106" s="140">
        <v>43929</v>
      </c>
      <c r="D106" s="23" t="s">
        <v>729</v>
      </c>
      <c r="E106" s="23" t="s">
        <v>752</v>
      </c>
      <c r="F106" s="23" t="s">
        <v>2127</v>
      </c>
      <c r="G106" s="23" t="s">
        <v>2197</v>
      </c>
      <c r="P106" s="23" t="s">
        <v>758</v>
      </c>
      <c r="Q106" s="140">
        <v>43954</v>
      </c>
      <c r="S106" s="23" t="s">
        <v>759</v>
      </c>
      <c r="T106" s="23" t="s">
        <v>302</v>
      </c>
      <c r="U106" s="23" t="s">
        <v>302</v>
      </c>
      <c r="V106" s="23" t="s">
        <v>298</v>
      </c>
      <c r="W106" s="19" t="s">
        <v>761</v>
      </c>
      <c r="Y106" s="37">
        <v>5370</v>
      </c>
      <c r="AB106" s="19" t="s">
        <v>760</v>
      </c>
      <c r="AC106" s="23" t="s">
        <v>123</v>
      </c>
      <c r="AD106" s="118">
        <v>0</v>
      </c>
      <c r="AE106" s="118">
        <v>1</v>
      </c>
      <c r="AF106" s="29" t="s">
        <v>841</v>
      </c>
      <c r="AG106" s="27" t="s">
        <v>788</v>
      </c>
      <c r="AH106" s="39">
        <v>44013</v>
      </c>
    </row>
    <row r="107" spans="1:39" ht="64">
      <c r="A107" s="62" t="s">
        <v>762</v>
      </c>
      <c r="B107" s="23" t="s">
        <v>763</v>
      </c>
      <c r="C107" s="140">
        <v>44013</v>
      </c>
      <c r="D107" s="23" t="s">
        <v>729</v>
      </c>
      <c r="E107" s="23" t="s">
        <v>636</v>
      </c>
      <c r="F107" s="23" t="s">
        <v>456</v>
      </c>
      <c r="Q107" s="140">
        <v>44015</v>
      </c>
      <c r="S107" s="23" t="s">
        <v>300</v>
      </c>
      <c r="T107" s="23" t="s">
        <v>363</v>
      </c>
      <c r="U107" s="23" t="s">
        <v>363</v>
      </c>
      <c r="V107" s="23" t="s">
        <v>298</v>
      </c>
      <c r="W107" s="23" t="s">
        <v>764</v>
      </c>
      <c r="Y107" s="37">
        <v>25142</v>
      </c>
      <c r="AB107" s="19" t="s">
        <v>765</v>
      </c>
      <c r="AC107" s="23" t="s">
        <v>766</v>
      </c>
      <c r="AD107" s="118">
        <v>0</v>
      </c>
      <c r="AE107" s="118">
        <v>2</v>
      </c>
      <c r="AF107" s="29" t="s">
        <v>842</v>
      </c>
      <c r="AG107" s="27" t="s">
        <v>666</v>
      </c>
      <c r="AH107" s="39">
        <v>44014</v>
      </c>
    </row>
    <row r="108" spans="1:39" ht="64">
      <c r="A108" s="62" t="s">
        <v>767</v>
      </c>
      <c r="B108" s="23" t="s">
        <v>771</v>
      </c>
      <c r="C108" s="140">
        <v>44005</v>
      </c>
      <c r="D108" s="23" t="s">
        <v>729</v>
      </c>
      <c r="E108" s="23" t="s">
        <v>636</v>
      </c>
      <c r="F108" s="23" t="s">
        <v>456</v>
      </c>
      <c r="Q108" s="140">
        <v>44017</v>
      </c>
      <c r="S108" s="23" t="s">
        <v>300</v>
      </c>
      <c r="T108" s="23" t="s">
        <v>363</v>
      </c>
      <c r="U108" s="23" t="s">
        <v>363</v>
      </c>
      <c r="V108" s="23" t="s">
        <v>298</v>
      </c>
      <c r="W108" s="19" t="s">
        <v>772</v>
      </c>
      <c r="Y108" s="37">
        <v>33023</v>
      </c>
      <c r="AB108" s="19" t="s">
        <v>773</v>
      </c>
      <c r="AC108" s="23" t="s">
        <v>774</v>
      </c>
      <c r="AD108" s="118">
        <v>0</v>
      </c>
      <c r="AE108" s="118">
        <v>2</v>
      </c>
      <c r="AF108" s="29" t="s">
        <v>843</v>
      </c>
      <c r="AG108" s="27" t="s">
        <v>637</v>
      </c>
      <c r="AH108" s="39">
        <v>44015</v>
      </c>
    </row>
    <row r="109" spans="1:39" ht="64">
      <c r="A109" s="62" t="s">
        <v>768</v>
      </c>
      <c r="B109" s="23" t="s">
        <v>775</v>
      </c>
      <c r="C109" s="140">
        <v>44011</v>
      </c>
      <c r="D109" s="23" t="s">
        <v>729</v>
      </c>
      <c r="E109" s="23" t="s">
        <v>636</v>
      </c>
      <c r="F109" s="23" t="s">
        <v>456</v>
      </c>
      <c r="Q109" s="140">
        <v>44017</v>
      </c>
      <c r="S109" s="23" t="s">
        <v>300</v>
      </c>
      <c r="T109" s="23" t="s">
        <v>363</v>
      </c>
      <c r="U109" s="23" t="s">
        <v>363</v>
      </c>
      <c r="V109" s="23" t="s">
        <v>298</v>
      </c>
      <c r="W109" s="23" t="s">
        <v>776</v>
      </c>
      <c r="Y109" s="37">
        <v>8718.2999999999993</v>
      </c>
      <c r="AB109" s="23" t="s">
        <v>777</v>
      </c>
      <c r="AC109" s="23" t="s">
        <v>778</v>
      </c>
      <c r="AD109" s="118">
        <v>0</v>
      </c>
      <c r="AE109" s="118">
        <v>1</v>
      </c>
      <c r="AF109" s="29" t="s">
        <v>844</v>
      </c>
      <c r="AG109" s="23" t="s">
        <v>637</v>
      </c>
      <c r="AH109" s="39">
        <v>44015</v>
      </c>
    </row>
    <row r="110" spans="1:39" ht="64">
      <c r="A110" s="62" t="s">
        <v>769</v>
      </c>
      <c r="B110" s="23" t="s">
        <v>779</v>
      </c>
      <c r="C110" s="140">
        <v>44010</v>
      </c>
      <c r="D110" s="23" t="s">
        <v>729</v>
      </c>
      <c r="E110" s="23" t="s">
        <v>636</v>
      </c>
      <c r="F110" s="23" t="s">
        <v>456</v>
      </c>
      <c r="Q110" s="140">
        <v>44017</v>
      </c>
      <c r="S110" s="23" t="s">
        <v>300</v>
      </c>
      <c r="T110" s="23" t="s">
        <v>363</v>
      </c>
      <c r="U110" s="23" t="s">
        <v>363</v>
      </c>
      <c r="V110" s="23" t="s">
        <v>298</v>
      </c>
      <c r="W110" s="23" t="s">
        <v>780</v>
      </c>
      <c r="Y110" s="37">
        <v>21196.36</v>
      </c>
      <c r="AB110" s="23" t="s">
        <v>781</v>
      </c>
      <c r="AC110" s="23" t="s">
        <v>782</v>
      </c>
      <c r="AD110" s="118">
        <v>0</v>
      </c>
      <c r="AE110" s="118">
        <v>1</v>
      </c>
      <c r="AF110" s="29" t="s">
        <v>845</v>
      </c>
      <c r="AG110" s="23" t="s">
        <v>637</v>
      </c>
      <c r="AH110" s="39">
        <v>44015</v>
      </c>
    </row>
    <row r="111" spans="1:39" ht="64">
      <c r="A111" s="62" t="s">
        <v>770</v>
      </c>
      <c r="B111" s="23" t="s">
        <v>783</v>
      </c>
      <c r="C111" s="140">
        <v>44013</v>
      </c>
      <c r="D111" s="23" t="s">
        <v>729</v>
      </c>
      <c r="E111" s="23" t="s">
        <v>636</v>
      </c>
      <c r="F111" s="23" t="s">
        <v>456</v>
      </c>
      <c r="Q111" s="140">
        <v>44017</v>
      </c>
      <c r="S111" s="23" t="s">
        <v>300</v>
      </c>
      <c r="T111" s="23" t="s">
        <v>363</v>
      </c>
      <c r="U111" s="23" t="s">
        <v>363</v>
      </c>
      <c r="V111" s="23" t="s">
        <v>298</v>
      </c>
      <c r="W111" s="23" t="s">
        <v>784</v>
      </c>
      <c r="Y111" s="37">
        <v>15655.5</v>
      </c>
      <c r="AB111" s="23" t="s">
        <v>785</v>
      </c>
      <c r="AC111" s="23" t="s">
        <v>786</v>
      </c>
      <c r="AD111" s="118">
        <v>0</v>
      </c>
      <c r="AE111" s="118">
        <v>1</v>
      </c>
      <c r="AF111" s="29" t="s">
        <v>846</v>
      </c>
      <c r="AG111" s="23" t="s">
        <v>666</v>
      </c>
      <c r="AH111" s="39">
        <v>44015</v>
      </c>
    </row>
    <row r="112" spans="1:39" ht="112">
      <c r="A112" s="63" t="s">
        <v>789</v>
      </c>
      <c r="B112" s="23" t="s">
        <v>790</v>
      </c>
      <c r="C112" s="140">
        <v>44014</v>
      </c>
      <c r="D112" s="23" t="s">
        <v>729</v>
      </c>
      <c r="E112" s="23" t="s">
        <v>752</v>
      </c>
      <c r="F112" s="23" t="s">
        <v>57</v>
      </c>
      <c r="G112" s="23" t="s">
        <v>348</v>
      </c>
      <c r="H112" s="23" t="s">
        <v>793</v>
      </c>
      <c r="I112" s="23" t="s">
        <v>793</v>
      </c>
      <c r="J112" s="140">
        <v>44011</v>
      </c>
      <c r="K112" s="23" t="s">
        <v>815</v>
      </c>
      <c r="L112" s="140">
        <v>44018</v>
      </c>
      <c r="Q112" s="140">
        <v>44023</v>
      </c>
      <c r="S112" s="23" t="s">
        <v>183</v>
      </c>
      <c r="T112" s="23" t="s">
        <v>305</v>
      </c>
      <c r="U112" s="23" t="s">
        <v>305</v>
      </c>
      <c r="V112" s="23" t="s">
        <v>356</v>
      </c>
      <c r="W112" s="23" t="s">
        <v>112</v>
      </c>
      <c r="X112" s="37">
        <v>31387.200000000001</v>
      </c>
      <c r="Y112" s="37">
        <v>31596</v>
      </c>
      <c r="Z112" s="37">
        <v>27306.86</v>
      </c>
      <c r="AA112" s="37">
        <v>26110.86</v>
      </c>
      <c r="AB112" s="19" t="s">
        <v>814</v>
      </c>
      <c r="AC112" s="23" t="s">
        <v>791</v>
      </c>
      <c r="AD112" s="118">
        <v>0</v>
      </c>
      <c r="AE112" s="118">
        <v>2</v>
      </c>
      <c r="AF112" s="29" t="s">
        <v>1272</v>
      </c>
      <c r="AG112" s="23" t="s">
        <v>792</v>
      </c>
      <c r="AH112" s="39">
        <v>44018</v>
      </c>
    </row>
    <row r="113" spans="1:39" ht="160">
      <c r="A113" s="63" t="s">
        <v>794</v>
      </c>
      <c r="B113" s="23" t="s">
        <v>795</v>
      </c>
      <c r="C113" s="140">
        <v>44015</v>
      </c>
      <c r="D113" s="23" t="s">
        <v>729</v>
      </c>
      <c r="E113" s="23" t="s">
        <v>752</v>
      </c>
      <c r="F113" s="23" t="s">
        <v>57</v>
      </c>
      <c r="G113" s="23" t="s">
        <v>83</v>
      </c>
      <c r="H113" s="23" t="s">
        <v>796</v>
      </c>
      <c r="I113" s="23" t="s">
        <v>796</v>
      </c>
      <c r="J113" s="140">
        <v>44012</v>
      </c>
      <c r="P113" s="23" t="s">
        <v>800</v>
      </c>
      <c r="Q113" s="140">
        <v>44019</v>
      </c>
      <c r="S113" s="23" t="s">
        <v>184</v>
      </c>
      <c r="T113" s="23" t="s">
        <v>302</v>
      </c>
      <c r="U113" s="23" t="s">
        <v>302</v>
      </c>
      <c r="V113" s="23" t="s">
        <v>233</v>
      </c>
      <c r="W113" s="23" t="s">
        <v>797</v>
      </c>
      <c r="X113" s="37">
        <v>2941.9</v>
      </c>
      <c r="Y113" s="37">
        <v>3074.6</v>
      </c>
      <c r="Z113" s="37">
        <v>7767.88</v>
      </c>
      <c r="AA113" s="37"/>
      <c r="AB113" s="23" t="s">
        <v>798</v>
      </c>
      <c r="AC113" s="23" t="s">
        <v>799</v>
      </c>
      <c r="AD113" s="118">
        <v>0</v>
      </c>
      <c r="AE113" s="118">
        <v>1</v>
      </c>
      <c r="AF113" s="29" t="s">
        <v>1273</v>
      </c>
      <c r="AG113" s="23" t="s">
        <v>787</v>
      </c>
      <c r="AH113" s="39">
        <v>44020</v>
      </c>
      <c r="AJ113" s="75" t="s">
        <v>5361</v>
      </c>
      <c r="AL113" s="23" t="s">
        <v>5362</v>
      </c>
      <c r="AM113" s="102">
        <v>44021</v>
      </c>
    </row>
    <row r="114" spans="1:39" ht="224">
      <c r="A114" s="62" t="s">
        <v>801</v>
      </c>
      <c r="B114" s="23" t="s">
        <v>802</v>
      </c>
      <c r="C114" s="140">
        <v>44013</v>
      </c>
      <c r="D114" s="23" t="s">
        <v>729</v>
      </c>
      <c r="E114" s="23" t="s">
        <v>636</v>
      </c>
      <c r="F114" s="23" t="s">
        <v>456</v>
      </c>
      <c r="Q114" s="140">
        <v>44021</v>
      </c>
      <c r="S114" s="23" t="s">
        <v>300</v>
      </c>
      <c r="T114" s="23" t="s">
        <v>363</v>
      </c>
      <c r="U114" s="23" t="s">
        <v>363</v>
      </c>
      <c r="V114" s="23" t="s">
        <v>298</v>
      </c>
      <c r="W114" s="23" t="s">
        <v>653</v>
      </c>
      <c r="Y114" s="37">
        <v>108326.39999999999</v>
      </c>
      <c r="AB114" s="19" t="s">
        <v>803</v>
      </c>
      <c r="AC114" s="23" t="s">
        <v>804</v>
      </c>
      <c r="AD114" s="118">
        <v>7</v>
      </c>
      <c r="AE114" s="118">
        <v>0</v>
      </c>
      <c r="AF114" s="29" t="s">
        <v>867</v>
      </c>
      <c r="AG114" s="23" t="s">
        <v>651</v>
      </c>
      <c r="AH114" s="39">
        <v>44083</v>
      </c>
    </row>
    <row r="115" spans="1:39" ht="64">
      <c r="A115" s="62" t="s">
        <v>805</v>
      </c>
      <c r="B115" s="23" t="s">
        <v>807</v>
      </c>
      <c r="C115" s="140">
        <v>44019</v>
      </c>
      <c r="D115" s="23" t="s">
        <v>729</v>
      </c>
      <c r="E115" s="23" t="s">
        <v>636</v>
      </c>
      <c r="F115" s="23" t="s">
        <v>456</v>
      </c>
      <c r="Q115" s="140">
        <v>44024</v>
      </c>
      <c r="S115" s="23" t="s">
        <v>300</v>
      </c>
      <c r="T115" s="23" t="s">
        <v>363</v>
      </c>
      <c r="U115" s="23" t="s">
        <v>363</v>
      </c>
      <c r="V115" s="23" t="s">
        <v>298</v>
      </c>
      <c r="W115" s="23" t="s">
        <v>444</v>
      </c>
      <c r="Y115" s="37">
        <v>21420</v>
      </c>
      <c r="AB115" s="23" t="s">
        <v>808</v>
      </c>
      <c r="AC115" s="23" t="s">
        <v>809</v>
      </c>
      <c r="AD115" s="118">
        <v>0</v>
      </c>
      <c r="AE115" s="118">
        <v>1</v>
      </c>
      <c r="AF115" s="29" t="s">
        <v>847</v>
      </c>
      <c r="AG115" s="23" t="s">
        <v>637</v>
      </c>
      <c r="AH115" s="39">
        <v>44022</v>
      </c>
    </row>
    <row r="116" spans="1:39" ht="96">
      <c r="A116" s="62" t="s">
        <v>806</v>
      </c>
      <c r="B116" s="23" t="s">
        <v>810</v>
      </c>
      <c r="C116" s="140">
        <v>44014</v>
      </c>
      <c r="D116" s="23" t="s">
        <v>729</v>
      </c>
      <c r="E116" s="23" t="s">
        <v>636</v>
      </c>
      <c r="F116" s="23" t="s">
        <v>456</v>
      </c>
      <c r="Q116" s="140">
        <v>44024</v>
      </c>
      <c r="S116" s="23" t="s">
        <v>300</v>
      </c>
      <c r="T116" s="23" t="s">
        <v>363</v>
      </c>
      <c r="U116" s="23" t="s">
        <v>363</v>
      </c>
      <c r="V116" s="23" t="s">
        <v>298</v>
      </c>
      <c r="W116" s="23" t="s">
        <v>811</v>
      </c>
      <c r="Y116" s="37">
        <v>44600</v>
      </c>
      <c r="AB116" s="19" t="s">
        <v>812</v>
      </c>
      <c r="AC116" s="23" t="s">
        <v>813</v>
      </c>
      <c r="AD116" s="118">
        <v>1</v>
      </c>
      <c r="AE116" s="118">
        <v>2</v>
      </c>
      <c r="AF116" s="29" t="s">
        <v>870</v>
      </c>
      <c r="AG116" s="23" t="s">
        <v>637</v>
      </c>
      <c r="AH116" s="39">
        <v>44022</v>
      </c>
    </row>
    <row r="117" spans="1:39" ht="64">
      <c r="A117" s="62" t="s">
        <v>816</v>
      </c>
      <c r="B117" s="23" t="s">
        <v>821</v>
      </c>
      <c r="C117" s="140">
        <v>44016</v>
      </c>
      <c r="D117" s="23" t="s">
        <v>729</v>
      </c>
      <c r="E117" s="23" t="s">
        <v>636</v>
      </c>
      <c r="F117" s="23" t="s">
        <v>456</v>
      </c>
      <c r="Q117" s="140">
        <v>44025</v>
      </c>
      <c r="S117" s="23" t="s">
        <v>300</v>
      </c>
      <c r="T117" s="23" t="s">
        <v>363</v>
      </c>
      <c r="U117" s="23" t="s">
        <v>363</v>
      </c>
      <c r="V117" s="23" t="s">
        <v>298</v>
      </c>
      <c r="W117" s="23" t="s">
        <v>822</v>
      </c>
      <c r="Y117" s="37">
        <v>15400</v>
      </c>
      <c r="AB117" s="23" t="s">
        <v>823</v>
      </c>
      <c r="AC117" s="23" t="s">
        <v>824</v>
      </c>
      <c r="AD117" s="118">
        <v>0</v>
      </c>
      <c r="AE117" s="118">
        <v>1</v>
      </c>
      <c r="AF117" s="29" t="s">
        <v>864</v>
      </c>
      <c r="AG117" s="23" t="s">
        <v>637</v>
      </c>
      <c r="AH117" s="39">
        <v>44025</v>
      </c>
    </row>
    <row r="118" spans="1:39" ht="64">
      <c r="A118" s="62" t="s">
        <v>817</v>
      </c>
      <c r="B118" s="23" t="s">
        <v>825</v>
      </c>
      <c r="C118" s="140">
        <v>44019</v>
      </c>
      <c r="D118" s="23" t="s">
        <v>729</v>
      </c>
      <c r="E118" s="23" t="s">
        <v>636</v>
      </c>
      <c r="F118" s="23" t="s">
        <v>456</v>
      </c>
      <c r="Q118" s="140">
        <v>44025</v>
      </c>
      <c r="S118" s="23" t="s">
        <v>300</v>
      </c>
      <c r="T118" s="23" t="s">
        <v>363</v>
      </c>
      <c r="U118" s="23" t="s">
        <v>363</v>
      </c>
      <c r="V118" s="23" t="s">
        <v>298</v>
      </c>
      <c r="W118" s="23" t="s">
        <v>826</v>
      </c>
      <c r="Y118" s="37">
        <v>28270</v>
      </c>
      <c r="AB118" s="19" t="s">
        <v>827</v>
      </c>
      <c r="AC118" s="23" t="s">
        <v>828</v>
      </c>
      <c r="AD118" s="118">
        <v>0</v>
      </c>
      <c r="AE118" s="118">
        <v>2</v>
      </c>
      <c r="AF118" s="29" t="s">
        <v>866</v>
      </c>
      <c r="AG118" s="23" t="s">
        <v>666</v>
      </c>
      <c r="AH118" s="39">
        <v>44025</v>
      </c>
    </row>
    <row r="119" spans="1:39" ht="64">
      <c r="A119" s="62" t="s">
        <v>818</v>
      </c>
      <c r="B119" s="23" t="s">
        <v>829</v>
      </c>
      <c r="C119" s="140">
        <v>44019</v>
      </c>
      <c r="D119" s="23" t="s">
        <v>729</v>
      </c>
      <c r="E119" s="23" t="s">
        <v>636</v>
      </c>
      <c r="F119" s="23" t="s">
        <v>456</v>
      </c>
      <c r="Q119" s="140">
        <v>44025</v>
      </c>
      <c r="S119" s="23" t="s">
        <v>300</v>
      </c>
      <c r="T119" s="23" t="s">
        <v>363</v>
      </c>
      <c r="U119" s="23" t="s">
        <v>363</v>
      </c>
      <c r="V119" s="23" t="s">
        <v>298</v>
      </c>
      <c r="W119" s="23" t="s">
        <v>830</v>
      </c>
      <c r="Y119" s="37">
        <v>11000</v>
      </c>
      <c r="AB119" s="23" t="s">
        <v>832</v>
      </c>
      <c r="AC119" s="23" t="s">
        <v>831</v>
      </c>
      <c r="AD119" s="118">
        <v>1</v>
      </c>
      <c r="AE119" s="118">
        <v>0</v>
      </c>
      <c r="AF119" s="29" t="s">
        <v>865</v>
      </c>
      <c r="AG119" s="23" t="s">
        <v>833</v>
      </c>
      <c r="AH119" s="39">
        <v>44025</v>
      </c>
    </row>
    <row r="120" spans="1:39" ht="64">
      <c r="A120" s="62" t="s">
        <v>819</v>
      </c>
      <c r="B120" s="23" t="s">
        <v>834</v>
      </c>
      <c r="C120" s="140">
        <v>44019</v>
      </c>
      <c r="D120" s="23" t="s">
        <v>729</v>
      </c>
      <c r="E120" s="23" t="s">
        <v>636</v>
      </c>
      <c r="F120" s="23" t="s">
        <v>456</v>
      </c>
      <c r="Q120" s="140">
        <v>44026</v>
      </c>
      <c r="S120" s="23" t="s">
        <v>300</v>
      </c>
      <c r="T120" s="23" t="s">
        <v>363</v>
      </c>
      <c r="U120" s="23" t="s">
        <v>363</v>
      </c>
      <c r="V120" s="23" t="s">
        <v>298</v>
      </c>
      <c r="W120" s="23" t="s">
        <v>835</v>
      </c>
      <c r="Y120" s="37">
        <v>21700</v>
      </c>
      <c r="AB120" s="23" t="s">
        <v>836</v>
      </c>
      <c r="AC120" s="23" t="s">
        <v>837</v>
      </c>
      <c r="AD120" s="118">
        <v>0</v>
      </c>
      <c r="AE120" s="118">
        <v>1</v>
      </c>
      <c r="AF120" s="29" t="s">
        <v>863</v>
      </c>
      <c r="AG120" s="23" t="s">
        <v>637</v>
      </c>
      <c r="AH120" s="39">
        <v>44025</v>
      </c>
    </row>
    <row r="121" spans="1:39" ht="64">
      <c r="A121" s="62" t="s">
        <v>820</v>
      </c>
      <c r="B121" s="23" t="s">
        <v>838</v>
      </c>
      <c r="C121" s="140">
        <v>44019</v>
      </c>
      <c r="D121" s="23" t="s">
        <v>729</v>
      </c>
      <c r="E121" s="23" t="s">
        <v>636</v>
      </c>
      <c r="F121" s="23" t="s">
        <v>456</v>
      </c>
      <c r="Q121" s="140">
        <v>44027</v>
      </c>
      <c r="S121" s="23" t="s">
        <v>300</v>
      </c>
      <c r="T121" s="23" t="s">
        <v>363</v>
      </c>
      <c r="U121" s="23" t="s">
        <v>363</v>
      </c>
      <c r="V121" s="23" t="s">
        <v>298</v>
      </c>
      <c r="W121" s="23" t="s">
        <v>514</v>
      </c>
      <c r="Y121" s="37">
        <v>26556.5</v>
      </c>
      <c r="AB121" s="23" t="s">
        <v>839</v>
      </c>
      <c r="AC121" s="23" t="s">
        <v>840</v>
      </c>
      <c r="AD121" s="118">
        <v>0</v>
      </c>
      <c r="AE121" s="118">
        <v>1</v>
      </c>
      <c r="AF121" s="29" t="s">
        <v>872</v>
      </c>
      <c r="AG121" s="23" t="s">
        <v>637</v>
      </c>
      <c r="AH121" s="39">
        <v>44025</v>
      </c>
    </row>
    <row r="122" spans="1:39" ht="64">
      <c r="A122" s="62" t="s">
        <v>849</v>
      </c>
      <c r="B122" s="23" t="s">
        <v>852</v>
      </c>
      <c r="C122" s="140">
        <v>44024</v>
      </c>
      <c r="D122" s="23" t="s">
        <v>729</v>
      </c>
      <c r="E122" s="23" t="s">
        <v>636</v>
      </c>
      <c r="F122" s="23" t="s">
        <v>456</v>
      </c>
      <c r="Q122" s="140">
        <v>44031</v>
      </c>
      <c r="S122" s="23" t="s">
        <v>300</v>
      </c>
      <c r="T122" s="23" t="s">
        <v>363</v>
      </c>
      <c r="U122" s="23" t="s">
        <v>363</v>
      </c>
      <c r="V122" s="23" t="s">
        <v>298</v>
      </c>
      <c r="W122" s="23" t="s">
        <v>653</v>
      </c>
      <c r="Y122" s="37">
        <v>22000</v>
      </c>
      <c r="AB122" s="23" t="s">
        <v>853</v>
      </c>
      <c r="AC122" s="23" t="s">
        <v>854</v>
      </c>
      <c r="AD122" s="118">
        <v>1</v>
      </c>
      <c r="AE122" s="118">
        <v>0</v>
      </c>
      <c r="AF122" s="29" t="s">
        <v>873</v>
      </c>
      <c r="AG122" s="23" t="s">
        <v>666</v>
      </c>
      <c r="AH122" s="39">
        <v>44029</v>
      </c>
    </row>
    <row r="123" spans="1:39" ht="64">
      <c r="A123" s="62" t="s">
        <v>850</v>
      </c>
      <c r="B123" s="27" t="s">
        <v>859</v>
      </c>
      <c r="C123" s="140">
        <v>44025</v>
      </c>
      <c r="D123" s="23" t="s">
        <v>729</v>
      </c>
      <c r="E123" s="23" t="s">
        <v>636</v>
      </c>
      <c r="F123" s="23" t="s">
        <v>456</v>
      </c>
      <c r="Q123" s="140">
        <v>44031</v>
      </c>
      <c r="S123" s="23" t="s">
        <v>300</v>
      </c>
      <c r="T123" s="23" t="s">
        <v>363</v>
      </c>
      <c r="U123" s="23" t="s">
        <v>363</v>
      </c>
      <c r="V123" s="23" t="s">
        <v>298</v>
      </c>
      <c r="W123" s="23" t="s">
        <v>855</v>
      </c>
      <c r="Y123" s="37">
        <v>19500</v>
      </c>
      <c r="AB123" s="23" t="s">
        <v>856</v>
      </c>
      <c r="AC123" s="23" t="s">
        <v>857</v>
      </c>
      <c r="AD123" s="118">
        <v>0</v>
      </c>
      <c r="AE123" s="118">
        <v>1</v>
      </c>
      <c r="AF123" s="29" t="s">
        <v>869</v>
      </c>
      <c r="AG123" s="23" t="s">
        <v>858</v>
      </c>
      <c r="AH123" s="39">
        <v>44029</v>
      </c>
    </row>
    <row r="124" spans="1:39" ht="160">
      <c r="A124" s="62" t="s">
        <v>851</v>
      </c>
      <c r="B124" s="23" t="s">
        <v>860</v>
      </c>
      <c r="C124" s="140">
        <v>44023</v>
      </c>
      <c r="D124" s="23" t="s">
        <v>729</v>
      </c>
      <c r="E124" s="23" t="s">
        <v>636</v>
      </c>
      <c r="F124" s="23" t="s">
        <v>456</v>
      </c>
      <c r="Q124" s="140">
        <v>44031</v>
      </c>
      <c r="S124" s="23" t="s">
        <v>300</v>
      </c>
      <c r="T124" s="23" t="s">
        <v>363</v>
      </c>
      <c r="U124" s="23" t="s">
        <v>363</v>
      </c>
      <c r="V124" s="23" t="s">
        <v>298</v>
      </c>
      <c r="W124" s="23" t="s">
        <v>653</v>
      </c>
      <c r="Y124" s="37">
        <v>101500</v>
      </c>
      <c r="AB124" s="19" t="s">
        <v>861</v>
      </c>
      <c r="AC124" s="23" t="s">
        <v>862</v>
      </c>
      <c r="AD124" s="118">
        <v>5</v>
      </c>
      <c r="AE124" s="118">
        <v>0</v>
      </c>
      <c r="AF124" s="29" t="s">
        <v>871</v>
      </c>
      <c r="AG124" s="23" t="s">
        <v>651</v>
      </c>
      <c r="AH124" s="39">
        <v>44029</v>
      </c>
    </row>
    <row r="125" spans="1:39" ht="64">
      <c r="A125" s="62" t="s">
        <v>874</v>
      </c>
      <c r="B125" s="23" t="s">
        <v>876</v>
      </c>
      <c r="C125" s="140">
        <v>44025</v>
      </c>
      <c r="D125" s="23" t="s">
        <v>729</v>
      </c>
      <c r="E125" s="23" t="s">
        <v>636</v>
      </c>
      <c r="F125" s="23" t="s">
        <v>456</v>
      </c>
      <c r="Q125" s="140">
        <v>44034</v>
      </c>
      <c r="S125" s="23" t="s">
        <v>300</v>
      </c>
      <c r="T125" s="23" t="s">
        <v>363</v>
      </c>
      <c r="U125" s="23" t="s">
        <v>363</v>
      </c>
      <c r="V125" s="23" t="s">
        <v>298</v>
      </c>
      <c r="W125" s="23" t="s">
        <v>444</v>
      </c>
      <c r="Y125" s="37">
        <v>17200</v>
      </c>
      <c r="AB125" s="23" t="s">
        <v>877</v>
      </c>
      <c r="AC125" s="23" t="s">
        <v>878</v>
      </c>
      <c r="AD125" s="118">
        <v>0</v>
      </c>
      <c r="AE125" s="118">
        <v>1</v>
      </c>
      <c r="AF125" s="29" t="s">
        <v>918</v>
      </c>
      <c r="AG125" s="23" t="s">
        <v>637</v>
      </c>
      <c r="AH125" s="39">
        <v>44033</v>
      </c>
    </row>
    <row r="126" spans="1:39" ht="64">
      <c r="A126" s="62" t="s">
        <v>875</v>
      </c>
      <c r="B126" s="23" t="s">
        <v>879</v>
      </c>
      <c r="C126" s="140">
        <v>44029</v>
      </c>
      <c r="D126" s="23" t="s">
        <v>729</v>
      </c>
      <c r="E126" s="23" t="s">
        <v>636</v>
      </c>
      <c r="F126" s="23" t="s">
        <v>456</v>
      </c>
      <c r="Q126" s="140">
        <v>44034</v>
      </c>
      <c r="S126" s="23" t="s">
        <v>300</v>
      </c>
      <c r="T126" s="23" t="s">
        <v>363</v>
      </c>
      <c r="U126" s="23" t="s">
        <v>363</v>
      </c>
      <c r="V126" s="23" t="s">
        <v>298</v>
      </c>
      <c r="W126" s="23" t="s">
        <v>855</v>
      </c>
      <c r="Y126" s="37">
        <v>20500</v>
      </c>
      <c r="AB126" s="23" t="s">
        <v>880</v>
      </c>
      <c r="AC126" s="23" t="s">
        <v>881</v>
      </c>
      <c r="AD126" s="118">
        <v>0</v>
      </c>
      <c r="AE126" s="118">
        <v>1</v>
      </c>
      <c r="AF126" s="29" t="s">
        <v>919</v>
      </c>
      <c r="AG126" s="23" t="s">
        <v>858</v>
      </c>
      <c r="AH126" s="39">
        <v>44033</v>
      </c>
    </row>
    <row r="127" spans="1:39" ht="64">
      <c r="A127" s="62" t="s">
        <v>882</v>
      </c>
      <c r="B127" s="23" t="s">
        <v>887</v>
      </c>
      <c r="C127" s="140">
        <v>44031</v>
      </c>
      <c r="D127" s="23" t="s">
        <v>729</v>
      </c>
      <c r="E127" s="23" t="s">
        <v>636</v>
      </c>
      <c r="F127" s="23" t="s">
        <v>456</v>
      </c>
      <c r="Q127" s="140">
        <v>44036</v>
      </c>
      <c r="S127" s="23" t="s">
        <v>300</v>
      </c>
      <c r="T127" s="23" t="s">
        <v>363</v>
      </c>
      <c r="U127" s="23" t="s">
        <v>363</v>
      </c>
      <c r="V127" s="23" t="s">
        <v>298</v>
      </c>
      <c r="W127" s="23" t="s">
        <v>830</v>
      </c>
      <c r="Y127" s="37">
        <v>46000</v>
      </c>
      <c r="AB127" s="19" t="s">
        <v>888</v>
      </c>
      <c r="AC127" s="23" t="s">
        <v>889</v>
      </c>
      <c r="AD127" s="118">
        <v>0</v>
      </c>
      <c r="AE127" s="118">
        <v>2</v>
      </c>
      <c r="AF127" s="29" t="s">
        <v>921</v>
      </c>
      <c r="AG127" s="23" t="s">
        <v>679</v>
      </c>
      <c r="AH127" s="39">
        <v>44035</v>
      </c>
    </row>
    <row r="128" spans="1:39" ht="64">
      <c r="A128" s="62" t="s">
        <v>883</v>
      </c>
      <c r="B128" s="23" t="s">
        <v>890</v>
      </c>
      <c r="C128" s="140">
        <v>44031</v>
      </c>
      <c r="D128" s="23" t="s">
        <v>729</v>
      </c>
      <c r="E128" s="23" t="s">
        <v>636</v>
      </c>
      <c r="F128" s="23" t="s">
        <v>456</v>
      </c>
      <c r="Q128" s="140">
        <v>44036</v>
      </c>
      <c r="S128" s="23" t="s">
        <v>300</v>
      </c>
      <c r="T128" s="23" t="s">
        <v>363</v>
      </c>
      <c r="U128" s="23" t="s">
        <v>363</v>
      </c>
      <c r="V128" s="23" t="s">
        <v>298</v>
      </c>
      <c r="W128" s="23" t="s">
        <v>891</v>
      </c>
      <c r="Y128" s="37">
        <v>39000</v>
      </c>
      <c r="AB128" s="19" t="s">
        <v>892</v>
      </c>
      <c r="AC128" s="23" t="s">
        <v>893</v>
      </c>
      <c r="AD128" s="118">
        <v>0</v>
      </c>
      <c r="AE128" s="118">
        <v>2</v>
      </c>
      <c r="AF128" s="29" t="s">
        <v>922</v>
      </c>
      <c r="AG128" s="23" t="s">
        <v>666</v>
      </c>
      <c r="AH128" s="39">
        <v>44035</v>
      </c>
    </row>
    <row r="129" spans="1:44" ht="96">
      <c r="A129" s="62" t="s">
        <v>884</v>
      </c>
      <c r="B129" s="23" t="s">
        <v>894</v>
      </c>
      <c r="C129" s="140">
        <v>44031</v>
      </c>
      <c r="D129" s="23" t="s">
        <v>729</v>
      </c>
      <c r="E129" s="23" t="s">
        <v>636</v>
      </c>
      <c r="F129" s="23" t="s">
        <v>456</v>
      </c>
      <c r="Q129" s="140">
        <v>44036</v>
      </c>
      <c r="S129" s="23" t="s">
        <v>300</v>
      </c>
      <c r="T129" s="23" t="s">
        <v>363</v>
      </c>
      <c r="U129" s="23" t="s">
        <v>363</v>
      </c>
      <c r="V129" s="23" t="s">
        <v>298</v>
      </c>
      <c r="W129" s="23" t="s">
        <v>895</v>
      </c>
      <c r="Y129" s="37">
        <v>46730.65</v>
      </c>
      <c r="AB129" s="19" t="s">
        <v>896</v>
      </c>
      <c r="AC129" s="23" t="s">
        <v>897</v>
      </c>
      <c r="AD129" s="118">
        <v>0</v>
      </c>
      <c r="AE129" s="118">
        <v>3</v>
      </c>
      <c r="AF129" s="29" t="s">
        <v>920</v>
      </c>
      <c r="AG129" s="23" t="s">
        <v>666</v>
      </c>
      <c r="AH129" s="39">
        <v>44035</v>
      </c>
    </row>
    <row r="130" spans="1:44" ht="192">
      <c r="A130" s="62" t="s">
        <v>885</v>
      </c>
      <c r="B130" s="23" t="s">
        <v>898</v>
      </c>
      <c r="C130" s="140">
        <v>44030</v>
      </c>
      <c r="D130" s="23" t="s">
        <v>729</v>
      </c>
      <c r="E130" s="23" t="s">
        <v>636</v>
      </c>
      <c r="F130" s="23" t="s">
        <v>456</v>
      </c>
      <c r="Q130" s="140">
        <v>44037</v>
      </c>
      <c r="S130" s="23" t="s">
        <v>300</v>
      </c>
      <c r="T130" s="23" t="s">
        <v>363</v>
      </c>
      <c r="U130" s="23" t="s">
        <v>363</v>
      </c>
      <c r="V130" s="23" t="s">
        <v>298</v>
      </c>
      <c r="W130" s="23" t="s">
        <v>653</v>
      </c>
      <c r="Y130" s="37">
        <v>127200</v>
      </c>
      <c r="AB130" s="19" t="s">
        <v>899</v>
      </c>
      <c r="AC130" s="23" t="s">
        <v>900</v>
      </c>
      <c r="AD130" s="118">
        <v>6</v>
      </c>
      <c r="AE130" s="118">
        <v>0</v>
      </c>
      <c r="AF130" s="29" t="s">
        <v>968</v>
      </c>
      <c r="AG130" s="23" t="s">
        <v>651</v>
      </c>
      <c r="AH130" s="39">
        <v>44035</v>
      </c>
    </row>
    <row r="131" spans="1:44" ht="64">
      <c r="A131" s="62" t="s">
        <v>886</v>
      </c>
      <c r="B131" s="23" t="s">
        <v>901</v>
      </c>
      <c r="C131" s="140">
        <v>44030</v>
      </c>
      <c r="D131" s="23" t="s">
        <v>729</v>
      </c>
      <c r="E131" s="23" t="s">
        <v>636</v>
      </c>
      <c r="F131" s="23" t="s">
        <v>456</v>
      </c>
      <c r="Q131" s="140">
        <v>44037</v>
      </c>
      <c r="S131" s="23" t="s">
        <v>300</v>
      </c>
      <c r="T131" s="23" t="s">
        <v>363</v>
      </c>
      <c r="U131" s="23" t="s">
        <v>363</v>
      </c>
      <c r="V131" s="23" t="s">
        <v>298</v>
      </c>
      <c r="W131" s="23" t="s">
        <v>653</v>
      </c>
      <c r="Y131" s="37">
        <v>41950</v>
      </c>
      <c r="AB131" s="19" t="s">
        <v>902</v>
      </c>
      <c r="AC131" s="23" t="s">
        <v>903</v>
      </c>
      <c r="AD131" s="118">
        <v>2</v>
      </c>
      <c r="AE131" s="118">
        <v>0</v>
      </c>
      <c r="AF131" s="29" t="s">
        <v>925</v>
      </c>
      <c r="AG131" s="23" t="s">
        <v>651</v>
      </c>
      <c r="AH131" s="39">
        <v>44035</v>
      </c>
    </row>
    <row r="132" spans="1:44" ht="64">
      <c r="A132" s="62" t="s">
        <v>904</v>
      </c>
      <c r="B132" s="23" t="s">
        <v>907</v>
      </c>
      <c r="C132" s="140">
        <v>44031</v>
      </c>
      <c r="D132" s="23" t="s">
        <v>729</v>
      </c>
      <c r="E132" s="23" t="s">
        <v>636</v>
      </c>
      <c r="F132" s="23" t="s">
        <v>456</v>
      </c>
      <c r="Q132" s="140">
        <v>44038</v>
      </c>
      <c r="S132" s="23" t="s">
        <v>300</v>
      </c>
      <c r="T132" s="23" t="s">
        <v>363</v>
      </c>
      <c r="U132" s="23" t="s">
        <v>363</v>
      </c>
      <c r="V132" s="23" t="s">
        <v>298</v>
      </c>
      <c r="W132" s="23" t="s">
        <v>908</v>
      </c>
      <c r="Y132" s="37">
        <v>21000</v>
      </c>
      <c r="AB132" s="23" t="s">
        <v>909</v>
      </c>
      <c r="AC132" s="23" t="s">
        <v>910</v>
      </c>
      <c r="AD132" s="118">
        <v>0</v>
      </c>
      <c r="AE132" s="118">
        <v>1</v>
      </c>
      <c r="AF132" s="29" t="s">
        <v>1046</v>
      </c>
      <c r="AG132" s="23" t="s">
        <v>637</v>
      </c>
      <c r="AH132" s="39">
        <v>44036</v>
      </c>
    </row>
    <row r="133" spans="1:44" ht="64">
      <c r="A133" s="62" t="s">
        <v>905</v>
      </c>
      <c r="B133" s="23" t="s">
        <v>911</v>
      </c>
      <c r="C133" s="140">
        <v>44033</v>
      </c>
      <c r="D133" s="23" t="s">
        <v>729</v>
      </c>
      <c r="E133" s="23" t="s">
        <v>636</v>
      </c>
      <c r="F133" s="23" t="s">
        <v>456</v>
      </c>
      <c r="Q133" s="140">
        <v>44038</v>
      </c>
      <c r="S133" s="23" t="s">
        <v>300</v>
      </c>
      <c r="T133" s="23" t="s">
        <v>363</v>
      </c>
      <c r="U133" s="23" t="s">
        <v>363</v>
      </c>
      <c r="V133" s="23" t="s">
        <v>298</v>
      </c>
      <c r="W133" s="23" t="s">
        <v>494</v>
      </c>
      <c r="Y133" s="37">
        <v>41205</v>
      </c>
      <c r="AB133" s="19" t="s">
        <v>912</v>
      </c>
      <c r="AC133" s="23" t="s">
        <v>913</v>
      </c>
      <c r="AD133" s="118">
        <v>0</v>
      </c>
      <c r="AE133" s="118">
        <v>2</v>
      </c>
      <c r="AF133" s="29" t="s">
        <v>924</v>
      </c>
      <c r="AG133" s="23" t="s">
        <v>666</v>
      </c>
      <c r="AH133" s="39">
        <v>44036</v>
      </c>
    </row>
    <row r="134" spans="1:44" ht="64">
      <c r="A134" s="62" t="s">
        <v>906</v>
      </c>
      <c r="B134" s="23" t="s">
        <v>914</v>
      </c>
      <c r="C134" s="140">
        <v>44033</v>
      </c>
      <c r="D134" s="23" t="s">
        <v>729</v>
      </c>
      <c r="E134" s="23" t="s">
        <v>636</v>
      </c>
      <c r="F134" s="23" t="s">
        <v>456</v>
      </c>
      <c r="Q134" s="140">
        <v>44038</v>
      </c>
      <c r="S134" s="23" t="s">
        <v>300</v>
      </c>
      <c r="T134" s="23" t="s">
        <v>363</v>
      </c>
      <c r="U134" s="23" t="s">
        <v>363</v>
      </c>
      <c r="V134" s="23" t="s">
        <v>298</v>
      </c>
      <c r="W134" s="23" t="s">
        <v>915</v>
      </c>
      <c r="Y134" s="37">
        <v>46000</v>
      </c>
      <c r="AB134" s="19" t="s">
        <v>916</v>
      </c>
      <c r="AC134" s="23" t="s">
        <v>917</v>
      </c>
      <c r="AD134" s="118">
        <v>0</v>
      </c>
      <c r="AE134" s="118">
        <v>2</v>
      </c>
      <c r="AF134" s="29" t="s">
        <v>923</v>
      </c>
      <c r="AG134" s="23" t="s">
        <v>666</v>
      </c>
      <c r="AH134" s="39">
        <v>44036</v>
      </c>
    </row>
    <row r="135" spans="1:44" ht="64">
      <c r="A135" s="62" t="s">
        <v>926</v>
      </c>
      <c r="B135" s="23" t="s">
        <v>928</v>
      </c>
      <c r="C135" s="140">
        <v>44031</v>
      </c>
      <c r="D135" s="23" t="s">
        <v>729</v>
      </c>
      <c r="E135" s="23" t="s">
        <v>636</v>
      </c>
      <c r="F135" s="23" t="s">
        <v>456</v>
      </c>
      <c r="Q135" s="140">
        <v>44040</v>
      </c>
      <c r="S135" s="23" t="s">
        <v>300</v>
      </c>
      <c r="T135" s="23" t="s">
        <v>363</v>
      </c>
      <c r="U135" s="23" t="s">
        <v>363</v>
      </c>
      <c r="V135" s="23" t="s">
        <v>298</v>
      </c>
      <c r="W135" s="23" t="s">
        <v>929</v>
      </c>
      <c r="Y135" s="37">
        <v>25500</v>
      </c>
      <c r="AB135" s="23" t="s">
        <v>930</v>
      </c>
      <c r="AC135" s="23" t="s">
        <v>931</v>
      </c>
      <c r="AD135" s="118">
        <v>0</v>
      </c>
      <c r="AE135" s="118">
        <v>1</v>
      </c>
      <c r="AF135" s="29" t="s">
        <v>949</v>
      </c>
      <c r="AG135" s="23" t="s">
        <v>637</v>
      </c>
      <c r="AH135" s="39">
        <v>44040</v>
      </c>
    </row>
    <row r="136" spans="1:44" ht="64">
      <c r="A136" s="62" t="s">
        <v>927</v>
      </c>
      <c r="B136" s="23" t="s">
        <v>932</v>
      </c>
      <c r="C136" s="140">
        <v>44031</v>
      </c>
      <c r="D136" s="23" t="s">
        <v>729</v>
      </c>
      <c r="E136" s="23" t="s">
        <v>636</v>
      </c>
      <c r="F136" s="23" t="s">
        <v>456</v>
      </c>
      <c r="Q136" s="140">
        <v>44041</v>
      </c>
      <c r="S136" s="23" t="s">
        <v>300</v>
      </c>
      <c r="T136" s="23" t="s">
        <v>363</v>
      </c>
      <c r="U136" s="23" t="s">
        <v>363</v>
      </c>
      <c r="V136" s="23" t="s">
        <v>298</v>
      </c>
      <c r="W136" s="23" t="s">
        <v>915</v>
      </c>
      <c r="Y136" s="37">
        <v>23500</v>
      </c>
      <c r="AB136" s="23" t="s">
        <v>933</v>
      </c>
      <c r="AC136" s="23" t="s">
        <v>934</v>
      </c>
      <c r="AD136" s="118">
        <v>0</v>
      </c>
      <c r="AE136" s="118">
        <v>1</v>
      </c>
      <c r="AF136" s="29" t="s">
        <v>967</v>
      </c>
      <c r="AG136" s="23" t="s">
        <v>637</v>
      </c>
      <c r="AH136" s="39">
        <v>44040</v>
      </c>
    </row>
    <row r="137" spans="1:44" ht="64">
      <c r="A137" s="62" t="s">
        <v>935</v>
      </c>
      <c r="B137" s="23" t="s">
        <v>936</v>
      </c>
      <c r="C137" s="140">
        <v>44031</v>
      </c>
      <c r="D137" s="23" t="s">
        <v>729</v>
      </c>
      <c r="E137" s="23" t="s">
        <v>636</v>
      </c>
      <c r="F137" s="23" t="s">
        <v>456</v>
      </c>
      <c r="Q137" s="140">
        <v>44042</v>
      </c>
      <c r="S137" s="23" t="s">
        <v>300</v>
      </c>
      <c r="T137" s="23" t="s">
        <v>363</v>
      </c>
      <c r="U137" s="23" t="s">
        <v>363</v>
      </c>
      <c r="V137" s="23" t="s">
        <v>298</v>
      </c>
      <c r="W137" s="23" t="s">
        <v>937</v>
      </c>
      <c r="Y137" s="37">
        <v>11800</v>
      </c>
      <c r="AB137" s="23" t="s">
        <v>938</v>
      </c>
      <c r="AC137" s="23" t="s">
        <v>939</v>
      </c>
      <c r="AD137" s="118">
        <v>0</v>
      </c>
      <c r="AE137" s="118">
        <v>1</v>
      </c>
      <c r="AF137" s="29" t="s">
        <v>969</v>
      </c>
      <c r="AG137" s="23" t="s">
        <v>679</v>
      </c>
      <c r="AH137" s="39">
        <v>44040</v>
      </c>
    </row>
    <row r="138" spans="1:44" ht="64">
      <c r="A138" s="62" t="s">
        <v>940</v>
      </c>
      <c r="B138" s="23" t="s">
        <v>942</v>
      </c>
      <c r="C138" s="140">
        <v>44040</v>
      </c>
      <c r="D138" s="23" t="s">
        <v>729</v>
      </c>
      <c r="E138" s="23" t="s">
        <v>636</v>
      </c>
      <c r="F138" s="23" t="s">
        <v>456</v>
      </c>
      <c r="Q138" s="140">
        <v>44044</v>
      </c>
      <c r="S138" s="23" t="s">
        <v>300</v>
      </c>
      <c r="T138" s="23" t="s">
        <v>363</v>
      </c>
      <c r="U138" s="23" t="s">
        <v>363</v>
      </c>
      <c r="V138" s="23" t="s">
        <v>298</v>
      </c>
      <c r="W138" s="23" t="s">
        <v>943</v>
      </c>
      <c r="Y138" s="37">
        <v>46000</v>
      </c>
      <c r="AB138" s="19" t="s">
        <v>944</v>
      </c>
      <c r="AC138" s="23" t="s">
        <v>945</v>
      </c>
      <c r="AD138" s="118">
        <v>0</v>
      </c>
      <c r="AE138" s="118">
        <v>2</v>
      </c>
      <c r="AF138" s="29" t="s">
        <v>970</v>
      </c>
      <c r="AG138" s="23" t="s">
        <v>666</v>
      </c>
      <c r="AH138" s="39">
        <v>44041</v>
      </c>
    </row>
    <row r="139" spans="1:44" ht="64">
      <c r="A139" s="62" t="s">
        <v>941</v>
      </c>
      <c r="B139" s="23" t="s">
        <v>946</v>
      </c>
      <c r="C139" s="140">
        <v>44040</v>
      </c>
      <c r="D139" s="23" t="s">
        <v>729</v>
      </c>
      <c r="E139" s="23" t="s">
        <v>636</v>
      </c>
      <c r="F139" s="23" t="s">
        <v>456</v>
      </c>
      <c r="Q139" s="140">
        <v>44044</v>
      </c>
      <c r="S139" s="23" t="s">
        <v>300</v>
      </c>
      <c r="T139" s="23" t="s">
        <v>363</v>
      </c>
      <c r="U139" s="23" t="s">
        <v>363</v>
      </c>
      <c r="V139" s="23" t="s">
        <v>298</v>
      </c>
      <c r="W139" s="23" t="s">
        <v>494</v>
      </c>
      <c r="Y139" s="37">
        <v>41485</v>
      </c>
      <c r="AB139" s="19" t="s">
        <v>947</v>
      </c>
      <c r="AC139" s="23" t="s">
        <v>948</v>
      </c>
      <c r="AD139" s="118">
        <v>0</v>
      </c>
      <c r="AE139" s="118">
        <v>2</v>
      </c>
      <c r="AF139" s="29" t="s">
        <v>1047</v>
      </c>
      <c r="AG139" s="23" t="s">
        <v>666</v>
      </c>
      <c r="AH139" s="39">
        <v>44041</v>
      </c>
    </row>
    <row r="140" spans="1:44" ht="128">
      <c r="A140" s="62" t="s">
        <v>950</v>
      </c>
      <c r="B140" s="23" t="s">
        <v>960</v>
      </c>
      <c r="C140" s="140">
        <v>44041</v>
      </c>
      <c r="D140" s="23" t="s">
        <v>729</v>
      </c>
      <c r="E140" s="23" t="s">
        <v>636</v>
      </c>
      <c r="F140" s="23" t="s">
        <v>456</v>
      </c>
      <c r="Q140" s="140">
        <v>44046</v>
      </c>
      <c r="S140" s="23" t="s">
        <v>300</v>
      </c>
      <c r="T140" s="23" t="s">
        <v>363</v>
      </c>
      <c r="U140" s="23" t="s">
        <v>363</v>
      </c>
      <c r="V140" s="23" t="s">
        <v>298</v>
      </c>
      <c r="W140" s="23" t="s">
        <v>961</v>
      </c>
      <c r="Y140" s="37">
        <v>17390</v>
      </c>
      <c r="AB140" s="19" t="s">
        <v>962</v>
      </c>
      <c r="AC140" s="23" t="s">
        <v>963</v>
      </c>
      <c r="AD140" s="118">
        <v>0</v>
      </c>
      <c r="AE140" s="118">
        <v>4</v>
      </c>
      <c r="AF140" s="29" t="s">
        <v>1048</v>
      </c>
      <c r="AG140" s="29" t="s">
        <v>651</v>
      </c>
      <c r="AH140" s="39">
        <v>44046</v>
      </c>
    </row>
    <row r="141" spans="1:44" ht="64">
      <c r="A141" s="62" t="s">
        <v>951</v>
      </c>
      <c r="B141" s="23" t="s">
        <v>964</v>
      </c>
      <c r="C141" s="140">
        <v>44042</v>
      </c>
      <c r="D141" s="23" t="s">
        <v>729</v>
      </c>
      <c r="E141" s="23" t="s">
        <v>636</v>
      </c>
      <c r="F141" s="23" t="s">
        <v>456</v>
      </c>
      <c r="Q141" s="140">
        <v>44047</v>
      </c>
      <c r="S141" s="23" t="s">
        <v>300</v>
      </c>
      <c r="T141" s="23" t="s">
        <v>363</v>
      </c>
      <c r="U141" s="23" t="s">
        <v>363</v>
      </c>
      <c r="V141" s="23" t="s">
        <v>298</v>
      </c>
      <c r="W141" s="23" t="s">
        <v>915</v>
      </c>
      <c r="Y141" s="37">
        <v>23000</v>
      </c>
      <c r="AB141" s="19" t="s">
        <v>965</v>
      </c>
      <c r="AC141" s="23" t="s">
        <v>966</v>
      </c>
      <c r="AD141" s="118">
        <v>0</v>
      </c>
      <c r="AE141" s="118">
        <v>1</v>
      </c>
      <c r="AF141" s="29" t="s">
        <v>1049</v>
      </c>
      <c r="AG141" s="29" t="s">
        <v>637</v>
      </c>
      <c r="AH141" s="39">
        <v>44046</v>
      </c>
    </row>
    <row r="142" spans="1:44" ht="112">
      <c r="A142" s="74" t="s">
        <v>11081</v>
      </c>
      <c r="B142" s="23" t="s">
        <v>955</v>
      </c>
      <c r="C142" s="140">
        <v>44034</v>
      </c>
      <c r="D142" s="23" t="s">
        <v>729</v>
      </c>
      <c r="E142" s="23" t="s">
        <v>726</v>
      </c>
      <c r="F142" s="23" t="s">
        <v>2200</v>
      </c>
      <c r="G142" s="23" t="s">
        <v>2131</v>
      </c>
      <c r="H142" s="23" t="s">
        <v>981</v>
      </c>
      <c r="I142" s="23" t="s">
        <v>981</v>
      </c>
      <c r="J142" s="140">
        <v>44032</v>
      </c>
      <c r="K142" s="23" t="s">
        <v>3650</v>
      </c>
      <c r="L142" s="140">
        <v>44047</v>
      </c>
      <c r="Q142" s="140">
        <v>44047</v>
      </c>
      <c r="S142" s="23" t="s">
        <v>300</v>
      </c>
      <c r="T142" s="23" t="s">
        <v>305</v>
      </c>
      <c r="U142" s="23" t="s">
        <v>305</v>
      </c>
      <c r="V142" s="23" t="s">
        <v>959</v>
      </c>
      <c r="W142" s="23" t="s">
        <v>1305</v>
      </c>
      <c r="Y142" s="37">
        <v>19880</v>
      </c>
      <c r="AB142" s="19" t="s">
        <v>956</v>
      </c>
      <c r="AC142" s="23" t="s">
        <v>954</v>
      </c>
      <c r="AD142" s="118">
        <v>0</v>
      </c>
      <c r="AE142" s="118">
        <v>5</v>
      </c>
      <c r="AF142" s="29" t="s">
        <v>1274</v>
      </c>
      <c r="AG142" s="29" t="s">
        <v>957</v>
      </c>
      <c r="AH142" s="39" t="s">
        <v>958</v>
      </c>
      <c r="AI142" s="53">
        <v>44224</v>
      </c>
      <c r="AJ142" s="75">
        <v>44053</v>
      </c>
      <c r="AL142" s="53">
        <f>AJ142+180</f>
        <v>44233</v>
      </c>
      <c r="AN142" s="53"/>
      <c r="AO142" s="53"/>
      <c r="AP142" s="53"/>
      <c r="AQ142" s="53"/>
      <c r="AR142" s="53"/>
    </row>
    <row r="143" spans="1:44" ht="160">
      <c r="A143" s="74" t="s">
        <v>11080</v>
      </c>
      <c r="B143" s="23" t="s">
        <v>952</v>
      </c>
      <c r="C143" s="140">
        <v>44034</v>
      </c>
      <c r="D143" s="23" t="s">
        <v>729</v>
      </c>
      <c r="E143" s="23" t="s">
        <v>726</v>
      </c>
      <c r="F143" s="23" t="s">
        <v>2200</v>
      </c>
      <c r="G143" s="23" t="s">
        <v>2131</v>
      </c>
      <c r="H143" s="23" t="s">
        <v>982</v>
      </c>
      <c r="I143" s="23" t="s">
        <v>982</v>
      </c>
      <c r="J143" s="140">
        <v>44032</v>
      </c>
      <c r="K143" s="23" t="s">
        <v>3651</v>
      </c>
      <c r="L143" s="140">
        <v>44047</v>
      </c>
      <c r="Q143" s="140">
        <v>44047</v>
      </c>
      <c r="S143" s="23" t="s">
        <v>300</v>
      </c>
      <c r="T143" s="23" t="s">
        <v>305</v>
      </c>
      <c r="U143" s="23" t="s">
        <v>305</v>
      </c>
      <c r="V143" s="23" t="s">
        <v>959</v>
      </c>
      <c r="W143" s="23" t="s">
        <v>1305</v>
      </c>
      <c r="Y143" s="37">
        <v>15950</v>
      </c>
      <c r="AB143" s="19" t="s">
        <v>953</v>
      </c>
      <c r="AC143" s="23" t="s">
        <v>954</v>
      </c>
      <c r="AD143" s="118">
        <v>0</v>
      </c>
      <c r="AE143" s="118">
        <v>5</v>
      </c>
      <c r="AF143" s="29" t="s">
        <v>1322</v>
      </c>
      <c r="AG143" s="29" t="s">
        <v>957</v>
      </c>
      <c r="AH143" s="39" t="s">
        <v>958</v>
      </c>
      <c r="AJ143" s="75">
        <v>44053</v>
      </c>
      <c r="AL143" s="53">
        <f>AJ143+180</f>
        <v>44233</v>
      </c>
      <c r="AN143" s="53"/>
      <c r="AO143" s="53"/>
      <c r="AP143" s="53"/>
      <c r="AQ143" s="53"/>
      <c r="AR143" s="53"/>
    </row>
    <row r="144" spans="1:44" ht="64">
      <c r="A144" s="62" t="s">
        <v>971</v>
      </c>
      <c r="B144" s="23" t="s">
        <v>972</v>
      </c>
      <c r="C144" s="140">
        <v>44041</v>
      </c>
      <c r="D144" s="23" t="s">
        <v>729</v>
      </c>
      <c r="E144" s="23" t="s">
        <v>636</v>
      </c>
      <c r="F144" s="23" t="s">
        <v>456</v>
      </c>
      <c r="Q144" s="220">
        <v>44049</v>
      </c>
      <c r="R144" s="219"/>
      <c r="S144" s="219" t="s">
        <v>300</v>
      </c>
      <c r="T144" s="219" t="s">
        <v>363</v>
      </c>
      <c r="U144" s="219" t="s">
        <v>363</v>
      </c>
      <c r="V144" s="219" t="s">
        <v>298</v>
      </c>
      <c r="W144" s="23" t="s">
        <v>973</v>
      </c>
      <c r="Y144" s="37">
        <v>4600</v>
      </c>
      <c r="AB144" s="23" t="s">
        <v>974</v>
      </c>
      <c r="AC144" s="23" t="s">
        <v>975</v>
      </c>
      <c r="AD144" s="118">
        <v>0</v>
      </c>
      <c r="AE144" s="118">
        <v>2</v>
      </c>
      <c r="AF144" s="29" t="s">
        <v>1051</v>
      </c>
      <c r="AG144" s="23" t="s">
        <v>637</v>
      </c>
      <c r="AH144" s="39">
        <v>44048</v>
      </c>
    </row>
    <row r="145" spans="1:44">
      <c r="A145" s="67" t="s">
        <v>976</v>
      </c>
      <c r="B145" s="23" t="s">
        <v>977</v>
      </c>
      <c r="C145" s="140">
        <v>44041</v>
      </c>
      <c r="Q145" s="220"/>
      <c r="R145" s="219"/>
      <c r="S145" s="219" t="s">
        <v>300</v>
      </c>
      <c r="T145" s="219" t="s">
        <v>363</v>
      </c>
      <c r="U145" s="219" t="s">
        <v>363</v>
      </c>
      <c r="V145" s="219" t="s">
        <v>298</v>
      </c>
      <c r="W145" s="23" t="s">
        <v>978</v>
      </c>
      <c r="Y145" s="37">
        <v>16100</v>
      </c>
      <c r="AB145" s="23" t="s">
        <v>979</v>
      </c>
      <c r="AC145" s="23" t="s">
        <v>980</v>
      </c>
      <c r="AD145" s="118"/>
      <c r="AE145" s="118"/>
      <c r="AF145" s="29"/>
      <c r="AG145" s="23" t="s">
        <v>637</v>
      </c>
      <c r="AH145" s="39"/>
    </row>
    <row r="146" spans="1:44" ht="64">
      <c r="A146" s="62" t="s">
        <v>983</v>
      </c>
      <c r="B146" s="27" t="s">
        <v>984</v>
      </c>
      <c r="C146" s="140">
        <v>44045</v>
      </c>
      <c r="D146" s="23" t="s">
        <v>729</v>
      </c>
      <c r="E146" s="23" t="s">
        <v>636</v>
      </c>
      <c r="F146" s="23" t="s">
        <v>456</v>
      </c>
      <c r="Q146" s="140">
        <v>44050</v>
      </c>
      <c r="S146" s="23" t="s">
        <v>300</v>
      </c>
      <c r="T146" s="23" t="s">
        <v>363</v>
      </c>
      <c r="U146" s="23" t="s">
        <v>363</v>
      </c>
      <c r="V146" s="23" t="s">
        <v>298</v>
      </c>
      <c r="W146" s="23" t="s">
        <v>929</v>
      </c>
      <c r="Y146" s="37">
        <v>25500</v>
      </c>
      <c r="AB146" s="23" t="s">
        <v>985</v>
      </c>
      <c r="AC146" s="23" t="s">
        <v>986</v>
      </c>
      <c r="AD146" s="118">
        <v>0</v>
      </c>
      <c r="AE146" s="118">
        <v>1</v>
      </c>
      <c r="AF146" s="29" t="s">
        <v>1053</v>
      </c>
      <c r="AG146" s="23" t="s">
        <v>637</v>
      </c>
      <c r="AH146" s="39">
        <v>44049</v>
      </c>
    </row>
    <row r="147" spans="1:44" ht="64">
      <c r="A147" s="62" t="s">
        <v>987</v>
      </c>
      <c r="B147" s="23" t="s">
        <v>988</v>
      </c>
      <c r="C147" s="140">
        <v>44045</v>
      </c>
      <c r="D147" s="23" t="s">
        <v>729</v>
      </c>
      <c r="E147" s="23" t="s">
        <v>636</v>
      </c>
      <c r="F147" s="23" t="s">
        <v>456</v>
      </c>
      <c r="M147" s="23"/>
      <c r="Q147" s="140">
        <v>44051</v>
      </c>
      <c r="R147" s="23"/>
      <c r="S147" s="23" t="s">
        <v>300</v>
      </c>
      <c r="T147" s="23" t="s">
        <v>363</v>
      </c>
      <c r="U147" s="23" t="s">
        <v>363</v>
      </c>
      <c r="V147" s="23" t="s">
        <v>298</v>
      </c>
      <c r="W147" s="23" t="s">
        <v>908</v>
      </c>
      <c r="Y147" s="37">
        <v>21000</v>
      </c>
      <c r="AB147" s="23" t="s">
        <v>989</v>
      </c>
      <c r="AC147" s="23" t="s">
        <v>910</v>
      </c>
      <c r="AD147" s="118">
        <v>0</v>
      </c>
      <c r="AE147" s="118">
        <v>6</v>
      </c>
      <c r="AF147" s="29" t="s">
        <v>1052</v>
      </c>
      <c r="AG147" s="23" t="s">
        <v>637</v>
      </c>
      <c r="AH147" s="39">
        <v>44049</v>
      </c>
    </row>
    <row r="148" spans="1:44">
      <c r="A148" s="67" t="s">
        <v>990</v>
      </c>
      <c r="B148" s="23" t="s">
        <v>991</v>
      </c>
      <c r="C148" s="140">
        <v>44045</v>
      </c>
      <c r="M148" s="23"/>
      <c r="R148" s="23"/>
      <c r="W148" s="23" t="s">
        <v>915</v>
      </c>
      <c r="Y148" s="37">
        <v>25000</v>
      </c>
      <c r="AB148" s="23" t="s">
        <v>992</v>
      </c>
      <c r="AC148" s="23" t="s">
        <v>857</v>
      </c>
      <c r="AD148" s="118"/>
      <c r="AE148" s="118"/>
      <c r="AF148" s="29"/>
      <c r="AG148" s="23" t="s">
        <v>637</v>
      </c>
      <c r="AH148" s="39"/>
    </row>
    <row r="149" spans="1:44" ht="64">
      <c r="A149" s="67" t="s">
        <v>993</v>
      </c>
      <c r="B149" s="23" t="s">
        <v>994</v>
      </c>
      <c r="C149" s="140">
        <v>44042</v>
      </c>
      <c r="M149" s="23"/>
      <c r="R149" s="23"/>
      <c r="W149" s="23" t="s">
        <v>995</v>
      </c>
      <c r="Y149" s="37">
        <v>38400</v>
      </c>
      <c r="AB149" s="19" t="s">
        <v>996</v>
      </c>
      <c r="AC149" s="23" t="s">
        <v>997</v>
      </c>
      <c r="AD149" s="118"/>
      <c r="AE149" s="118"/>
      <c r="AF149" s="29"/>
      <c r="AG149" s="23" t="s">
        <v>666</v>
      </c>
      <c r="AH149" s="39"/>
    </row>
    <row r="150" spans="1:44" ht="64">
      <c r="A150" s="67" t="s">
        <v>998</v>
      </c>
      <c r="B150" s="23" t="s">
        <v>999</v>
      </c>
      <c r="C150" s="140">
        <v>44042</v>
      </c>
      <c r="M150" s="23"/>
      <c r="R150" s="23"/>
      <c r="W150" s="23" t="s">
        <v>494</v>
      </c>
      <c r="Y150" s="37">
        <v>39205</v>
      </c>
      <c r="AB150" s="19" t="s">
        <v>1000</v>
      </c>
      <c r="AC150" s="37" t="s">
        <v>1001</v>
      </c>
      <c r="AD150" s="118"/>
      <c r="AE150" s="118"/>
      <c r="AF150" s="29"/>
      <c r="AG150" s="23" t="s">
        <v>666</v>
      </c>
      <c r="AH150" s="39"/>
    </row>
    <row r="151" spans="1:44" ht="96">
      <c r="A151" s="62" t="s">
        <v>1002</v>
      </c>
      <c r="B151" s="23" t="s">
        <v>1005</v>
      </c>
      <c r="C151" s="140">
        <v>44047</v>
      </c>
      <c r="D151" s="23" t="s">
        <v>729</v>
      </c>
      <c r="E151" s="23" t="s">
        <v>636</v>
      </c>
      <c r="F151" s="23" t="s">
        <v>456</v>
      </c>
      <c r="Q151" s="140">
        <v>44053</v>
      </c>
      <c r="S151" s="23" t="s">
        <v>300</v>
      </c>
      <c r="T151" s="23" t="s">
        <v>363</v>
      </c>
      <c r="U151" s="23" t="s">
        <v>363</v>
      </c>
      <c r="V151" s="23" t="s">
        <v>298</v>
      </c>
      <c r="W151" s="23" t="s">
        <v>494</v>
      </c>
      <c r="Y151" s="37">
        <v>66357.5</v>
      </c>
      <c r="AB151" s="19" t="s">
        <v>1006</v>
      </c>
      <c r="AC151" s="23" t="s">
        <v>1007</v>
      </c>
      <c r="AD151" s="118">
        <v>0</v>
      </c>
      <c r="AE151" s="118">
        <v>3</v>
      </c>
      <c r="AF151" s="29" t="s">
        <v>1098</v>
      </c>
      <c r="AG151" s="23" t="s">
        <v>666</v>
      </c>
      <c r="AH151" s="39">
        <v>44053</v>
      </c>
    </row>
    <row r="152" spans="1:44" ht="64">
      <c r="A152" s="62" t="s">
        <v>1003</v>
      </c>
      <c r="B152" s="23" t="s">
        <v>1008</v>
      </c>
      <c r="C152" s="140">
        <v>44047</v>
      </c>
      <c r="D152" s="23" t="s">
        <v>729</v>
      </c>
      <c r="E152" s="23" t="s">
        <v>636</v>
      </c>
      <c r="F152" s="23" t="s">
        <v>456</v>
      </c>
      <c r="Q152" s="140">
        <v>44053</v>
      </c>
      <c r="S152" s="23" t="s">
        <v>300</v>
      </c>
      <c r="T152" s="23" t="s">
        <v>363</v>
      </c>
      <c r="U152" s="23" t="s">
        <v>363</v>
      </c>
      <c r="V152" s="23" t="s">
        <v>298</v>
      </c>
      <c r="W152" s="23" t="s">
        <v>830</v>
      </c>
      <c r="Y152" s="37">
        <v>45000</v>
      </c>
      <c r="AB152" s="19" t="s">
        <v>1009</v>
      </c>
      <c r="AC152" s="23" t="s">
        <v>1010</v>
      </c>
      <c r="AD152" s="118">
        <v>0</v>
      </c>
      <c r="AE152" s="118">
        <v>2</v>
      </c>
      <c r="AF152" s="29" t="s">
        <v>1096</v>
      </c>
      <c r="AG152" s="23" t="s">
        <v>666</v>
      </c>
      <c r="AH152" s="39">
        <v>44053</v>
      </c>
    </row>
    <row r="153" spans="1:44" ht="64">
      <c r="A153" s="62" t="s">
        <v>1004</v>
      </c>
      <c r="B153" s="23" t="s">
        <v>1011</v>
      </c>
      <c r="C153" s="140">
        <v>44047</v>
      </c>
      <c r="D153" s="23" t="s">
        <v>729</v>
      </c>
      <c r="E153" s="23" t="s">
        <v>636</v>
      </c>
      <c r="F153" s="23" t="s">
        <v>456</v>
      </c>
      <c r="Q153" s="140">
        <v>44053</v>
      </c>
      <c r="S153" s="23" t="s">
        <v>300</v>
      </c>
      <c r="T153" s="23" t="s">
        <v>363</v>
      </c>
      <c r="U153" s="23" t="s">
        <v>363</v>
      </c>
      <c r="V153" s="23" t="s">
        <v>298</v>
      </c>
      <c r="W153" s="23" t="s">
        <v>1012</v>
      </c>
      <c r="Y153" s="37">
        <v>46000</v>
      </c>
      <c r="AB153" s="19" t="s">
        <v>1014</v>
      </c>
      <c r="AC153" s="23" t="s">
        <v>1013</v>
      </c>
      <c r="AD153" s="118">
        <v>0</v>
      </c>
      <c r="AE153" s="118">
        <v>2</v>
      </c>
      <c r="AF153" s="29" t="s">
        <v>1097</v>
      </c>
      <c r="AG153" s="23" t="s">
        <v>666</v>
      </c>
      <c r="AH153" s="39">
        <v>44053</v>
      </c>
    </row>
    <row r="154" spans="1:44" ht="64">
      <c r="A154" s="62" t="s">
        <v>1015</v>
      </c>
      <c r="B154" s="23" t="s">
        <v>1018</v>
      </c>
      <c r="C154" s="140">
        <v>44046</v>
      </c>
      <c r="D154" s="23" t="s">
        <v>729</v>
      </c>
      <c r="E154" s="23" t="s">
        <v>636</v>
      </c>
      <c r="F154" s="23" t="s">
        <v>456</v>
      </c>
      <c r="M154" s="23"/>
      <c r="Q154" s="140">
        <v>44055</v>
      </c>
      <c r="R154" s="23"/>
      <c r="S154" s="23" t="s">
        <v>300</v>
      </c>
      <c r="T154" s="23" t="s">
        <v>363</v>
      </c>
      <c r="U154" s="23" t="s">
        <v>363</v>
      </c>
      <c r="V154" s="23" t="s">
        <v>298</v>
      </c>
      <c r="W154" s="23" t="s">
        <v>1019</v>
      </c>
      <c r="Y154" s="37">
        <v>20800</v>
      </c>
      <c r="AB154" s="23" t="s">
        <v>1020</v>
      </c>
      <c r="AC154" s="23" t="s">
        <v>1021</v>
      </c>
      <c r="AD154" s="118">
        <v>0</v>
      </c>
      <c r="AE154" s="118">
        <v>3</v>
      </c>
      <c r="AF154" s="29" t="s">
        <v>1054</v>
      </c>
      <c r="AG154" s="23" t="s">
        <v>637</v>
      </c>
      <c r="AH154" s="39">
        <v>44054</v>
      </c>
    </row>
    <row r="155" spans="1:44">
      <c r="A155" s="67" t="s">
        <v>1016</v>
      </c>
      <c r="B155" s="23" t="s">
        <v>1022</v>
      </c>
      <c r="C155" s="140">
        <v>44046</v>
      </c>
      <c r="M155" s="23"/>
      <c r="R155" s="23"/>
      <c r="W155" s="23" t="s">
        <v>915</v>
      </c>
      <c r="Y155" s="37">
        <v>23500</v>
      </c>
      <c r="AB155" s="23" t="s">
        <v>1023</v>
      </c>
      <c r="AC155" s="23" t="s">
        <v>934</v>
      </c>
      <c r="AD155" s="118"/>
      <c r="AE155" s="118"/>
      <c r="AF155" s="29"/>
      <c r="AG155" s="23" t="s">
        <v>637</v>
      </c>
      <c r="AH155" s="39"/>
    </row>
    <row r="156" spans="1:44">
      <c r="A156" s="67" t="s">
        <v>1017</v>
      </c>
      <c r="B156" s="23" t="s">
        <v>1024</v>
      </c>
      <c r="C156" s="140">
        <v>44046</v>
      </c>
      <c r="M156" s="23"/>
      <c r="R156" s="23"/>
      <c r="W156" s="23" t="s">
        <v>929</v>
      </c>
      <c r="Y156" s="37">
        <v>25000</v>
      </c>
      <c r="AB156" s="23" t="s">
        <v>1025</v>
      </c>
      <c r="AC156" s="23" t="s">
        <v>1026</v>
      </c>
      <c r="AD156" s="118"/>
      <c r="AE156" s="118"/>
      <c r="AF156" s="29"/>
      <c r="AG156" s="23" t="s">
        <v>637</v>
      </c>
      <c r="AH156" s="39"/>
    </row>
    <row r="157" spans="1:44" ht="144">
      <c r="A157" s="66" t="s">
        <v>1050</v>
      </c>
      <c r="B157" s="23" t="s">
        <v>1072</v>
      </c>
      <c r="C157" s="140">
        <v>44053</v>
      </c>
      <c r="D157" s="23" t="s">
        <v>729</v>
      </c>
      <c r="E157" s="23" t="s">
        <v>752</v>
      </c>
      <c r="F157" s="23" t="s">
        <v>6576</v>
      </c>
      <c r="G157" s="23" t="s">
        <v>2912</v>
      </c>
      <c r="H157" s="23" t="s">
        <v>5883</v>
      </c>
      <c r="I157" s="23" t="s">
        <v>5883</v>
      </c>
      <c r="J157" s="140">
        <v>44046</v>
      </c>
      <c r="S157" s="23" t="s">
        <v>183</v>
      </c>
      <c r="T157" s="23" t="s">
        <v>12031</v>
      </c>
      <c r="U157" s="23" t="s">
        <v>12031</v>
      </c>
      <c r="V157" s="23" t="s">
        <v>1076</v>
      </c>
      <c r="W157" s="23" t="s">
        <v>1073</v>
      </c>
      <c r="Y157" s="37">
        <v>9376</v>
      </c>
      <c r="AB157" s="19" t="s">
        <v>1074</v>
      </c>
      <c r="AC157" s="23" t="s">
        <v>154</v>
      </c>
      <c r="AD157" s="118">
        <v>1</v>
      </c>
      <c r="AE157" s="118">
        <v>2</v>
      </c>
      <c r="AF157" s="29" t="s">
        <v>1238</v>
      </c>
      <c r="AG157" s="23" t="s">
        <v>1075</v>
      </c>
      <c r="AH157" s="39">
        <v>44055</v>
      </c>
      <c r="AJ157" s="75">
        <v>44057</v>
      </c>
      <c r="AL157" s="53">
        <f>AJ157+180</f>
        <v>44237</v>
      </c>
      <c r="AN157" s="53"/>
      <c r="AO157" s="53"/>
      <c r="AP157" s="53"/>
      <c r="AQ157" s="53"/>
      <c r="AR157" s="53"/>
    </row>
    <row r="158" spans="1:44" ht="64">
      <c r="A158" s="62" t="s">
        <v>1030</v>
      </c>
      <c r="B158" s="23" t="s">
        <v>1027</v>
      </c>
      <c r="C158" s="140">
        <v>44050</v>
      </c>
      <c r="D158" s="23" t="s">
        <v>729</v>
      </c>
      <c r="E158" s="23" t="s">
        <v>636</v>
      </c>
      <c r="F158" s="23" t="s">
        <v>456</v>
      </c>
      <c r="Q158" s="140">
        <v>44056</v>
      </c>
      <c r="S158" s="23" t="s">
        <v>300</v>
      </c>
      <c r="T158" s="23" t="s">
        <v>363</v>
      </c>
      <c r="U158" s="23" t="s">
        <v>363</v>
      </c>
      <c r="V158" s="23" t="s">
        <v>298</v>
      </c>
      <c r="W158" s="23" t="s">
        <v>915</v>
      </c>
      <c r="Y158" s="37">
        <v>47000</v>
      </c>
      <c r="AB158" s="19" t="s">
        <v>1028</v>
      </c>
      <c r="AC158" s="23" t="s">
        <v>1029</v>
      </c>
      <c r="AD158" s="118">
        <v>0</v>
      </c>
      <c r="AE158" s="118">
        <v>2</v>
      </c>
      <c r="AF158" s="29" t="s">
        <v>1055</v>
      </c>
      <c r="AG158" s="23" t="s">
        <v>666</v>
      </c>
      <c r="AH158" s="39">
        <v>44055</v>
      </c>
    </row>
    <row r="159" spans="1:44" ht="64">
      <c r="A159" s="62" t="s">
        <v>1031</v>
      </c>
      <c r="B159" s="23" t="s">
        <v>1033</v>
      </c>
      <c r="C159" s="140">
        <v>44050</v>
      </c>
      <c r="D159" s="23" t="s">
        <v>729</v>
      </c>
      <c r="E159" s="23" t="s">
        <v>636</v>
      </c>
      <c r="F159" s="23" t="s">
        <v>456</v>
      </c>
      <c r="Q159" s="140">
        <v>44056</v>
      </c>
      <c r="S159" s="23" t="s">
        <v>300</v>
      </c>
      <c r="T159" s="23" t="s">
        <v>363</v>
      </c>
      <c r="U159" s="23" t="s">
        <v>363</v>
      </c>
      <c r="V159" s="23" t="s">
        <v>298</v>
      </c>
      <c r="W159" s="23" t="s">
        <v>830</v>
      </c>
      <c r="Y159" s="37">
        <v>23600</v>
      </c>
      <c r="AB159" s="23" t="s">
        <v>1034</v>
      </c>
      <c r="AC159" s="23" t="s">
        <v>1035</v>
      </c>
      <c r="AD159" s="118">
        <v>0</v>
      </c>
      <c r="AE159" s="118">
        <v>1</v>
      </c>
      <c r="AF159" s="29" t="s">
        <v>1056</v>
      </c>
      <c r="AG159" s="23" t="s">
        <v>666</v>
      </c>
      <c r="AH159" s="39">
        <v>44055</v>
      </c>
    </row>
    <row r="160" spans="1:44" ht="64">
      <c r="A160" s="62" t="s">
        <v>1032</v>
      </c>
      <c r="B160" s="23" t="s">
        <v>1036</v>
      </c>
      <c r="C160" s="140">
        <v>44050</v>
      </c>
      <c r="D160" s="23" t="s">
        <v>729</v>
      </c>
      <c r="E160" s="23" t="s">
        <v>636</v>
      </c>
      <c r="F160" s="23" t="s">
        <v>456</v>
      </c>
      <c r="Q160" s="140">
        <v>44056</v>
      </c>
      <c r="S160" s="23" t="s">
        <v>300</v>
      </c>
      <c r="T160" s="23" t="s">
        <v>363</v>
      </c>
      <c r="U160" s="23" t="s">
        <v>363</v>
      </c>
      <c r="V160" s="23" t="s">
        <v>298</v>
      </c>
      <c r="W160" s="23" t="s">
        <v>494</v>
      </c>
      <c r="Y160" s="37">
        <v>45529</v>
      </c>
      <c r="AB160" s="19" t="s">
        <v>1037</v>
      </c>
      <c r="AC160" s="23" t="s">
        <v>1038</v>
      </c>
      <c r="AD160" s="118">
        <v>0</v>
      </c>
      <c r="AE160" s="118">
        <v>2</v>
      </c>
      <c r="AF160" s="29" t="s">
        <v>1057</v>
      </c>
      <c r="AG160" s="23" t="s">
        <v>666</v>
      </c>
      <c r="AH160" s="39">
        <v>44055</v>
      </c>
    </row>
    <row r="161" spans="1:34" ht="64">
      <c r="A161" s="62" t="s">
        <v>1039</v>
      </c>
      <c r="B161" s="23" t="s">
        <v>1040</v>
      </c>
      <c r="C161" s="140">
        <v>44022</v>
      </c>
      <c r="D161" s="23" t="s">
        <v>729</v>
      </c>
      <c r="E161" s="23" t="s">
        <v>752</v>
      </c>
      <c r="F161" s="23" t="s">
        <v>2127</v>
      </c>
      <c r="G161" s="23" t="s">
        <v>2197</v>
      </c>
      <c r="Q161" s="140">
        <v>44059</v>
      </c>
      <c r="S161" s="23" t="s">
        <v>1041</v>
      </c>
      <c r="T161" s="23" t="s">
        <v>304</v>
      </c>
      <c r="U161" s="23" t="s">
        <v>304</v>
      </c>
      <c r="V161" s="23" t="s">
        <v>298</v>
      </c>
      <c r="W161" s="19" t="s">
        <v>1045</v>
      </c>
      <c r="Y161" s="37">
        <v>2240</v>
      </c>
      <c r="AB161" s="23" t="s">
        <v>1042</v>
      </c>
      <c r="AC161" s="23" t="s">
        <v>1043</v>
      </c>
      <c r="AD161" s="118">
        <v>1</v>
      </c>
      <c r="AE161" s="118">
        <v>0</v>
      </c>
      <c r="AF161" s="29" t="s">
        <v>1095</v>
      </c>
      <c r="AG161" s="23" t="s">
        <v>1044</v>
      </c>
      <c r="AH161" s="39">
        <v>44056</v>
      </c>
    </row>
    <row r="162" spans="1:34" ht="64">
      <c r="A162" s="62" t="s">
        <v>1058</v>
      </c>
      <c r="B162" s="23" t="s">
        <v>1061</v>
      </c>
      <c r="C162" s="140">
        <v>44051</v>
      </c>
      <c r="D162" s="23" t="s">
        <v>729</v>
      </c>
      <c r="E162" s="23" t="s">
        <v>636</v>
      </c>
      <c r="F162" s="23" t="s">
        <v>456</v>
      </c>
      <c r="Q162" s="140">
        <v>44058</v>
      </c>
      <c r="S162" s="23" t="s">
        <v>300</v>
      </c>
      <c r="T162" s="23" t="s">
        <v>363</v>
      </c>
      <c r="U162" s="23" t="s">
        <v>363</v>
      </c>
      <c r="V162" s="23" t="s">
        <v>298</v>
      </c>
      <c r="W162" s="23" t="s">
        <v>908</v>
      </c>
      <c r="Y162" s="37">
        <v>21000</v>
      </c>
      <c r="AB162" s="23" t="s">
        <v>1062</v>
      </c>
      <c r="AC162" s="23" t="s">
        <v>910</v>
      </c>
      <c r="AD162" s="118">
        <v>0</v>
      </c>
      <c r="AE162" s="118">
        <v>1</v>
      </c>
      <c r="AF162" s="29" t="s">
        <v>1094</v>
      </c>
      <c r="AG162" s="23" t="s">
        <v>637</v>
      </c>
      <c r="AH162" s="39">
        <v>44057</v>
      </c>
    </row>
    <row r="163" spans="1:34" ht="64">
      <c r="A163" s="62" t="s">
        <v>1059</v>
      </c>
      <c r="B163" s="23" t="s">
        <v>1063</v>
      </c>
      <c r="C163" s="140">
        <v>44053</v>
      </c>
      <c r="D163" s="23" t="s">
        <v>729</v>
      </c>
      <c r="E163" s="23" t="s">
        <v>636</v>
      </c>
      <c r="F163" s="23" t="s">
        <v>456</v>
      </c>
      <c r="Q163" s="140">
        <v>44059</v>
      </c>
      <c r="S163" s="23" t="s">
        <v>300</v>
      </c>
      <c r="T163" s="23" t="s">
        <v>363</v>
      </c>
      <c r="U163" s="23" t="s">
        <v>363</v>
      </c>
      <c r="V163" s="23" t="s">
        <v>298</v>
      </c>
      <c r="W163" s="23" t="s">
        <v>908</v>
      </c>
      <c r="Y163" s="37">
        <v>21000</v>
      </c>
      <c r="AB163" s="23" t="s">
        <v>1064</v>
      </c>
      <c r="AC163" s="23" t="s">
        <v>910</v>
      </c>
      <c r="AD163" s="118">
        <v>0</v>
      </c>
      <c r="AE163" s="118">
        <v>1</v>
      </c>
      <c r="AF163" s="29" t="s">
        <v>1093</v>
      </c>
      <c r="AG163" s="23" t="s">
        <v>637</v>
      </c>
      <c r="AH163" s="39">
        <v>44057</v>
      </c>
    </row>
    <row r="164" spans="1:34" ht="64">
      <c r="A164" s="62" t="s">
        <v>1060</v>
      </c>
      <c r="B164" s="23" t="s">
        <v>1065</v>
      </c>
      <c r="C164" s="140">
        <v>44053</v>
      </c>
      <c r="D164" s="23" t="s">
        <v>729</v>
      </c>
      <c r="E164" s="23" t="s">
        <v>636</v>
      </c>
      <c r="F164" s="23" t="s">
        <v>456</v>
      </c>
      <c r="M164" s="23"/>
      <c r="Q164" s="140">
        <v>44059</v>
      </c>
      <c r="R164" s="23"/>
      <c r="S164" s="23" t="s">
        <v>300</v>
      </c>
      <c r="T164" s="23" t="s">
        <v>363</v>
      </c>
      <c r="U164" s="23" t="s">
        <v>363</v>
      </c>
      <c r="V164" s="23" t="s">
        <v>298</v>
      </c>
      <c r="W164" s="23" t="s">
        <v>1066</v>
      </c>
      <c r="Y164" s="37">
        <v>23800</v>
      </c>
      <c r="AB164" s="23" t="s">
        <v>1067</v>
      </c>
      <c r="AC164" s="23" t="s">
        <v>1068</v>
      </c>
      <c r="AD164" s="118">
        <v>0</v>
      </c>
      <c r="AE164" s="118">
        <v>2</v>
      </c>
      <c r="AF164" s="29" t="s">
        <v>1092</v>
      </c>
      <c r="AG164" s="23" t="s">
        <v>637</v>
      </c>
      <c r="AH164" s="28">
        <v>44057</v>
      </c>
    </row>
    <row r="165" spans="1:34">
      <c r="A165" s="67" t="s">
        <v>1069</v>
      </c>
      <c r="B165" s="23" t="s">
        <v>1070</v>
      </c>
      <c r="C165" s="140">
        <v>44053</v>
      </c>
      <c r="M165" s="23"/>
      <c r="R165" s="23"/>
      <c r="W165" s="23" t="s">
        <v>915</v>
      </c>
      <c r="Y165" s="37">
        <v>23000</v>
      </c>
      <c r="AB165" s="23" t="s">
        <v>1071</v>
      </c>
      <c r="AC165" s="23" t="s">
        <v>966</v>
      </c>
      <c r="AD165" s="118"/>
      <c r="AE165" s="118"/>
      <c r="AF165" s="29"/>
      <c r="AH165" s="28"/>
    </row>
    <row r="166" spans="1:34" ht="160">
      <c r="A166" s="63" t="s">
        <v>1077</v>
      </c>
      <c r="B166" s="23" t="s">
        <v>1078</v>
      </c>
      <c r="C166" s="140">
        <v>44049</v>
      </c>
      <c r="D166" s="23" t="s">
        <v>729</v>
      </c>
      <c r="E166" s="23" t="s">
        <v>752</v>
      </c>
      <c r="F166" s="23" t="s">
        <v>57</v>
      </c>
      <c r="G166" s="23" t="s">
        <v>83</v>
      </c>
      <c r="H166" s="23" t="s">
        <v>1081</v>
      </c>
      <c r="I166" s="23" t="s">
        <v>1081</v>
      </c>
      <c r="J166" s="140">
        <v>44047</v>
      </c>
      <c r="K166" s="23" t="s">
        <v>1302</v>
      </c>
      <c r="L166" s="140">
        <v>44055</v>
      </c>
      <c r="P166" s="23" t="s">
        <v>1079</v>
      </c>
      <c r="Q166" s="140">
        <v>44058</v>
      </c>
      <c r="S166" s="23" t="s">
        <v>183</v>
      </c>
      <c r="T166" s="23" t="s">
        <v>305</v>
      </c>
      <c r="U166" s="23" t="s">
        <v>305</v>
      </c>
      <c r="V166" s="23" t="s">
        <v>356</v>
      </c>
      <c r="W166" s="23" t="s">
        <v>112</v>
      </c>
      <c r="X166" s="37">
        <v>32837.9</v>
      </c>
      <c r="Y166" s="37">
        <v>33046.699999999997</v>
      </c>
      <c r="Z166" s="37">
        <v>28568.97</v>
      </c>
      <c r="AA166" s="37">
        <v>27372.97</v>
      </c>
      <c r="AB166" s="23" t="s">
        <v>1080</v>
      </c>
      <c r="AC166" s="23" t="s">
        <v>791</v>
      </c>
      <c r="AD166" s="118">
        <v>0</v>
      </c>
      <c r="AE166" s="118">
        <v>2</v>
      </c>
      <c r="AF166" s="29" t="s">
        <v>1304</v>
      </c>
      <c r="AG166" s="23" t="s">
        <v>792</v>
      </c>
      <c r="AH166" s="39">
        <v>44057</v>
      </c>
    </row>
    <row r="167" spans="1:34" ht="64">
      <c r="A167" s="62" t="s">
        <v>1082</v>
      </c>
      <c r="B167" s="23" t="s">
        <v>1084</v>
      </c>
      <c r="C167" s="140">
        <v>44006</v>
      </c>
      <c r="D167" s="23" t="s">
        <v>729</v>
      </c>
      <c r="E167" s="23" t="s">
        <v>752</v>
      </c>
      <c r="F167" s="23" t="s">
        <v>2926</v>
      </c>
      <c r="G167" s="23" t="s">
        <v>2165</v>
      </c>
      <c r="P167" s="23" t="s">
        <v>1085</v>
      </c>
      <c r="Q167" s="140">
        <v>44065</v>
      </c>
      <c r="S167" s="23" t="s">
        <v>312</v>
      </c>
      <c r="T167" s="23" t="s">
        <v>304</v>
      </c>
      <c r="U167" s="23" t="s">
        <v>304</v>
      </c>
      <c r="V167" s="23" t="s">
        <v>298</v>
      </c>
      <c r="W167" s="19" t="s">
        <v>1091</v>
      </c>
      <c r="Y167" s="37">
        <v>4370</v>
      </c>
      <c r="AB167" s="19" t="s">
        <v>1086</v>
      </c>
      <c r="AC167" s="23" t="s">
        <v>123</v>
      </c>
      <c r="AD167" s="118">
        <v>0</v>
      </c>
      <c r="AE167" s="118">
        <v>1</v>
      </c>
      <c r="AF167" s="29" t="s">
        <v>1225</v>
      </c>
      <c r="AG167" s="23" t="s">
        <v>1087</v>
      </c>
      <c r="AH167" s="39">
        <v>44067</v>
      </c>
    </row>
    <row r="168" spans="1:34" ht="64">
      <c r="A168" s="62" t="s">
        <v>1083</v>
      </c>
      <c r="B168" s="23" t="s">
        <v>1088</v>
      </c>
      <c r="C168" s="140">
        <v>44006</v>
      </c>
      <c r="D168" s="23" t="s">
        <v>729</v>
      </c>
      <c r="E168" s="23" t="s">
        <v>752</v>
      </c>
      <c r="F168" s="23" t="s">
        <v>2926</v>
      </c>
      <c r="G168" s="23" t="s">
        <v>2165</v>
      </c>
      <c r="P168" s="23" t="s">
        <v>1085</v>
      </c>
      <c r="Q168" s="140">
        <v>44065</v>
      </c>
      <c r="S168" s="23" t="s">
        <v>312</v>
      </c>
      <c r="T168" s="23" t="s">
        <v>304</v>
      </c>
      <c r="U168" s="23" t="s">
        <v>304</v>
      </c>
      <c r="V168" s="23" t="s">
        <v>298</v>
      </c>
      <c r="W168" s="19" t="s">
        <v>1089</v>
      </c>
      <c r="Y168" s="37">
        <v>4370</v>
      </c>
      <c r="AB168" s="19" t="s">
        <v>1090</v>
      </c>
      <c r="AC168" s="23" t="s">
        <v>123</v>
      </c>
      <c r="AD168" s="118">
        <v>0</v>
      </c>
      <c r="AE168" s="118">
        <v>1</v>
      </c>
      <c r="AF168" s="29" t="s">
        <v>1226</v>
      </c>
      <c r="AG168" s="23" t="s">
        <v>1087</v>
      </c>
      <c r="AH168" s="39">
        <v>44067</v>
      </c>
    </row>
    <row r="169" spans="1:34" ht="64">
      <c r="A169" s="62" t="s">
        <v>1099</v>
      </c>
      <c r="B169" s="23" t="s">
        <v>1100</v>
      </c>
      <c r="C169" s="140">
        <v>44055</v>
      </c>
      <c r="D169" s="23" t="s">
        <v>729</v>
      </c>
      <c r="E169" s="23" t="s">
        <v>636</v>
      </c>
      <c r="F169" s="23" t="s">
        <v>456</v>
      </c>
      <c r="M169" s="23"/>
      <c r="Q169" s="140">
        <v>44069</v>
      </c>
      <c r="R169" s="23"/>
      <c r="S169" s="23" t="s">
        <v>300</v>
      </c>
      <c r="T169" s="23" t="s">
        <v>363</v>
      </c>
      <c r="U169" s="23" t="s">
        <v>363</v>
      </c>
      <c r="V169" s="23" t="s">
        <v>298</v>
      </c>
      <c r="W169" s="23" t="s">
        <v>653</v>
      </c>
      <c r="Y169" s="37">
        <v>22100</v>
      </c>
      <c r="AB169" s="23" t="s">
        <v>1101</v>
      </c>
      <c r="AC169" s="23" t="s">
        <v>1102</v>
      </c>
      <c r="AD169" s="118">
        <v>1</v>
      </c>
      <c r="AE169" s="118">
        <v>2</v>
      </c>
      <c r="AF169" s="29" t="s">
        <v>1228</v>
      </c>
      <c r="AG169" s="23" t="s">
        <v>637</v>
      </c>
      <c r="AH169" s="39">
        <v>44069</v>
      </c>
    </row>
    <row r="170" spans="1:34">
      <c r="A170" s="67" t="s">
        <v>1103</v>
      </c>
      <c r="B170" s="23" t="s">
        <v>1104</v>
      </c>
      <c r="C170" s="140">
        <v>44055</v>
      </c>
      <c r="M170" s="23"/>
      <c r="R170" s="23"/>
      <c r="W170" s="23" t="s">
        <v>915</v>
      </c>
      <c r="Y170" s="37">
        <v>24000</v>
      </c>
      <c r="AB170" s="23" t="s">
        <v>1105</v>
      </c>
      <c r="AC170" s="23" t="s">
        <v>1106</v>
      </c>
      <c r="AD170" s="118"/>
      <c r="AE170" s="118"/>
      <c r="AG170" s="23" t="s">
        <v>637</v>
      </c>
      <c r="AH170" s="39"/>
    </row>
    <row r="171" spans="1:34">
      <c r="A171" s="67" t="s">
        <v>1107</v>
      </c>
      <c r="B171" s="27" t="s">
        <v>1115</v>
      </c>
      <c r="C171" s="140">
        <v>44063</v>
      </c>
      <c r="M171" s="23"/>
      <c r="R171" s="23"/>
      <c r="W171" s="23" t="s">
        <v>929</v>
      </c>
      <c r="Y171" s="37">
        <v>25500</v>
      </c>
      <c r="AB171" s="23" t="s">
        <v>1108</v>
      </c>
      <c r="AC171" s="23" t="s">
        <v>1109</v>
      </c>
      <c r="AD171" s="118"/>
      <c r="AE171" s="118"/>
      <c r="AG171" s="23" t="s">
        <v>637</v>
      </c>
      <c r="AH171" s="39"/>
    </row>
    <row r="172" spans="1:34" ht="64">
      <c r="A172" s="62" t="s">
        <v>1110</v>
      </c>
      <c r="B172" s="27" t="s">
        <v>1114</v>
      </c>
      <c r="C172" s="140">
        <v>44054</v>
      </c>
      <c r="D172" s="23" t="s">
        <v>729</v>
      </c>
      <c r="E172" s="23" t="s">
        <v>636</v>
      </c>
      <c r="F172" s="23" t="s">
        <v>456</v>
      </c>
      <c r="M172" s="23"/>
      <c r="Q172" s="140">
        <v>44069</v>
      </c>
      <c r="R172" s="23"/>
      <c r="S172" s="23" t="s">
        <v>300</v>
      </c>
      <c r="T172" s="23" t="s">
        <v>363</v>
      </c>
      <c r="U172" s="23" t="s">
        <v>363</v>
      </c>
      <c r="V172" s="23" t="s">
        <v>298</v>
      </c>
      <c r="W172" s="23" t="s">
        <v>1111</v>
      </c>
      <c r="Y172" s="37">
        <v>26250</v>
      </c>
      <c r="AB172" s="23" t="s">
        <v>1112</v>
      </c>
      <c r="AC172" s="23" t="s">
        <v>1113</v>
      </c>
      <c r="AD172" s="118">
        <v>0</v>
      </c>
      <c r="AE172" s="118">
        <v>5</v>
      </c>
      <c r="AF172" s="29" t="s">
        <v>1227</v>
      </c>
      <c r="AG172" s="23" t="s">
        <v>666</v>
      </c>
      <c r="AH172" s="39">
        <v>44069</v>
      </c>
    </row>
    <row r="173" spans="1:34">
      <c r="A173" s="67" t="s">
        <v>1116</v>
      </c>
      <c r="B173" s="27" t="s">
        <v>1117</v>
      </c>
      <c r="C173" s="140">
        <v>44061</v>
      </c>
      <c r="M173" s="23"/>
      <c r="R173" s="23"/>
      <c r="S173" s="23" t="s">
        <v>300</v>
      </c>
      <c r="T173" s="23" t="s">
        <v>363</v>
      </c>
      <c r="U173" s="23" t="s">
        <v>363</v>
      </c>
      <c r="V173" s="23" t="s">
        <v>298</v>
      </c>
      <c r="W173" s="23" t="s">
        <v>995</v>
      </c>
      <c r="Y173" s="37">
        <v>21000</v>
      </c>
      <c r="AB173" s="23" t="s">
        <v>1118</v>
      </c>
      <c r="AC173" s="23" t="s">
        <v>1124</v>
      </c>
      <c r="AD173" s="118"/>
      <c r="AE173" s="118"/>
      <c r="AG173" s="23" t="s">
        <v>665</v>
      </c>
      <c r="AH173" s="39"/>
    </row>
    <row r="174" spans="1:34">
      <c r="A174" s="67" t="s">
        <v>1119</v>
      </c>
      <c r="B174" s="23" t="s">
        <v>1120</v>
      </c>
      <c r="C174" s="140">
        <v>44054</v>
      </c>
      <c r="M174" s="23"/>
      <c r="R174" s="23"/>
      <c r="W174" s="23" t="s">
        <v>494</v>
      </c>
      <c r="Y174" s="37">
        <v>24070</v>
      </c>
      <c r="AB174" s="23" t="s">
        <v>1121</v>
      </c>
      <c r="AC174" s="23" t="s">
        <v>1122</v>
      </c>
      <c r="AD174" s="118"/>
      <c r="AE174" s="118"/>
      <c r="AG174" s="23" t="s">
        <v>666</v>
      </c>
      <c r="AH174" s="39"/>
    </row>
    <row r="175" spans="1:34" ht="64">
      <c r="A175" s="67" t="s">
        <v>1123</v>
      </c>
      <c r="B175" s="23" t="s">
        <v>1125</v>
      </c>
      <c r="C175" s="140">
        <v>44061</v>
      </c>
      <c r="M175" s="23"/>
      <c r="R175" s="23"/>
      <c r="W175" s="23" t="s">
        <v>494</v>
      </c>
      <c r="Y175" s="37">
        <v>46062.5</v>
      </c>
      <c r="AB175" s="19" t="s">
        <v>1126</v>
      </c>
      <c r="AC175" s="23" t="s">
        <v>1127</v>
      </c>
      <c r="AD175" s="118"/>
      <c r="AE175" s="118"/>
      <c r="AG175" s="23" t="s">
        <v>666</v>
      </c>
      <c r="AH175" s="39"/>
    </row>
    <row r="176" spans="1:34" ht="64">
      <c r="A176" s="62" t="s">
        <v>1128</v>
      </c>
      <c r="B176" s="23" t="s">
        <v>1129</v>
      </c>
      <c r="C176" s="140">
        <v>44061</v>
      </c>
      <c r="D176" s="24" t="s">
        <v>729</v>
      </c>
      <c r="E176" s="24" t="s">
        <v>636</v>
      </c>
      <c r="F176" s="24" t="s">
        <v>456</v>
      </c>
      <c r="G176" s="24"/>
      <c r="H176" s="24"/>
      <c r="I176" s="24"/>
      <c r="K176" s="24"/>
      <c r="M176" s="24"/>
      <c r="N176" s="24"/>
      <c r="O176" s="24"/>
      <c r="P176" s="24"/>
      <c r="Q176" s="140">
        <v>44069</v>
      </c>
      <c r="R176" s="24"/>
      <c r="S176" s="24" t="s">
        <v>300</v>
      </c>
      <c r="T176" s="24" t="s">
        <v>363</v>
      </c>
      <c r="U176" s="24" t="s">
        <v>363</v>
      </c>
      <c r="V176" s="24" t="s">
        <v>298</v>
      </c>
      <c r="W176" s="34" t="s">
        <v>1139</v>
      </c>
      <c r="X176" s="34"/>
      <c r="Y176" s="41">
        <v>24500</v>
      </c>
      <c r="AB176" s="23" t="s">
        <v>1130</v>
      </c>
      <c r="AC176" s="34" t="s">
        <v>1138</v>
      </c>
      <c r="AD176" s="118">
        <v>0</v>
      </c>
      <c r="AE176" s="118">
        <v>2</v>
      </c>
      <c r="AF176" s="29" t="s">
        <v>1229</v>
      </c>
      <c r="AG176" s="23" t="s">
        <v>665</v>
      </c>
      <c r="AH176" s="39">
        <v>44069</v>
      </c>
    </row>
    <row r="177" spans="1:34">
      <c r="A177" s="67" t="s">
        <v>1131</v>
      </c>
      <c r="B177" s="23" t="s">
        <v>1133</v>
      </c>
      <c r="C177" s="140">
        <v>44063</v>
      </c>
      <c r="D177" s="24"/>
      <c r="E177" s="24"/>
      <c r="F177" s="24"/>
      <c r="G177" s="24"/>
      <c r="H177" s="24"/>
      <c r="I177" s="24"/>
      <c r="K177" s="24"/>
      <c r="M177" s="24"/>
      <c r="N177" s="24"/>
      <c r="O177" s="24"/>
      <c r="P177" s="24"/>
      <c r="R177" s="24"/>
      <c r="S177" s="24"/>
      <c r="T177" s="24"/>
      <c r="U177" s="24"/>
      <c r="V177" s="24"/>
      <c r="W177" s="23" t="s">
        <v>929</v>
      </c>
      <c r="Y177" s="37">
        <v>25500</v>
      </c>
      <c r="AB177" s="23" t="s">
        <v>1134</v>
      </c>
      <c r="AC177" s="23" t="s">
        <v>986</v>
      </c>
      <c r="AD177" s="118"/>
      <c r="AE177" s="118"/>
      <c r="AF177" s="29"/>
      <c r="AG177" s="23" t="s">
        <v>637</v>
      </c>
      <c r="AH177" s="39"/>
    </row>
    <row r="178" spans="1:34" ht="64">
      <c r="A178" s="62" t="s">
        <v>1132</v>
      </c>
      <c r="B178" s="23" t="s">
        <v>1135</v>
      </c>
      <c r="C178" s="140">
        <v>44055</v>
      </c>
      <c r="D178" s="23" t="s">
        <v>729</v>
      </c>
      <c r="E178" s="23" t="s">
        <v>636</v>
      </c>
      <c r="F178" s="23" t="s">
        <v>456</v>
      </c>
      <c r="Q178" s="140">
        <v>44070</v>
      </c>
      <c r="S178" s="23" t="s">
        <v>300</v>
      </c>
      <c r="T178" s="23" t="s">
        <v>363</v>
      </c>
      <c r="U178" s="23" t="s">
        <v>363</v>
      </c>
      <c r="V178" s="23" t="s">
        <v>298</v>
      </c>
      <c r="W178" s="23" t="s">
        <v>494</v>
      </c>
      <c r="Y178" s="37">
        <v>21640</v>
      </c>
      <c r="AB178" s="23" t="s">
        <v>1136</v>
      </c>
      <c r="AC178" s="23" t="s">
        <v>1137</v>
      </c>
      <c r="AD178" s="118">
        <v>0</v>
      </c>
      <c r="AE178" s="118">
        <v>1</v>
      </c>
      <c r="AF178" s="29" t="s">
        <v>1230</v>
      </c>
      <c r="AG178" s="23" t="s">
        <v>637</v>
      </c>
      <c r="AH178" s="39">
        <v>44069</v>
      </c>
    </row>
    <row r="179" spans="1:34" ht="64">
      <c r="A179" s="62" t="s">
        <v>1140</v>
      </c>
      <c r="B179" s="23" t="s">
        <v>1141</v>
      </c>
      <c r="C179" s="140">
        <v>44061</v>
      </c>
      <c r="D179" s="23" t="s">
        <v>729</v>
      </c>
      <c r="E179" s="23" t="s">
        <v>636</v>
      </c>
      <c r="F179" s="23" t="s">
        <v>456</v>
      </c>
      <c r="M179" s="23"/>
      <c r="Q179" s="140">
        <v>44070</v>
      </c>
      <c r="R179" s="23"/>
      <c r="S179" s="23" t="s">
        <v>300</v>
      </c>
      <c r="T179" s="23" t="s">
        <v>363</v>
      </c>
      <c r="U179" s="23" t="s">
        <v>363</v>
      </c>
      <c r="V179" s="23" t="s">
        <v>298</v>
      </c>
      <c r="W179" s="23" t="s">
        <v>1066</v>
      </c>
      <c r="Y179" s="37">
        <v>45240</v>
      </c>
      <c r="AB179" s="19" t="s">
        <v>1142</v>
      </c>
      <c r="AC179" s="23" t="s">
        <v>1143</v>
      </c>
      <c r="AD179" s="118">
        <v>0</v>
      </c>
      <c r="AE179" s="118">
        <v>7</v>
      </c>
      <c r="AF179" s="29" t="s">
        <v>1231</v>
      </c>
      <c r="AG179" s="23" t="s">
        <v>637</v>
      </c>
      <c r="AH179" s="39">
        <v>44070</v>
      </c>
    </row>
    <row r="180" spans="1:34" ht="64">
      <c r="A180" s="67" t="s">
        <v>1144</v>
      </c>
      <c r="B180" s="23" t="s">
        <v>1145</v>
      </c>
      <c r="C180" s="140">
        <v>44061</v>
      </c>
      <c r="M180" s="23"/>
      <c r="R180" s="23"/>
      <c r="W180" s="23" t="s">
        <v>915</v>
      </c>
      <c r="Y180" s="37">
        <v>46000</v>
      </c>
      <c r="AB180" s="19" t="s">
        <v>1146</v>
      </c>
      <c r="AC180" s="23" t="s">
        <v>1147</v>
      </c>
      <c r="AD180" s="118"/>
      <c r="AE180" s="118"/>
      <c r="AG180" s="23" t="s">
        <v>637</v>
      </c>
      <c r="AH180" s="39"/>
    </row>
    <row r="181" spans="1:34" ht="64">
      <c r="A181" s="67" t="s">
        <v>1148</v>
      </c>
      <c r="B181" s="23" t="s">
        <v>1149</v>
      </c>
      <c r="C181" s="140">
        <v>44061</v>
      </c>
      <c r="M181" s="23"/>
      <c r="R181" s="23"/>
      <c r="W181" s="23" t="s">
        <v>908</v>
      </c>
      <c r="Y181" s="37">
        <v>49000</v>
      </c>
      <c r="AB181" s="19" t="s">
        <v>1150</v>
      </c>
      <c r="AC181" s="23" t="s">
        <v>1151</v>
      </c>
      <c r="AD181" s="118"/>
      <c r="AE181" s="118"/>
      <c r="AG181" s="23" t="s">
        <v>637</v>
      </c>
      <c r="AH181" s="39"/>
    </row>
    <row r="182" spans="1:34">
      <c r="A182" s="67" t="s">
        <v>1152</v>
      </c>
      <c r="B182" s="27" t="s">
        <v>1153</v>
      </c>
      <c r="C182" s="140">
        <v>44052</v>
      </c>
      <c r="M182" s="23"/>
      <c r="R182" s="23"/>
      <c r="W182" s="23" t="s">
        <v>929</v>
      </c>
      <c r="Y182" s="37">
        <v>25500</v>
      </c>
      <c r="AB182" s="23" t="s">
        <v>1154</v>
      </c>
      <c r="AC182" s="23" t="s">
        <v>986</v>
      </c>
      <c r="AD182" s="118"/>
      <c r="AE182" s="118"/>
      <c r="AG182" s="23" t="s">
        <v>637</v>
      </c>
      <c r="AH182" s="39"/>
    </row>
    <row r="183" spans="1:34" ht="64">
      <c r="A183" s="62" t="s">
        <v>1155</v>
      </c>
      <c r="B183" s="23" t="s">
        <v>1156</v>
      </c>
      <c r="C183" s="140">
        <v>44061</v>
      </c>
      <c r="D183" s="23" t="s">
        <v>729</v>
      </c>
      <c r="E183" s="23" t="s">
        <v>636</v>
      </c>
      <c r="F183" s="23" t="s">
        <v>456</v>
      </c>
      <c r="M183" s="23"/>
      <c r="Q183" s="140">
        <v>44070</v>
      </c>
      <c r="R183" s="23"/>
      <c r="S183" s="23" t="s">
        <v>300</v>
      </c>
      <c r="T183" s="23" t="s">
        <v>363</v>
      </c>
      <c r="U183" s="23" t="s">
        <v>363</v>
      </c>
      <c r="V183" s="23" t="s">
        <v>298</v>
      </c>
      <c r="W183" s="23" t="s">
        <v>943</v>
      </c>
      <c r="Y183" s="37">
        <v>24000</v>
      </c>
      <c r="AB183" s="23" t="s">
        <v>1157</v>
      </c>
      <c r="AC183" s="23" t="s">
        <v>1124</v>
      </c>
      <c r="AD183" s="118">
        <v>0</v>
      </c>
      <c r="AE183" s="118">
        <v>5</v>
      </c>
      <c r="AF183" s="29" t="s">
        <v>1232</v>
      </c>
      <c r="AG183" s="23" t="s">
        <v>666</v>
      </c>
      <c r="AH183" s="39">
        <v>44070</v>
      </c>
    </row>
    <row r="184" spans="1:34" ht="64">
      <c r="A184" s="67" t="s">
        <v>1158</v>
      </c>
      <c r="B184" s="23" t="s">
        <v>1159</v>
      </c>
      <c r="C184" s="140">
        <v>44061</v>
      </c>
      <c r="M184" s="23"/>
      <c r="R184" s="23"/>
      <c r="W184" s="23" t="s">
        <v>915</v>
      </c>
      <c r="Y184" s="37">
        <v>46000</v>
      </c>
      <c r="AB184" s="19" t="s">
        <v>1160</v>
      </c>
      <c r="AC184" s="23" t="s">
        <v>1013</v>
      </c>
      <c r="AD184" s="118"/>
      <c r="AE184" s="118"/>
      <c r="AG184" s="23" t="s">
        <v>666</v>
      </c>
      <c r="AH184" s="39"/>
    </row>
    <row r="185" spans="1:34" ht="64">
      <c r="A185" s="67" t="s">
        <v>1161</v>
      </c>
      <c r="B185" s="23" t="s">
        <v>1162</v>
      </c>
      <c r="C185" s="140">
        <v>44063</v>
      </c>
      <c r="M185" s="23"/>
      <c r="R185" s="23"/>
      <c r="W185" s="23" t="s">
        <v>830</v>
      </c>
      <c r="Y185" s="37">
        <v>47200</v>
      </c>
      <c r="AB185" s="19" t="s">
        <v>1163</v>
      </c>
      <c r="AC185" s="23" t="s">
        <v>1164</v>
      </c>
      <c r="AD185" s="118"/>
      <c r="AE185" s="118"/>
      <c r="AG185" s="23" t="s">
        <v>666</v>
      </c>
      <c r="AH185" s="39"/>
    </row>
    <row r="186" spans="1:34" ht="80">
      <c r="A186" s="62" t="s">
        <v>1165</v>
      </c>
      <c r="B186" s="23" t="s">
        <v>1167</v>
      </c>
      <c r="C186" s="140">
        <v>44025</v>
      </c>
      <c r="D186" s="23" t="s">
        <v>729</v>
      </c>
      <c r="E186" s="23" t="s">
        <v>752</v>
      </c>
      <c r="F186" s="23" t="s">
        <v>2926</v>
      </c>
      <c r="G186" s="23" t="s">
        <v>2165</v>
      </c>
      <c r="P186" s="23" t="s">
        <v>1166</v>
      </c>
      <c r="Q186" s="140">
        <v>44071</v>
      </c>
      <c r="S186" s="23" t="s">
        <v>312</v>
      </c>
      <c r="T186" s="23" t="s">
        <v>304</v>
      </c>
      <c r="U186" s="23" t="s">
        <v>304</v>
      </c>
      <c r="V186" s="23" t="s">
        <v>298</v>
      </c>
      <c r="W186" s="19" t="s">
        <v>1177</v>
      </c>
      <c r="Y186" s="37">
        <v>4370</v>
      </c>
      <c r="AB186" s="19" t="s">
        <v>1168</v>
      </c>
      <c r="AC186" s="23" t="s">
        <v>123</v>
      </c>
      <c r="AD186" s="118">
        <v>0</v>
      </c>
      <c r="AE186" s="118">
        <v>1</v>
      </c>
      <c r="AF186" s="29" t="s">
        <v>1235</v>
      </c>
      <c r="AG186" s="23" t="s">
        <v>738</v>
      </c>
      <c r="AH186" s="39">
        <v>44070</v>
      </c>
    </row>
    <row r="187" spans="1:34" ht="80">
      <c r="A187" s="62" t="s">
        <v>1169</v>
      </c>
      <c r="B187" s="23" t="s">
        <v>1170</v>
      </c>
      <c r="C187" s="140">
        <v>44025</v>
      </c>
      <c r="D187" s="23" t="s">
        <v>729</v>
      </c>
      <c r="E187" s="23" t="s">
        <v>752</v>
      </c>
      <c r="F187" s="23" t="s">
        <v>2926</v>
      </c>
      <c r="G187" s="23" t="s">
        <v>2165</v>
      </c>
      <c r="P187" s="23" t="s">
        <v>1166</v>
      </c>
      <c r="Q187" s="140">
        <v>44071</v>
      </c>
      <c r="S187" s="23" t="s">
        <v>312</v>
      </c>
      <c r="T187" s="23" t="s">
        <v>304</v>
      </c>
      <c r="U187" s="23" t="s">
        <v>304</v>
      </c>
      <c r="V187" s="23" t="s">
        <v>298</v>
      </c>
      <c r="W187" s="19" t="s">
        <v>1176</v>
      </c>
      <c r="Y187" s="37">
        <v>4370</v>
      </c>
      <c r="AB187" s="23" t="s">
        <v>1171</v>
      </c>
      <c r="AC187" s="23" t="s">
        <v>123</v>
      </c>
      <c r="AD187" s="118">
        <v>0</v>
      </c>
      <c r="AE187" s="118">
        <v>1</v>
      </c>
      <c r="AF187" s="29" t="s">
        <v>1236</v>
      </c>
      <c r="AG187" s="23" t="s">
        <v>738</v>
      </c>
      <c r="AH187" s="39">
        <v>44070</v>
      </c>
    </row>
    <row r="188" spans="1:34" ht="96">
      <c r="A188" s="62" t="s">
        <v>1172</v>
      </c>
      <c r="B188" s="23" t="s">
        <v>1173</v>
      </c>
      <c r="C188" s="140">
        <v>44025</v>
      </c>
      <c r="D188" s="23" t="s">
        <v>729</v>
      </c>
      <c r="E188" s="23" t="s">
        <v>752</v>
      </c>
      <c r="F188" s="23" t="s">
        <v>2926</v>
      </c>
      <c r="G188" s="23" t="s">
        <v>2165</v>
      </c>
      <c r="P188" s="23" t="s">
        <v>1166</v>
      </c>
      <c r="Q188" s="140">
        <v>44071</v>
      </c>
      <c r="S188" s="23" t="s">
        <v>312</v>
      </c>
      <c r="T188" s="23" t="s">
        <v>304</v>
      </c>
      <c r="U188" s="23" t="s">
        <v>304</v>
      </c>
      <c r="V188" s="23" t="s">
        <v>298</v>
      </c>
      <c r="W188" s="19" t="s">
        <v>1175</v>
      </c>
      <c r="Y188" s="37">
        <v>4255</v>
      </c>
      <c r="AB188" s="23" t="s">
        <v>1174</v>
      </c>
      <c r="AC188" s="23" t="s">
        <v>123</v>
      </c>
      <c r="AD188" s="118">
        <v>0</v>
      </c>
      <c r="AE188" s="118">
        <v>1</v>
      </c>
      <c r="AF188" s="29" t="s">
        <v>1237</v>
      </c>
      <c r="AG188" s="23" t="s">
        <v>738</v>
      </c>
      <c r="AH188" s="39">
        <v>44070</v>
      </c>
    </row>
    <row r="189" spans="1:34" ht="64">
      <c r="A189" s="62" t="s">
        <v>1178</v>
      </c>
      <c r="B189" s="23" t="s">
        <v>1179</v>
      </c>
      <c r="C189" s="140">
        <v>44064</v>
      </c>
      <c r="D189" s="23" t="s">
        <v>729</v>
      </c>
      <c r="E189" s="23" t="s">
        <v>636</v>
      </c>
      <c r="F189" s="23" t="s">
        <v>456</v>
      </c>
      <c r="Q189" s="140">
        <v>44071</v>
      </c>
      <c r="S189" s="23" t="s">
        <v>300</v>
      </c>
      <c r="T189" s="23" t="s">
        <v>363</v>
      </c>
      <c r="U189" s="23" t="s">
        <v>363</v>
      </c>
      <c r="V189" s="23" t="s">
        <v>298</v>
      </c>
      <c r="W189" s="23" t="s">
        <v>915</v>
      </c>
      <c r="Y189" s="37">
        <v>48000</v>
      </c>
      <c r="AB189" s="19" t="s">
        <v>1180</v>
      </c>
      <c r="AC189" s="23" t="s">
        <v>1181</v>
      </c>
      <c r="AD189" s="118">
        <v>0</v>
      </c>
      <c r="AE189" s="118">
        <v>4</v>
      </c>
      <c r="AF189" s="29" t="s">
        <v>1233</v>
      </c>
      <c r="AG189" s="23" t="s">
        <v>666</v>
      </c>
      <c r="AH189" s="39">
        <v>44071</v>
      </c>
    </row>
    <row r="190" spans="1:34">
      <c r="A190" s="67" t="s">
        <v>1182</v>
      </c>
      <c r="B190" s="23" t="s">
        <v>1183</v>
      </c>
      <c r="C190" s="140">
        <v>44064</v>
      </c>
      <c r="W190" s="23" t="s">
        <v>494</v>
      </c>
      <c r="Y190" s="37">
        <v>22915</v>
      </c>
      <c r="AB190" s="23" t="s">
        <v>1184</v>
      </c>
      <c r="AC190" s="23" t="s">
        <v>1185</v>
      </c>
      <c r="AD190" s="118"/>
      <c r="AE190" s="118"/>
      <c r="AG190" s="23" t="s">
        <v>666</v>
      </c>
      <c r="AH190" s="39"/>
    </row>
    <row r="191" spans="1:34">
      <c r="A191" s="67" t="s">
        <v>1186</v>
      </c>
      <c r="B191" s="23" t="s">
        <v>1187</v>
      </c>
      <c r="C191" s="140">
        <v>44064</v>
      </c>
      <c r="W191" s="23" t="s">
        <v>995</v>
      </c>
      <c r="Y191" s="37">
        <v>21350</v>
      </c>
      <c r="AB191" s="23" t="s">
        <v>1188</v>
      </c>
      <c r="AC191" s="23" t="s">
        <v>1189</v>
      </c>
      <c r="AD191" s="118"/>
      <c r="AE191" s="118"/>
      <c r="AG191" s="23" t="s">
        <v>665</v>
      </c>
      <c r="AH191" s="39"/>
    </row>
    <row r="192" spans="1:34" ht="64">
      <c r="A192" s="62" t="s">
        <v>1190</v>
      </c>
      <c r="B192" s="23" t="s">
        <v>1191</v>
      </c>
      <c r="C192" s="140">
        <v>44061</v>
      </c>
      <c r="D192" s="23" t="s">
        <v>729</v>
      </c>
      <c r="E192" s="23" t="s">
        <v>636</v>
      </c>
      <c r="F192" s="23" t="s">
        <v>456</v>
      </c>
      <c r="Q192" s="140">
        <v>44071</v>
      </c>
      <c r="S192" s="23" t="s">
        <v>300</v>
      </c>
      <c r="T192" s="23" t="s">
        <v>363</v>
      </c>
      <c r="U192" s="23" t="s">
        <v>363</v>
      </c>
      <c r="V192" s="23" t="s">
        <v>298</v>
      </c>
      <c r="W192" s="23" t="s">
        <v>494</v>
      </c>
      <c r="Y192" s="37">
        <v>23800</v>
      </c>
      <c r="AB192" s="23" t="s">
        <v>1192</v>
      </c>
      <c r="AC192" s="23" t="s">
        <v>1068</v>
      </c>
      <c r="AD192" s="118">
        <v>0</v>
      </c>
      <c r="AE192" s="118">
        <v>3</v>
      </c>
      <c r="AF192" s="29" t="s">
        <v>1234</v>
      </c>
      <c r="AG192" s="23" t="s">
        <v>637</v>
      </c>
      <c r="AH192" s="39">
        <v>44071</v>
      </c>
    </row>
    <row r="193" spans="1:39">
      <c r="A193" s="67" t="s">
        <v>1193</v>
      </c>
      <c r="B193" s="23" t="s">
        <v>1194</v>
      </c>
      <c r="C193" s="140">
        <v>44063</v>
      </c>
      <c r="W193" s="23" t="s">
        <v>1139</v>
      </c>
      <c r="Y193" s="37">
        <v>24500</v>
      </c>
      <c r="AB193" s="23" t="s">
        <v>1195</v>
      </c>
      <c r="AC193" s="23" t="s">
        <v>1138</v>
      </c>
      <c r="AD193" s="118"/>
      <c r="AE193" s="118"/>
      <c r="AG193" s="23" t="s">
        <v>1196</v>
      </c>
      <c r="AH193" s="39"/>
    </row>
    <row r="194" spans="1:39">
      <c r="A194" s="67" t="s">
        <v>1197</v>
      </c>
      <c r="B194" s="23" t="s">
        <v>1198</v>
      </c>
      <c r="C194" s="140">
        <v>44065</v>
      </c>
      <c r="W194" s="23" t="s">
        <v>915</v>
      </c>
      <c r="Y194" s="37">
        <v>23000</v>
      </c>
      <c r="AB194" s="23" t="s">
        <v>1199</v>
      </c>
      <c r="AC194" s="23" t="s">
        <v>966</v>
      </c>
      <c r="AD194" s="118"/>
      <c r="AE194" s="118"/>
      <c r="AG194" s="23" t="s">
        <v>637</v>
      </c>
      <c r="AH194" s="39"/>
    </row>
    <row r="195" spans="1:39" ht="64">
      <c r="A195" s="62" t="s">
        <v>1200</v>
      </c>
      <c r="B195" s="23" t="s">
        <v>1201</v>
      </c>
      <c r="C195" s="140">
        <v>44069</v>
      </c>
      <c r="D195" s="23" t="s">
        <v>729</v>
      </c>
      <c r="E195" s="23" t="s">
        <v>636</v>
      </c>
      <c r="F195" s="23" t="s">
        <v>456</v>
      </c>
      <c r="Q195" s="140">
        <v>44074</v>
      </c>
      <c r="S195" s="23" t="s">
        <v>300</v>
      </c>
      <c r="T195" s="23" t="s">
        <v>363</v>
      </c>
      <c r="U195" s="23" t="s">
        <v>363</v>
      </c>
      <c r="V195" s="23" t="s">
        <v>298</v>
      </c>
      <c r="W195" s="23" t="s">
        <v>830</v>
      </c>
      <c r="Y195" s="37">
        <v>23800</v>
      </c>
      <c r="AB195" s="23" t="s">
        <v>1202</v>
      </c>
      <c r="AC195" s="23" t="s">
        <v>1203</v>
      </c>
      <c r="AD195" s="118">
        <v>0</v>
      </c>
      <c r="AE195" s="118">
        <v>5</v>
      </c>
      <c r="AF195" s="29" t="s">
        <v>1270</v>
      </c>
      <c r="AG195" s="23" t="s">
        <v>666</v>
      </c>
      <c r="AH195" s="39">
        <v>44074</v>
      </c>
    </row>
    <row r="196" spans="1:39">
      <c r="A196" s="67" t="s">
        <v>1204</v>
      </c>
      <c r="B196" s="23" t="s">
        <v>1205</v>
      </c>
      <c r="C196" s="140">
        <v>44069</v>
      </c>
      <c r="W196" s="23" t="s">
        <v>915</v>
      </c>
      <c r="Y196" s="37">
        <v>24000</v>
      </c>
      <c r="AB196" s="23" t="s">
        <v>1206</v>
      </c>
      <c r="AC196" s="23" t="s">
        <v>1106</v>
      </c>
      <c r="AD196" s="118"/>
      <c r="AE196" s="118"/>
      <c r="AG196" s="23" t="s">
        <v>666</v>
      </c>
      <c r="AH196" s="39"/>
    </row>
    <row r="197" spans="1:39" ht="64">
      <c r="A197" s="67" t="s">
        <v>1207</v>
      </c>
      <c r="B197" s="23" t="s">
        <v>1208</v>
      </c>
      <c r="C197" s="140">
        <v>44068</v>
      </c>
      <c r="W197" s="23" t="s">
        <v>494</v>
      </c>
      <c r="Y197" s="37">
        <v>44137</v>
      </c>
      <c r="AB197" s="19" t="s">
        <v>1209</v>
      </c>
      <c r="AC197" s="23" t="s">
        <v>1210</v>
      </c>
      <c r="AD197" s="118"/>
      <c r="AE197" s="118"/>
      <c r="AG197" s="23" t="s">
        <v>666</v>
      </c>
      <c r="AH197" s="39"/>
    </row>
    <row r="198" spans="1:39">
      <c r="A198" s="67" t="s">
        <v>1211</v>
      </c>
      <c r="B198" s="23" t="s">
        <v>1212</v>
      </c>
      <c r="C198" s="140">
        <v>44069</v>
      </c>
      <c r="W198" s="23" t="s">
        <v>915</v>
      </c>
      <c r="Y198" s="37">
        <v>24500</v>
      </c>
      <c r="AB198" s="23" t="s">
        <v>1213</v>
      </c>
      <c r="AC198" s="23" t="s">
        <v>1214</v>
      </c>
      <c r="AD198" s="118"/>
      <c r="AE198" s="118"/>
      <c r="AG198" s="23" t="s">
        <v>666</v>
      </c>
      <c r="AH198" s="39"/>
    </row>
    <row r="199" spans="1:39" ht="64">
      <c r="A199" s="62" t="s">
        <v>1215</v>
      </c>
      <c r="B199" s="23" t="s">
        <v>1216</v>
      </c>
      <c r="C199" s="140">
        <v>44069</v>
      </c>
      <c r="D199" s="23" t="s">
        <v>729</v>
      </c>
      <c r="E199" s="23" t="s">
        <v>636</v>
      </c>
      <c r="F199" s="23" t="s">
        <v>456</v>
      </c>
      <c r="Q199" s="140">
        <v>44074</v>
      </c>
      <c r="S199" s="23" t="s">
        <v>300</v>
      </c>
      <c r="T199" s="23" t="s">
        <v>363</v>
      </c>
      <c r="U199" s="23" t="s">
        <v>363</v>
      </c>
      <c r="V199" s="23" t="s">
        <v>298</v>
      </c>
      <c r="W199" s="23" t="s">
        <v>1139</v>
      </c>
      <c r="Y199" s="37">
        <v>24500</v>
      </c>
      <c r="AB199" s="23" t="s">
        <v>1217</v>
      </c>
      <c r="AC199" s="23" t="s">
        <v>1138</v>
      </c>
      <c r="AD199" s="118">
        <v>0</v>
      </c>
      <c r="AE199" s="118">
        <v>3</v>
      </c>
      <c r="AF199" s="29" t="s">
        <v>1271</v>
      </c>
      <c r="AG199" s="23" t="s">
        <v>1196</v>
      </c>
      <c r="AH199" s="39">
        <v>44074</v>
      </c>
    </row>
    <row r="200" spans="1:39">
      <c r="A200" s="67" t="s">
        <v>1218</v>
      </c>
      <c r="B200" s="27" t="s">
        <v>1219</v>
      </c>
      <c r="C200" s="140">
        <v>44068</v>
      </c>
      <c r="W200" s="23" t="s">
        <v>995</v>
      </c>
      <c r="Y200" s="37">
        <v>21350</v>
      </c>
      <c r="AB200" s="23" t="s">
        <v>1220</v>
      </c>
      <c r="AC200" s="23" t="s">
        <v>1189</v>
      </c>
      <c r="AD200" s="118"/>
      <c r="AE200" s="118"/>
      <c r="AG200" s="23" t="s">
        <v>665</v>
      </c>
      <c r="AH200" s="39"/>
    </row>
    <row r="201" spans="1:39">
      <c r="A201" s="67" t="s">
        <v>1221</v>
      </c>
      <c r="B201" s="23" t="s">
        <v>1222</v>
      </c>
      <c r="C201" s="140">
        <v>44067</v>
      </c>
      <c r="W201" s="23" t="s">
        <v>1066</v>
      </c>
      <c r="Y201" s="37">
        <v>21520</v>
      </c>
      <c r="AB201" s="23" t="s">
        <v>1223</v>
      </c>
      <c r="AC201" s="23" t="s">
        <v>1224</v>
      </c>
      <c r="AD201" s="118"/>
      <c r="AE201" s="118"/>
      <c r="AG201" s="23" t="s">
        <v>637</v>
      </c>
      <c r="AH201" s="39"/>
    </row>
    <row r="202" spans="1:39" ht="160">
      <c r="A202" s="63" t="s">
        <v>1240</v>
      </c>
      <c r="B202" s="23" t="s">
        <v>1241</v>
      </c>
      <c r="C202" s="140">
        <v>44071</v>
      </c>
      <c r="D202" s="23" t="s">
        <v>729</v>
      </c>
      <c r="E202" s="23" t="s">
        <v>752</v>
      </c>
      <c r="F202" s="23" t="s">
        <v>57</v>
      </c>
      <c r="G202" s="23" t="s">
        <v>83</v>
      </c>
      <c r="H202" s="27" t="s">
        <v>1243</v>
      </c>
      <c r="I202" s="27" t="s">
        <v>1243</v>
      </c>
      <c r="J202" s="140">
        <v>44063</v>
      </c>
      <c r="P202" s="23" t="s">
        <v>1242</v>
      </c>
      <c r="Q202" s="140">
        <v>44073</v>
      </c>
      <c r="S202" s="23" t="s">
        <v>184</v>
      </c>
      <c r="T202" s="23" t="s">
        <v>302</v>
      </c>
      <c r="U202" s="23" t="s">
        <v>302</v>
      </c>
      <c r="V202" s="23" t="s">
        <v>233</v>
      </c>
      <c r="W202" s="23" t="s">
        <v>1244</v>
      </c>
      <c r="X202" s="37">
        <v>5067</v>
      </c>
      <c r="Y202" s="37">
        <v>5155</v>
      </c>
      <c r="Z202" s="37">
        <v>153600</v>
      </c>
      <c r="AB202" s="23" t="s">
        <v>1245</v>
      </c>
      <c r="AC202" s="23" t="s">
        <v>1246</v>
      </c>
      <c r="AD202" s="118">
        <v>1</v>
      </c>
      <c r="AE202" s="118">
        <v>0</v>
      </c>
      <c r="AF202" s="29" t="s">
        <v>1303</v>
      </c>
      <c r="AG202" s="23" t="s">
        <v>787</v>
      </c>
      <c r="AH202" s="39">
        <v>44075</v>
      </c>
      <c r="AJ202" s="75" t="s">
        <v>5359</v>
      </c>
      <c r="AL202" s="23" t="s">
        <v>5360</v>
      </c>
      <c r="AM202" s="102">
        <v>44077</v>
      </c>
    </row>
    <row r="203" spans="1:39" ht="64">
      <c r="A203" s="62" t="s">
        <v>1247</v>
      </c>
      <c r="B203" s="23" t="s">
        <v>1248</v>
      </c>
      <c r="C203" s="140">
        <v>44069</v>
      </c>
      <c r="D203" s="23" t="s">
        <v>729</v>
      </c>
      <c r="E203" s="23" t="s">
        <v>636</v>
      </c>
      <c r="F203" s="23" t="s">
        <v>456</v>
      </c>
      <c r="Q203" s="140">
        <v>44077</v>
      </c>
      <c r="S203" s="23" t="s">
        <v>300</v>
      </c>
      <c r="T203" s="23" t="s">
        <v>363</v>
      </c>
      <c r="U203" s="23" t="s">
        <v>363</v>
      </c>
      <c r="V203" s="23" t="s">
        <v>298</v>
      </c>
      <c r="W203" s="23" t="s">
        <v>1139</v>
      </c>
      <c r="Y203" s="37">
        <v>49000</v>
      </c>
      <c r="AB203" s="19" t="s">
        <v>1249</v>
      </c>
      <c r="AC203" s="23" t="s">
        <v>1250</v>
      </c>
      <c r="AD203" s="118">
        <v>0</v>
      </c>
      <c r="AE203" s="118">
        <v>2</v>
      </c>
      <c r="AF203" s="29" t="s">
        <v>1298</v>
      </c>
      <c r="AG203" s="23" t="s">
        <v>1196</v>
      </c>
      <c r="AH203" s="39">
        <v>44077</v>
      </c>
    </row>
    <row r="204" spans="1:39" ht="64">
      <c r="A204" s="62" t="s">
        <v>1251</v>
      </c>
      <c r="B204" s="23" t="s">
        <v>1252</v>
      </c>
      <c r="C204" s="140">
        <v>44069</v>
      </c>
      <c r="D204" s="23" t="s">
        <v>729</v>
      </c>
      <c r="E204" s="23" t="s">
        <v>636</v>
      </c>
      <c r="F204" s="23" t="s">
        <v>456</v>
      </c>
      <c r="Q204" s="140">
        <v>44078</v>
      </c>
      <c r="S204" s="23" t="s">
        <v>300</v>
      </c>
      <c r="T204" s="23" t="s">
        <v>363</v>
      </c>
      <c r="U204" s="23" t="s">
        <v>363</v>
      </c>
      <c r="V204" s="23" t="s">
        <v>298</v>
      </c>
      <c r="W204" s="23" t="s">
        <v>682</v>
      </c>
      <c r="Y204" s="37">
        <v>8840</v>
      </c>
      <c r="AB204" s="23" t="s">
        <v>1253</v>
      </c>
      <c r="AC204" s="23" t="s">
        <v>1254</v>
      </c>
      <c r="AD204" s="118">
        <v>0</v>
      </c>
      <c r="AE204" s="118">
        <v>4</v>
      </c>
      <c r="AF204" s="29" t="s">
        <v>1299</v>
      </c>
      <c r="AG204" s="23" t="s">
        <v>637</v>
      </c>
      <c r="AH204" s="39">
        <v>44077</v>
      </c>
    </row>
    <row r="205" spans="1:39">
      <c r="A205" s="67" t="s">
        <v>1255</v>
      </c>
      <c r="B205" s="23" t="s">
        <v>1256</v>
      </c>
      <c r="C205" s="140">
        <v>44069</v>
      </c>
      <c r="W205" s="23" t="s">
        <v>494</v>
      </c>
      <c r="Y205" s="37">
        <v>25020</v>
      </c>
      <c r="AB205" s="23" t="s">
        <v>1257</v>
      </c>
      <c r="AC205" s="23" t="s">
        <v>1258</v>
      </c>
      <c r="AD205" s="118"/>
      <c r="AE205" s="118"/>
      <c r="AG205" s="23" t="s">
        <v>1196</v>
      </c>
      <c r="AH205" s="39"/>
    </row>
    <row r="206" spans="1:39" ht="64">
      <c r="A206" s="67" t="s">
        <v>1259</v>
      </c>
      <c r="B206" s="23" t="s">
        <v>1260</v>
      </c>
      <c r="C206" s="140">
        <v>44069</v>
      </c>
      <c r="W206" s="23" t="s">
        <v>915</v>
      </c>
      <c r="Y206" s="37">
        <v>46000</v>
      </c>
      <c r="AB206" s="19" t="s">
        <v>1261</v>
      </c>
      <c r="AC206" s="23" t="s">
        <v>1147</v>
      </c>
      <c r="AD206" s="118"/>
      <c r="AE206" s="118"/>
      <c r="AG206" s="23" t="s">
        <v>637</v>
      </c>
      <c r="AH206" s="39"/>
    </row>
    <row r="207" spans="1:39" ht="64">
      <c r="A207" s="62" t="s">
        <v>1262</v>
      </c>
      <c r="B207" s="23" t="s">
        <v>1263</v>
      </c>
      <c r="C207" s="140">
        <v>44071</v>
      </c>
      <c r="D207" s="23" t="s">
        <v>729</v>
      </c>
      <c r="E207" s="23" t="s">
        <v>636</v>
      </c>
      <c r="F207" s="23" t="s">
        <v>456</v>
      </c>
      <c r="Q207" s="140">
        <v>44078</v>
      </c>
      <c r="S207" s="23" t="s">
        <v>300</v>
      </c>
      <c r="T207" s="23" t="s">
        <v>363</v>
      </c>
      <c r="U207" s="23" t="s">
        <v>363</v>
      </c>
      <c r="V207" s="23" t="s">
        <v>298</v>
      </c>
      <c r="W207" s="23" t="s">
        <v>915</v>
      </c>
      <c r="Y207" s="37">
        <v>24200</v>
      </c>
      <c r="AB207" s="23" t="s">
        <v>1264</v>
      </c>
      <c r="AC207" s="23" t="s">
        <v>1265</v>
      </c>
      <c r="AD207" s="118">
        <v>0</v>
      </c>
      <c r="AE207" s="118">
        <v>2</v>
      </c>
      <c r="AF207" s="29" t="s">
        <v>1300</v>
      </c>
      <c r="AG207" s="23" t="s">
        <v>666</v>
      </c>
      <c r="AH207" s="39">
        <v>44077</v>
      </c>
    </row>
    <row r="208" spans="1:39">
      <c r="A208" s="67" t="s">
        <v>1266</v>
      </c>
      <c r="B208" s="23" t="s">
        <v>1267</v>
      </c>
      <c r="C208" s="140">
        <v>44071</v>
      </c>
      <c r="W208" s="23" t="s">
        <v>494</v>
      </c>
      <c r="Y208" s="37">
        <v>21795</v>
      </c>
      <c r="AB208" s="23" t="s">
        <v>1268</v>
      </c>
      <c r="AC208" s="23" t="s">
        <v>1269</v>
      </c>
      <c r="AD208" s="118"/>
      <c r="AE208" s="118"/>
      <c r="AG208" s="23" t="s">
        <v>666</v>
      </c>
    </row>
    <row r="209" spans="1:39" ht="64">
      <c r="A209" s="62" t="s">
        <v>1275</v>
      </c>
      <c r="B209" s="23">
        <v>204651133</v>
      </c>
      <c r="C209" s="140">
        <v>44074</v>
      </c>
      <c r="D209" s="23" t="s">
        <v>729</v>
      </c>
      <c r="E209" s="23" t="s">
        <v>636</v>
      </c>
      <c r="F209" s="23" t="s">
        <v>456</v>
      </c>
      <c r="Q209" s="140">
        <v>44079</v>
      </c>
      <c r="S209" s="23" t="s">
        <v>300</v>
      </c>
      <c r="T209" s="23" t="s">
        <v>363</v>
      </c>
      <c r="U209" s="23" t="s">
        <v>363</v>
      </c>
      <c r="V209" s="23" t="s">
        <v>298</v>
      </c>
      <c r="W209" s="23" t="s">
        <v>995</v>
      </c>
      <c r="Y209" s="37">
        <v>22750</v>
      </c>
      <c r="AB209" s="23" t="s">
        <v>1276</v>
      </c>
      <c r="AC209" s="23" t="s">
        <v>1277</v>
      </c>
      <c r="AD209" s="118">
        <v>0</v>
      </c>
      <c r="AE209" s="118">
        <v>5</v>
      </c>
      <c r="AF209" s="29" t="s">
        <v>1301</v>
      </c>
      <c r="AG209" s="23" t="s">
        <v>665</v>
      </c>
      <c r="AH209" s="39">
        <v>44078</v>
      </c>
    </row>
    <row r="210" spans="1:39">
      <c r="A210" s="67" t="s">
        <v>1278</v>
      </c>
      <c r="B210" s="23" t="s">
        <v>1279</v>
      </c>
      <c r="C210" s="140">
        <v>44076</v>
      </c>
      <c r="W210" s="23" t="s">
        <v>1139</v>
      </c>
      <c r="Y210" s="37">
        <v>24500</v>
      </c>
      <c r="AB210" s="23" t="s">
        <v>1280</v>
      </c>
      <c r="AC210" s="23" t="s">
        <v>1281</v>
      </c>
      <c r="AD210" s="118"/>
      <c r="AE210" s="118"/>
      <c r="AG210" s="23" t="s">
        <v>666</v>
      </c>
    </row>
    <row r="211" spans="1:39">
      <c r="A211" s="67" t="s">
        <v>1283</v>
      </c>
      <c r="B211" s="23" t="s">
        <v>1282</v>
      </c>
      <c r="C211" s="140">
        <v>44076</v>
      </c>
      <c r="W211" s="23" t="s">
        <v>830</v>
      </c>
      <c r="Y211" s="37">
        <v>23750</v>
      </c>
      <c r="AB211" s="23" t="s">
        <v>1284</v>
      </c>
      <c r="AC211" s="23" t="s">
        <v>1285</v>
      </c>
      <c r="AD211" s="118"/>
      <c r="AE211" s="118"/>
      <c r="AG211" s="23" t="s">
        <v>665</v>
      </c>
    </row>
    <row r="212" spans="1:39" ht="64">
      <c r="A212" s="67" t="s">
        <v>1286</v>
      </c>
      <c r="B212" s="23" t="s">
        <v>1287</v>
      </c>
      <c r="C212" s="140">
        <v>44076</v>
      </c>
      <c r="W212" s="23" t="s">
        <v>494</v>
      </c>
      <c r="Y212" s="37">
        <v>41500</v>
      </c>
      <c r="AB212" s="19" t="s">
        <v>1288</v>
      </c>
      <c r="AC212" s="23" t="s">
        <v>1289</v>
      </c>
      <c r="AD212" s="118"/>
      <c r="AE212" s="118"/>
      <c r="AG212" s="23" t="s">
        <v>666</v>
      </c>
    </row>
    <row r="213" spans="1:39" ht="64">
      <c r="A213" s="62" t="s">
        <v>1290</v>
      </c>
      <c r="B213" s="23" t="s">
        <v>1291</v>
      </c>
      <c r="C213" s="140">
        <v>44076</v>
      </c>
      <c r="D213" s="23" t="s">
        <v>729</v>
      </c>
      <c r="E213" s="23" t="s">
        <v>636</v>
      </c>
      <c r="F213" s="23" t="s">
        <v>456</v>
      </c>
      <c r="Q213" s="140">
        <v>44081</v>
      </c>
      <c r="S213" s="23" t="s">
        <v>300</v>
      </c>
      <c r="T213" s="23" t="s">
        <v>363</v>
      </c>
      <c r="U213" s="23" t="s">
        <v>363</v>
      </c>
      <c r="V213" s="23" t="s">
        <v>298</v>
      </c>
      <c r="W213" s="23" t="s">
        <v>494</v>
      </c>
      <c r="Y213" s="37">
        <v>20900</v>
      </c>
      <c r="AB213" s="23" t="s">
        <v>1292</v>
      </c>
      <c r="AC213" s="23" t="s">
        <v>1293</v>
      </c>
      <c r="AD213" s="118">
        <v>0</v>
      </c>
      <c r="AE213" s="118">
        <v>3</v>
      </c>
      <c r="AF213" s="29" t="s">
        <v>1320</v>
      </c>
      <c r="AG213" s="23" t="s">
        <v>666</v>
      </c>
      <c r="AH213" s="39">
        <v>44081</v>
      </c>
    </row>
    <row r="214" spans="1:39" ht="64">
      <c r="A214" s="67" t="s">
        <v>1294</v>
      </c>
      <c r="B214" s="23" t="s">
        <v>1295</v>
      </c>
      <c r="C214" s="140">
        <v>44076</v>
      </c>
      <c r="W214" s="23" t="s">
        <v>1139</v>
      </c>
      <c r="Y214" s="37">
        <v>49000</v>
      </c>
      <c r="AB214" s="19" t="s">
        <v>1296</v>
      </c>
      <c r="AC214" s="23" t="s">
        <v>1297</v>
      </c>
      <c r="AD214" s="118"/>
      <c r="AE214" s="118"/>
      <c r="AG214" s="23" t="s">
        <v>1196</v>
      </c>
    </row>
    <row r="215" spans="1:39" ht="64">
      <c r="A215" s="62" t="s">
        <v>1306</v>
      </c>
      <c r="B215" s="23" t="s">
        <v>1307</v>
      </c>
      <c r="C215" s="140">
        <v>44079</v>
      </c>
      <c r="D215" s="23" t="s">
        <v>729</v>
      </c>
      <c r="E215" s="23" t="s">
        <v>636</v>
      </c>
      <c r="F215" s="23" t="s">
        <v>456</v>
      </c>
      <c r="Q215" s="140">
        <v>44083</v>
      </c>
      <c r="S215" s="23" t="s">
        <v>300</v>
      </c>
      <c r="T215" s="23" t="s">
        <v>363</v>
      </c>
      <c r="U215" s="23" t="s">
        <v>363</v>
      </c>
      <c r="V215" s="23" t="s">
        <v>298</v>
      </c>
      <c r="W215" s="23" t="s">
        <v>1066</v>
      </c>
      <c r="Y215" s="37">
        <v>44140</v>
      </c>
      <c r="AB215" s="19" t="s">
        <v>1308</v>
      </c>
      <c r="AC215" s="23" t="s">
        <v>1309</v>
      </c>
      <c r="AD215" s="118">
        <v>0</v>
      </c>
      <c r="AE215" s="118">
        <v>2</v>
      </c>
      <c r="AF215" s="29" t="s">
        <v>1318</v>
      </c>
      <c r="AG215" s="23" t="s">
        <v>637</v>
      </c>
      <c r="AH215" s="39">
        <v>44083</v>
      </c>
    </row>
    <row r="216" spans="1:39" ht="64">
      <c r="A216" s="62" t="s">
        <v>1310</v>
      </c>
      <c r="B216" s="23" t="s">
        <v>1311</v>
      </c>
      <c r="C216" s="140">
        <v>44079</v>
      </c>
      <c r="D216" s="23" t="s">
        <v>729</v>
      </c>
      <c r="E216" s="23" t="s">
        <v>636</v>
      </c>
      <c r="F216" s="23" t="s">
        <v>456</v>
      </c>
      <c r="Q216" s="140">
        <v>44084</v>
      </c>
      <c r="S216" s="23" t="s">
        <v>300</v>
      </c>
      <c r="T216" s="23" t="s">
        <v>363</v>
      </c>
      <c r="U216" s="23" t="s">
        <v>363</v>
      </c>
      <c r="V216" s="23" t="s">
        <v>298</v>
      </c>
      <c r="W216" s="23" t="s">
        <v>1066</v>
      </c>
      <c r="Y216" s="37">
        <v>21170</v>
      </c>
      <c r="AB216" s="23" t="s">
        <v>1312</v>
      </c>
      <c r="AC216" s="23" t="s">
        <v>1313</v>
      </c>
      <c r="AD216" s="118">
        <v>0</v>
      </c>
      <c r="AE216" s="118">
        <v>1</v>
      </c>
      <c r="AF216" s="29" t="s">
        <v>1319</v>
      </c>
      <c r="AG216" s="23" t="s">
        <v>666</v>
      </c>
      <c r="AH216" s="39">
        <v>44083</v>
      </c>
    </row>
    <row r="217" spans="1:39" ht="96">
      <c r="A217" s="62" t="s">
        <v>1314</v>
      </c>
      <c r="B217" s="23" t="s">
        <v>1315</v>
      </c>
      <c r="C217" s="140">
        <v>44039</v>
      </c>
      <c r="D217" s="23" t="s">
        <v>729</v>
      </c>
      <c r="E217" s="23" t="s">
        <v>752</v>
      </c>
      <c r="F217" s="23" t="s">
        <v>2926</v>
      </c>
      <c r="G217" s="23" t="s">
        <v>2165</v>
      </c>
      <c r="Q217" s="140">
        <v>44085</v>
      </c>
      <c r="S217" s="23" t="s">
        <v>312</v>
      </c>
      <c r="T217" s="23" t="s">
        <v>304</v>
      </c>
      <c r="U217" s="23" t="s">
        <v>304</v>
      </c>
      <c r="V217" s="23" t="s">
        <v>298</v>
      </c>
      <c r="W217" s="19" t="s">
        <v>1317</v>
      </c>
      <c r="Y217" s="37">
        <v>4255</v>
      </c>
      <c r="AB217" s="19" t="s">
        <v>1316</v>
      </c>
      <c r="AC217" s="23" t="s">
        <v>123</v>
      </c>
      <c r="AD217" s="118">
        <v>0</v>
      </c>
      <c r="AE217" s="118">
        <v>1</v>
      </c>
      <c r="AF217" s="45" t="s">
        <v>1319</v>
      </c>
      <c r="AG217" s="23" t="s">
        <v>738</v>
      </c>
      <c r="AH217" s="39">
        <v>44083</v>
      </c>
    </row>
    <row r="218" spans="1:39" ht="64">
      <c r="A218" s="62" t="s">
        <v>1326</v>
      </c>
      <c r="B218" s="23" t="s">
        <v>1323</v>
      </c>
      <c r="C218" s="140">
        <v>44083</v>
      </c>
      <c r="D218" s="23" t="s">
        <v>729</v>
      </c>
      <c r="E218" s="23" t="s">
        <v>636</v>
      </c>
      <c r="F218" s="23" t="s">
        <v>456</v>
      </c>
      <c r="Q218" s="140">
        <v>44086</v>
      </c>
      <c r="S218" s="23" t="s">
        <v>300</v>
      </c>
      <c r="T218" s="23" t="s">
        <v>363</v>
      </c>
      <c r="U218" s="23" t="s">
        <v>363</v>
      </c>
      <c r="V218" s="23" t="s">
        <v>298</v>
      </c>
      <c r="W218" s="23" t="s">
        <v>915</v>
      </c>
      <c r="Y218" s="37">
        <v>53300</v>
      </c>
      <c r="AB218" s="19" t="s">
        <v>1324</v>
      </c>
      <c r="AC218" s="23" t="s">
        <v>1325</v>
      </c>
      <c r="AD218" s="118">
        <v>0</v>
      </c>
      <c r="AE218" s="118">
        <v>2</v>
      </c>
      <c r="AF218" s="29" t="s">
        <v>1396</v>
      </c>
      <c r="AG218" s="23" t="s">
        <v>637</v>
      </c>
      <c r="AH218" s="39">
        <v>44084</v>
      </c>
    </row>
    <row r="219" spans="1:39" ht="64">
      <c r="A219" s="62" t="s">
        <v>1327</v>
      </c>
      <c r="B219" s="23" t="s">
        <v>1328</v>
      </c>
      <c r="C219" s="140">
        <v>44081</v>
      </c>
      <c r="D219" s="23" t="s">
        <v>729</v>
      </c>
      <c r="E219" s="23" t="s">
        <v>636</v>
      </c>
      <c r="F219" s="23" t="s">
        <v>456</v>
      </c>
      <c r="Q219" s="140">
        <v>44086</v>
      </c>
      <c r="S219" s="23" t="s">
        <v>300</v>
      </c>
      <c r="T219" s="23" t="s">
        <v>363</v>
      </c>
      <c r="U219" s="23" t="s">
        <v>363</v>
      </c>
      <c r="V219" s="23" t="s">
        <v>298</v>
      </c>
      <c r="W219" s="23" t="s">
        <v>1139</v>
      </c>
      <c r="Y219" s="37">
        <v>24500</v>
      </c>
      <c r="AB219" s="23" t="s">
        <v>1329</v>
      </c>
      <c r="AC219" s="23" t="s">
        <v>1330</v>
      </c>
      <c r="AD219" s="118">
        <v>0</v>
      </c>
      <c r="AE219" s="118">
        <v>1</v>
      </c>
      <c r="AF219" s="29" t="s">
        <v>1397</v>
      </c>
      <c r="AG219" s="23" t="s">
        <v>1196</v>
      </c>
      <c r="AH219" s="39">
        <v>44084</v>
      </c>
    </row>
    <row r="220" spans="1:39" ht="64">
      <c r="A220" s="62" t="s">
        <v>1331</v>
      </c>
      <c r="B220" s="23" t="s">
        <v>1332</v>
      </c>
      <c r="C220" s="140">
        <v>44083</v>
      </c>
      <c r="D220" s="23" t="s">
        <v>729</v>
      </c>
      <c r="E220" s="23" t="s">
        <v>636</v>
      </c>
      <c r="F220" s="23" t="s">
        <v>456</v>
      </c>
      <c r="Q220" s="140">
        <v>44087</v>
      </c>
      <c r="S220" s="23" t="s">
        <v>300</v>
      </c>
      <c r="T220" s="23" t="s">
        <v>363</v>
      </c>
      <c r="U220" s="23" t="s">
        <v>363</v>
      </c>
      <c r="V220" s="23" t="s">
        <v>298</v>
      </c>
      <c r="W220" s="23" t="s">
        <v>494</v>
      </c>
      <c r="Y220" s="37">
        <v>44060</v>
      </c>
      <c r="AB220" s="19" t="s">
        <v>1333</v>
      </c>
      <c r="AC220" s="23" t="s">
        <v>1334</v>
      </c>
      <c r="AD220" s="118">
        <v>0</v>
      </c>
      <c r="AE220" s="118">
        <v>2</v>
      </c>
      <c r="AF220" s="29" t="s">
        <v>1398</v>
      </c>
      <c r="AG220" s="23" t="s">
        <v>666</v>
      </c>
      <c r="AH220" s="39">
        <v>44084</v>
      </c>
    </row>
    <row r="221" spans="1:39" ht="64">
      <c r="A221" s="62" t="s">
        <v>1335</v>
      </c>
      <c r="B221" s="23" t="s">
        <v>1336</v>
      </c>
      <c r="C221" s="140">
        <v>44083</v>
      </c>
      <c r="D221" s="23" t="s">
        <v>729</v>
      </c>
      <c r="E221" s="23" t="s">
        <v>636</v>
      </c>
      <c r="F221" s="23" t="s">
        <v>456</v>
      </c>
      <c r="Q221" s="140">
        <v>44087</v>
      </c>
      <c r="S221" s="23" t="s">
        <v>300</v>
      </c>
      <c r="T221" s="23" t="s">
        <v>363</v>
      </c>
      <c r="U221" s="23" t="s">
        <v>363</v>
      </c>
      <c r="V221" s="23" t="s">
        <v>298</v>
      </c>
      <c r="W221" s="23" t="s">
        <v>995</v>
      </c>
      <c r="Y221" s="37">
        <v>24850</v>
      </c>
      <c r="AB221" s="23" t="s">
        <v>1337</v>
      </c>
      <c r="AC221" s="23" t="s">
        <v>1338</v>
      </c>
      <c r="AD221" s="118">
        <v>0</v>
      </c>
      <c r="AE221" s="118">
        <v>1</v>
      </c>
      <c r="AF221" s="29" t="s">
        <v>1399</v>
      </c>
      <c r="AG221" s="23" t="s">
        <v>665</v>
      </c>
      <c r="AH221" s="39">
        <v>44084</v>
      </c>
    </row>
    <row r="222" spans="1:39" ht="64">
      <c r="A222" s="62" t="s">
        <v>1339</v>
      </c>
      <c r="B222" s="23" t="s">
        <v>1340</v>
      </c>
      <c r="C222" s="140">
        <v>44081</v>
      </c>
      <c r="D222" s="23" t="s">
        <v>729</v>
      </c>
      <c r="E222" s="23" t="s">
        <v>636</v>
      </c>
      <c r="F222" s="23" t="s">
        <v>456</v>
      </c>
      <c r="Q222" s="140">
        <v>44087</v>
      </c>
      <c r="S222" s="23" t="s">
        <v>300</v>
      </c>
      <c r="T222" s="23" t="s">
        <v>363</v>
      </c>
      <c r="U222" s="23" t="s">
        <v>363</v>
      </c>
      <c r="V222" s="23" t="s">
        <v>298</v>
      </c>
      <c r="W222" s="23" t="s">
        <v>1066</v>
      </c>
      <c r="Y222" s="37">
        <v>20060</v>
      </c>
      <c r="AB222" s="23" t="s">
        <v>1341</v>
      </c>
      <c r="AC222" s="23" t="s">
        <v>1342</v>
      </c>
      <c r="AD222" s="118">
        <v>0</v>
      </c>
      <c r="AE222" s="118">
        <v>2</v>
      </c>
      <c r="AF222" s="29" t="s">
        <v>1400</v>
      </c>
      <c r="AG222" s="23" t="s">
        <v>666</v>
      </c>
      <c r="AH222" s="39">
        <v>44084</v>
      </c>
    </row>
    <row r="223" spans="1:39">
      <c r="A223" s="67" t="s">
        <v>1345</v>
      </c>
      <c r="B223" s="23" t="s">
        <v>1343</v>
      </c>
      <c r="C223" s="140">
        <v>44081</v>
      </c>
      <c r="D223" s="23" t="s">
        <v>729</v>
      </c>
      <c r="E223" s="23" t="s">
        <v>636</v>
      </c>
      <c r="F223" s="23" t="s">
        <v>456</v>
      </c>
      <c r="Q223" s="140">
        <v>44087</v>
      </c>
      <c r="S223" s="23" t="s">
        <v>300</v>
      </c>
      <c r="T223" s="23" t="s">
        <v>363</v>
      </c>
      <c r="U223" s="23" t="s">
        <v>363</v>
      </c>
      <c r="V223" s="23" t="s">
        <v>298</v>
      </c>
      <c r="W223" s="23" t="s">
        <v>830</v>
      </c>
      <c r="Y223" s="37">
        <v>23750</v>
      </c>
      <c r="AB223" s="23" t="s">
        <v>1344</v>
      </c>
      <c r="AC223" s="23" t="s">
        <v>1285</v>
      </c>
      <c r="AD223" s="118"/>
      <c r="AE223" s="118"/>
      <c r="AG223" s="23" t="s">
        <v>637</v>
      </c>
      <c r="AH223" s="39">
        <v>44084</v>
      </c>
    </row>
    <row r="224" spans="1:39">
      <c r="A224" s="63" t="s">
        <v>1346</v>
      </c>
      <c r="B224" s="23" t="s">
        <v>1347</v>
      </c>
      <c r="C224" s="140">
        <v>44084</v>
      </c>
      <c r="D224" s="23" t="s">
        <v>729</v>
      </c>
      <c r="E224" s="23" t="s">
        <v>752</v>
      </c>
      <c r="F224" s="23" t="s">
        <v>57</v>
      </c>
      <c r="G224" s="23" t="s">
        <v>83</v>
      </c>
      <c r="H224" s="23" t="s">
        <v>1348</v>
      </c>
      <c r="I224" s="23" t="s">
        <v>1348</v>
      </c>
      <c r="J224" s="140">
        <v>44082</v>
      </c>
      <c r="K224" s="23" t="s">
        <v>1395</v>
      </c>
      <c r="L224" s="140">
        <v>44088</v>
      </c>
      <c r="P224" s="23" t="s">
        <v>1349</v>
      </c>
      <c r="Q224" s="140">
        <v>44086</v>
      </c>
      <c r="S224" s="23" t="s">
        <v>184</v>
      </c>
      <c r="T224" s="23" t="s">
        <v>302</v>
      </c>
      <c r="U224" s="23" t="s">
        <v>302</v>
      </c>
      <c r="V224" s="23" t="s">
        <v>233</v>
      </c>
      <c r="W224" s="23" t="s">
        <v>284</v>
      </c>
      <c r="X224" s="37">
        <v>8406</v>
      </c>
      <c r="Y224" s="37">
        <v>8706</v>
      </c>
      <c r="Z224" s="44">
        <v>12316.99</v>
      </c>
      <c r="AA224" s="44">
        <v>11318.06</v>
      </c>
      <c r="AB224" s="23" t="s">
        <v>1350</v>
      </c>
      <c r="AC224" s="23" t="s">
        <v>395</v>
      </c>
      <c r="AD224" s="118">
        <v>0</v>
      </c>
      <c r="AE224" s="118">
        <v>1</v>
      </c>
      <c r="AF224" s="27" t="s">
        <v>1401</v>
      </c>
      <c r="AG224" s="23" t="s">
        <v>787</v>
      </c>
      <c r="AH224" s="39">
        <v>44088</v>
      </c>
      <c r="AJ224" s="75" t="s">
        <v>5367</v>
      </c>
      <c r="AL224" s="23" t="s">
        <v>5344</v>
      </c>
      <c r="AM224" s="102">
        <v>44096</v>
      </c>
    </row>
    <row r="225" spans="1:34" ht="64">
      <c r="A225" s="62" t="s">
        <v>1351</v>
      </c>
      <c r="B225" s="23" t="s">
        <v>1352</v>
      </c>
      <c r="C225" s="140">
        <v>44087</v>
      </c>
      <c r="D225" s="23" t="s">
        <v>729</v>
      </c>
      <c r="E225" s="23" t="s">
        <v>636</v>
      </c>
      <c r="F225" s="23" t="s">
        <v>456</v>
      </c>
      <c r="Q225" s="140">
        <v>44095</v>
      </c>
      <c r="S225" s="23" t="s">
        <v>300</v>
      </c>
      <c r="T225" s="23" t="s">
        <v>363</v>
      </c>
      <c r="U225" s="23" t="s">
        <v>363</v>
      </c>
      <c r="V225" s="23" t="s">
        <v>298</v>
      </c>
      <c r="W225" s="23" t="s">
        <v>915</v>
      </c>
      <c r="Y225" s="37">
        <v>53710</v>
      </c>
      <c r="AB225" s="19" t="s">
        <v>1353</v>
      </c>
      <c r="AC225" s="23" t="s">
        <v>1354</v>
      </c>
      <c r="AD225" s="118">
        <v>0</v>
      </c>
      <c r="AE225" s="118">
        <v>2</v>
      </c>
      <c r="AF225" s="29" t="s">
        <v>1420</v>
      </c>
      <c r="AG225" s="23" t="s">
        <v>637</v>
      </c>
      <c r="AH225" s="39">
        <v>44094</v>
      </c>
    </row>
    <row r="226" spans="1:34" ht="64">
      <c r="A226" s="62" t="s">
        <v>1355</v>
      </c>
      <c r="B226" s="23" t="s">
        <v>1356</v>
      </c>
      <c r="C226" s="140">
        <v>44088</v>
      </c>
      <c r="D226" s="23" t="s">
        <v>729</v>
      </c>
      <c r="E226" s="23" t="s">
        <v>636</v>
      </c>
      <c r="F226" s="23" t="s">
        <v>456</v>
      </c>
      <c r="Q226" s="140">
        <v>44095</v>
      </c>
      <c r="S226" s="23" t="s">
        <v>300</v>
      </c>
      <c r="T226" s="23" t="s">
        <v>363</v>
      </c>
      <c r="U226" s="23" t="s">
        <v>363</v>
      </c>
      <c r="V226" s="23" t="s">
        <v>298</v>
      </c>
      <c r="W226" s="23" t="s">
        <v>494</v>
      </c>
      <c r="Y226" s="37">
        <v>40720</v>
      </c>
      <c r="AB226" s="19" t="s">
        <v>1357</v>
      </c>
      <c r="AC226" s="23" t="s">
        <v>1358</v>
      </c>
      <c r="AD226" s="118">
        <v>0</v>
      </c>
      <c r="AE226" s="118">
        <v>2</v>
      </c>
      <c r="AF226" s="29" t="s">
        <v>1421</v>
      </c>
      <c r="AG226" s="23" t="s">
        <v>666</v>
      </c>
      <c r="AH226" s="39">
        <v>44094</v>
      </c>
    </row>
    <row r="227" spans="1:34" ht="64">
      <c r="A227" s="62" t="s">
        <v>1359</v>
      </c>
      <c r="B227" s="23" t="s">
        <v>1360</v>
      </c>
      <c r="C227" s="140">
        <v>44088</v>
      </c>
      <c r="D227" s="23" t="s">
        <v>729</v>
      </c>
      <c r="E227" s="23" t="s">
        <v>636</v>
      </c>
      <c r="F227" s="23" t="s">
        <v>456</v>
      </c>
      <c r="Q227" s="140">
        <v>44095</v>
      </c>
      <c r="S227" s="23" t="s">
        <v>300</v>
      </c>
      <c r="T227" s="23" t="s">
        <v>363</v>
      </c>
      <c r="U227" s="23" t="s">
        <v>363</v>
      </c>
      <c r="V227" s="23" t="s">
        <v>298</v>
      </c>
      <c r="W227" s="23" t="s">
        <v>830</v>
      </c>
      <c r="Y227" s="37">
        <v>47500</v>
      </c>
      <c r="AB227" s="19" t="s">
        <v>1361</v>
      </c>
      <c r="AC227" s="23" t="s">
        <v>1362</v>
      </c>
      <c r="AD227" s="118">
        <v>0</v>
      </c>
      <c r="AE227" s="118">
        <v>2</v>
      </c>
      <c r="AF227" s="29" t="s">
        <v>1422</v>
      </c>
      <c r="AG227" s="23" t="s">
        <v>637</v>
      </c>
      <c r="AH227" s="39">
        <v>44094</v>
      </c>
    </row>
    <row r="228" spans="1:34" ht="64">
      <c r="A228" s="62" t="s">
        <v>1363</v>
      </c>
      <c r="B228" s="23" t="s">
        <v>1364</v>
      </c>
      <c r="C228" s="140">
        <v>44086</v>
      </c>
      <c r="D228" s="23" t="s">
        <v>729</v>
      </c>
      <c r="E228" s="23" t="s">
        <v>636</v>
      </c>
      <c r="F228" s="23" t="s">
        <v>456</v>
      </c>
      <c r="Q228" s="140">
        <v>44095</v>
      </c>
      <c r="S228" s="23" t="s">
        <v>300</v>
      </c>
      <c r="T228" s="23" t="s">
        <v>363</v>
      </c>
      <c r="U228" s="23" t="s">
        <v>363</v>
      </c>
      <c r="V228" s="23" t="s">
        <v>298</v>
      </c>
      <c r="W228" s="23" t="s">
        <v>1139</v>
      </c>
      <c r="Y228" s="37">
        <v>49000</v>
      </c>
      <c r="AB228" s="19" t="s">
        <v>1386</v>
      </c>
      <c r="AC228" s="23" t="s">
        <v>1250</v>
      </c>
      <c r="AD228" s="118">
        <v>0</v>
      </c>
      <c r="AE228" s="118">
        <v>2</v>
      </c>
      <c r="AF228" s="29" t="s">
        <v>1423</v>
      </c>
      <c r="AG228" s="23" t="s">
        <v>1196</v>
      </c>
      <c r="AH228" s="39">
        <v>44094</v>
      </c>
    </row>
    <row r="229" spans="1:34" ht="64">
      <c r="A229" s="62" t="s">
        <v>1365</v>
      </c>
      <c r="B229" s="23" t="s">
        <v>1366</v>
      </c>
      <c r="C229" s="140">
        <v>44087</v>
      </c>
      <c r="D229" s="23" t="s">
        <v>729</v>
      </c>
      <c r="E229" s="23" t="s">
        <v>636</v>
      </c>
      <c r="F229" s="23" t="s">
        <v>456</v>
      </c>
      <c r="Q229" s="140">
        <v>44095</v>
      </c>
      <c r="S229" s="23" t="s">
        <v>300</v>
      </c>
      <c r="T229" s="23" t="s">
        <v>363</v>
      </c>
      <c r="U229" s="23" t="s">
        <v>363</v>
      </c>
      <c r="V229" s="23" t="s">
        <v>298</v>
      </c>
      <c r="W229" s="23" t="s">
        <v>494</v>
      </c>
      <c r="Y229" s="37">
        <v>24210</v>
      </c>
      <c r="AB229" s="23" t="s">
        <v>1367</v>
      </c>
      <c r="AC229" s="23" t="s">
        <v>1368</v>
      </c>
      <c r="AD229" s="118">
        <v>0</v>
      </c>
      <c r="AE229" s="118">
        <v>1</v>
      </c>
      <c r="AF229" s="29" t="s">
        <v>1424</v>
      </c>
      <c r="AG229" s="23" t="s">
        <v>637</v>
      </c>
      <c r="AH229" s="39">
        <v>44094</v>
      </c>
    </row>
    <row r="230" spans="1:34" ht="64">
      <c r="A230" s="62" t="s">
        <v>1369</v>
      </c>
      <c r="B230" s="23" t="s">
        <v>1370</v>
      </c>
      <c r="C230" s="140">
        <v>44087</v>
      </c>
      <c r="D230" s="23" t="s">
        <v>729</v>
      </c>
      <c r="E230" s="23" t="s">
        <v>636</v>
      </c>
      <c r="F230" s="23" t="s">
        <v>456</v>
      </c>
      <c r="Q230" s="140">
        <v>44095</v>
      </c>
      <c r="S230" s="23" t="s">
        <v>300</v>
      </c>
      <c r="T230" s="23" t="s">
        <v>363</v>
      </c>
      <c r="U230" s="23" t="s">
        <v>363</v>
      </c>
      <c r="V230" s="23" t="s">
        <v>298</v>
      </c>
      <c r="W230" s="23" t="s">
        <v>494</v>
      </c>
      <c r="Y230" s="37">
        <v>41770</v>
      </c>
      <c r="AB230" s="19" t="s">
        <v>1371</v>
      </c>
      <c r="AC230" s="23" t="s">
        <v>1372</v>
      </c>
      <c r="AD230" s="118">
        <v>0</v>
      </c>
      <c r="AE230" s="118">
        <v>2</v>
      </c>
      <c r="AF230" s="29" t="s">
        <v>1425</v>
      </c>
      <c r="AG230" s="23" t="s">
        <v>666</v>
      </c>
      <c r="AH230" s="39">
        <v>44094</v>
      </c>
    </row>
    <row r="231" spans="1:34" ht="64">
      <c r="A231" s="62" t="s">
        <v>1373</v>
      </c>
      <c r="B231" s="23" t="s">
        <v>1374</v>
      </c>
      <c r="C231" s="140">
        <v>44089</v>
      </c>
      <c r="D231" s="23" t="s">
        <v>729</v>
      </c>
      <c r="E231" s="23" t="s">
        <v>636</v>
      </c>
      <c r="F231" s="23" t="s">
        <v>456</v>
      </c>
      <c r="Q231" s="140">
        <v>44095</v>
      </c>
      <c r="S231" s="23" t="s">
        <v>300</v>
      </c>
      <c r="T231" s="23" t="s">
        <v>363</v>
      </c>
      <c r="U231" s="23" t="s">
        <v>363</v>
      </c>
      <c r="V231" s="23" t="s">
        <v>298</v>
      </c>
      <c r="W231" s="23" t="s">
        <v>1139</v>
      </c>
      <c r="Y231" s="37">
        <v>24500</v>
      </c>
      <c r="AB231" s="23" t="s">
        <v>1375</v>
      </c>
      <c r="AC231" s="23" t="s">
        <v>1281</v>
      </c>
      <c r="AD231" s="118">
        <v>0</v>
      </c>
      <c r="AE231" s="118">
        <v>3</v>
      </c>
      <c r="AF231" s="29" t="s">
        <v>1426</v>
      </c>
      <c r="AG231" s="23" t="s">
        <v>665</v>
      </c>
      <c r="AH231" s="39">
        <v>44094</v>
      </c>
    </row>
    <row r="232" spans="1:34" ht="64">
      <c r="A232" s="67" t="s">
        <v>1376</v>
      </c>
      <c r="B232" s="23" t="s">
        <v>1377</v>
      </c>
      <c r="C232" s="140">
        <v>44087</v>
      </c>
      <c r="D232" s="23" t="s">
        <v>729</v>
      </c>
      <c r="E232" s="23" t="s">
        <v>636</v>
      </c>
      <c r="F232" s="23" t="s">
        <v>456</v>
      </c>
      <c r="S232" s="23" t="s">
        <v>300</v>
      </c>
      <c r="T232" s="23" t="s">
        <v>363</v>
      </c>
      <c r="U232" s="23" t="s">
        <v>363</v>
      </c>
      <c r="V232" s="23" t="s">
        <v>298</v>
      </c>
      <c r="W232" s="23" t="s">
        <v>995</v>
      </c>
      <c r="Y232" s="37">
        <v>49000</v>
      </c>
      <c r="AB232" s="19" t="s">
        <v>1378</v>
      </c>
      <c r="AC232" s="23" t="s">
        <v>1379</v>
      </c>
      <c r="AD232" s="118"/>
      <c r="AE232" s="118"/>
      <c r="AG232" s="23" t="s">
        <v>666</v>
      </c>
    </row>
    <row r="233" spans="1:34">
      <c r="A233" s="63" t="s">
        <v>1380</v>
      </c>
      <c r="B233" s="23" t="s">
        <v>1381</v>
      </c>
      <c r="C233" s="140">
        <v>44087</v>
      </c>
      <c r="D233" s="23" t="s">
        <v>729</v>
      </c>
      <c r="E233" s="23" t="s">
        <v>752</v>
      </c>
      <c r="F233" s="23" t="s">
        <v>57</v>
      </c>
      <c r="G233" s="23" t="s">
        <v>348</v>
      </c>
      <c r="H233" s="23" t="s">
        <v>1382</v>
      </c>
      <c r="I233" s="23" t="s">
        <v>1382</v>
      </c>
      <c r="J233" s="140">
        <v>44084</v>
      </c>
      <c r="K233" s="23" t="s">
        <v>1383</v>
      </c>
      <c r="L233" s="140">
        <v>44090</v>
      </c>
      <c r="M233" s="26">
        <v>44094</v>
      </c>
      <c r="P233" s="23" t="s">
        <v>1394</v>
      </c>
      <c r="Q233" s="140">
        <v>44096</v>
      </c>
      <c r="S233" s="23" t="s">
        <v>183</v>
      </c>
      <c r="T233" s="23" t="s">
        <v>305</v>
      </c>
      <c r="U233" s="23" t="s">
        <v>305</v>
      </c>
      <c r="V233" s="23" t="s">
        <v>233</v>
      </c>
      <c r="W233" s="23" t="s">
        <v>351</v>
      </c>
      <c r="X233" s="37">
        <v>27098</v>
      </c>
      <c r="Y233" s="37">
        <v>27309.8</v>
      </c>
      <c r="Z233" s="44">
        <v>24050.61</v>
      </c>
      <c r="AA233" s="44">
        <v>22854.61</v>
      </c>
      <c r="AB233" s="23" t="s">
        <v>1384</v>
      </c>
      <c r="AC233" s="23" t="s">
        <v>1385</v>
      </c>
      <c r="AD233" s="118">
        <v>0</v>
      </c>
      <c r="AE233" s="118">
        <v>2</v>
      </c>
      <c r="AF233" s="27" t="s">
        <v>1401</v>
      </c>
      <c r="AG233" s="23" t="s">
        <v>792</v>
      </c>
      <c r="AH233" s="39">
        <v>44094</v>
      </c>
    </row>
    <row r="234" spans="1:34" ht="64">
      <c r="A234" s="71" t="s">
        <v>1387</v>
      </c>
      <c r="B234" s="23" t="s">
        <v>1388</v>
      </c>
      <c r="C234" s="140">
        <v>44087</v>
      </c>
      <c r="D234" s="23" t="s">
        <v>729</v>
      </c>
      <c r="E234" s="23" t="s">
        <v>636</v>
      </c>
      <c r="F234" s="23" t="s">
        <v>1389</v>
      </c>
      <c r="Q234" s="140">
        <v>44100</v>
      </c>
      <c r="S234" s="23" t="s">
        <v>300</v>
      </c>
      <c r="T234" s="23" t="s">
        <v>363</v>
      </c>
      <c r="U234" s="23" t="s">
        <v>363</v>
      </c>
      <c r="V234" s="23" t="s">
        <v>298</v>
      </c>
      <c r="W234" s="23" t="s">
        <v>1390</v>
      </c>
      <c r="X234" s="37"/>
      <c r="Y234" s="37">
        <v>7490</v>
      </c>
      <c r="Z234" s="44"/>
      <c r="AA234" s="44"/>
      <c r="AB234" s="19" t="s">
        <v>1393</v>
      </c>
      <c r="AC234" s="23" t="s">
        <v>1391</v>
      </c>
      <c r="AD234" s="118">
        <v>0</v>
      </c>
      <c r="AE234" s="118">
        <v>1</v>
      </c>
      <c r="AF234" s="29" t="s">
        <v>1485</v>
      </c>
      <c r="AG234" s="23" t="s">
        <v>1392</v>
      </c>
      <c r="AH234" s="39">
        <v>44095</v>
      </c>
    </row>
    <row r="235" spans="1:34" ht="64">
      <c r="A235" s="62" t="s">
        <v>1402</v>
      </c>
      <c r="B235" s="23" t="s">
        <v>1407</v>
      </c>
      <c r="C235" s="140">
        <v>44094</v>
      </c>
      <c r="D235" s="23" t="s">
        <v>729</v>
      </c>
      <c r="E235" s="23" t="s">
        <v>636</v>
      </c>
      <c r="F235" s="23" t="s">
        <v>456</v>
      </c>
      <c r="Q235" s="140">
        <v>44098</v>
      </c>
      <c r="S235" s="23" t="s">
        <v>300</v>
      </c>
      <c r="T235" s="23" t="s">
        <v>363</v>
      </c>
      <c r="U235" s="23" t="s">
        <v>363</v>
      </c>
      <c r="V235" s="23" t="s">
        <v>298</v>
      </c>
      <c r="W235" s="23" t="s">
        <v>995</v>
      </c>
      <c r="Y235" s="37">
        <v>24500</v>
      </c>
      <c r="AB235" s="23" t="s">
        <v>1408</v>
      </c>
      <c r="AC235" s="23" t="s">
        <v>1409</v>
      </c>
      <c r="AD235" s="118">
        <v>0</v>
      </c>
      <c r="AE235" s="118">
        <v>1</v>
      </c>
      <c r="AF235" s="29" t="s">
        <v>1427</v>
      </c>
      <c r="AG235" s="23" t="s">
        <v>666</v>
      </c>
      <c r="AH235" s="39">
        <v>44099</v>
      </c>
    </row>
    <row r="236" spans="1:34" ht="64">
      <c r="A236" s="62" t="s">
        <v>1403</v>
      </c>
      <c r="B236" s="23" t="s">
        <v>1410</v>
      </c>
      <c r="C236" s="140">
        <v>44094</v>
      </c>
      <c r="D236" s="23" t="s">
        <v>729</v>
      </c>
      <c r="E236" s="23" t="s">
        <v>636</v>
      </c>
      <c r="F236" s="23" t="s">
        <v>456</v>
      </c>
      <c r="Q236" s="140">
        <v>44098</v>
      </c>
      <c r="S236" s="23" t="s">
        <v>300</v>
      </c>
      <c r="T236" s="23" t="s">
        <v>363</v>
      </c>
      <c r="U236" s="23" t="s">
        <v>363</v>
      </c>
      <c r="V236" s="23" t="s">
        <v>298</v>
      </c>
      <c r="W236" s="23" t="s">
        <v>915</v>
      </c>
      <c r="Y236" s="37">
        <v>53300</v>
      </c>
      <c r="AB236" s="19" t="s">
        <v>1411</v>
      </c>
      <c r="AC236" s="23" t="s">
        <v>1325</v>
      </c>
      <c r="AD236" s="118">
        <v>0</v>
      </c>
      <c r="AE236" s="118">
        <v>2</v>
      </c>
      <c r="AF236" s="29" t="s">
        <v>1428</v>
      </c>
      <c r="AG236" s="23" t="s">
        <v>637</v>
      </c>
      <c r="AH236" s="39">
        <v>44099</v>
      </c>
    </row>
    <row r="237" spans="1:34" ht="64">
      <c r="A237" s="62" t="s">
        <v>1404</v>
      </c>
      <c r="B237" s="23" t="s">
        <v>1412</v>
      </c>
      <c r="C237" s="140">
        <v>44094</v>
      </c>
      <c r="D237" s="23" t="s">
        <v>729</v>
      </c>
      <c r="E237" s="23" t="s">
        <v>636</v>
      </c>
      <c r="F237" s="23" t="s">
        <v>456</v>
      </c>
      <c r="Q237" s="140">
        <v>44099</v>
      </c>
      <c r="S237" s="23" t="s">
        <v>300</v>
      </c>
      <c r="T237" s="23" t="s">
        <v>363</v>
      </c>
      <c r="U237" s="23" t="s">
        <v>363</v>
      </c>
      <c r="V237" s="23" t="s">
        <v>298</v>
      </c>
      <c r="W237" s="23" t="s">
        <v>1139</v>
      </c>
      <c r="Y237" s="37">
        <v>49000</v>
      </c>
      <c r="AB237" s="19" t="s">
        <v>1413</v>
      </c>
      <c r="AC237" s="23" t="s">
        <v>1297</v>
      </c>
      <c r="AD237" s="118">
        <v>0</v>
      </c>
      <c r="AE237" s="118">
        <v>2</v>
      </c>
      <c r="AF237" s="29" t="s">
        <v>1429</v>
      </c>
      <c r="AG237" s="23" t="s">
        <v>1196</v>
      </c>
      <c r="AH237" s="39">
        <v>44099</v>
      </c>
    </row>
    <row r="238" spans="1:34" ht="64">
      <c r="A238" s="62" t="s">
        <v>1405</v>
      </c>
      <c r="B238" s="23" t="s">
        <v>1414</v>
      </c>
      <c r="C238" s="140">
        <v>44094</v>
      </c>
      <c r="D238" s="23" t="s">
        <v>729</v>
      </c>
      <c r="E238" s="23" t="s">
        <v>636</v>
      </c>
      <c r="F238" s="23" t="s">
        <v>456</v>
      </c>
      <c r="Q238" s="140">
        <v>44099</v>
      </c>
      <c r="S238" s="23" t="s">
        <v>300</v>
      </c>
      <c r="T238" s="23" t="s">
        <v>363</v>
      </c>
      <c r="U238" s="23" t="s">
        <v>363</v>
      </c>
      <c r="V238" s="23" t="s">
        <v>298</v>
      </c>
      <c r="W238" s="23" t="s">
        <v>494</v>
      </c>
      <c r="Y238" s="37">
        <v>36560</v>
      </c>
      <c r="AB238" s="19" t="s">
        <v>1416</v>
      </c>
      <c r="AC238" s="23" t="s">
        <v>1415</v>
      </c>
      <c r="AD238" s="118">
        <v>0</v>
      </c>
      <c r="AE238" s="118">
        <v>2</v>
      </c>
      <c r="AF238" s="29" t="s">
        <v>1430</v>
      </c>
      <c r="AG238" s="23" t="s">
        <v>1196</v>
      </c>
      <c r="AH238" s="39">
        <v>44099</v>
      </c>
    </row>
    <row r="239" spans="1:34" ht="64">
      <c r="A239" s="62" t="s">
        <v>1406</v>
      </c>
      <c r="B239" s="23" t="s">
        <v>1417</v>
      </c>
      <c r="C239" s="140">
        <v>44093</v>
      </c>
      <c r="D239" s="23" t="s">
        <v>729</v>
      </c>
      <c r="E239" s="23" t="s">
        <v>636</v>
      </c>
      <c r="F239" s="23" t="s">
        <v>456</v>
      </c>
      <c r="Q239" s="140">
        <v>44100</v>
      </c>
      <c r="S239" s="23" t="s">
        <v>300</v>
      </c>
      <c r="T239" s="23" t="s">
        <v>363</v>
      </c>
      <c r="U239" s="23" t="s">
        <v>363</v>
      </c>
      <c r="V239" s="23" t="s">
        <v>298</v>
      </c>
      <c r="W239" s="23" t="s">
        <v>494</v>
      </c>
      <c r="Y239" s="37">
        <v>42920</v>
      </c>
      <c r="AB239" s="19" t="s">
        <v>1418</v>
      </c>
      <c r="AC239" s="23" t="s">
        <v>1419</v>
      </c>
      <c r="AD239" s="118">
        <v>0</v>
      </c>
      <c r="AE239" s="118">
        <v>2</v>
      </c>
      <c r="AF239" s="29" t="s">
        <v>1431</v>
      </c>
      <c r="AG239" s="23" t="s">
        <v>666</v>
      </c>
      <c r="AH239" s="39">
        <v>44099</v>
      </c>
    </row>
    <row r="240" spans="1:34">
      <c r="A240" s="62" t="s">
        <v>1432</v>
      </c>
      <c r="B240" s="23" t="s">
        <v>1433</v>
      </c>
      <c r="C240" s="140">
        <v>44096</v>
      </c>
      <c r="D240" s="23" t="s">
        <v>729</v>
      </c>
      <c r="E240" s="23" t="s">
        <v>636</v>
      </c>
      <c r="F240" s="23" t="s">
        <v>456</v>
      </c>
      <c r="Q240" s="140">
        <v>44102</v>
      </c>
      <c r="S240" s="23" t="s">
        <v>300</v>
      </c>
      <c r="T240" s="23" t="s">
        <v>363</v>
      </c>
      <c r="U240" s="23" t="s">
        <v>363</v>
      </c>
      <c r="V240" s="23" t="s">
        <v>298</v>
      </c>
      <c r="W240" s="23" t="s">
        <v>915</v>
      </c>
      <c r="Y240" s="37">
        <v>25420</v>
      </c>
      <c r="AB240" s="23" t="s">
        <v>1434</v>
      </c>
      <c r="AC240" s="23" t="s">
        <v>1435</v>
      </c>
      <c r="AD240" s="118">
        <v>0</v>
      </c>
      <c r="AE240" s="118">
        <v>2</v>
      </c>
      <c r="AH240" s="39">
        <v>44102</v>
      </c>
    </row>
    <row r="241" spans="1:44">
      <c r="A241" s="67" t="s">
        <v>1436</v>
      </c>
      <c r="B241" s="23" t="s">
        <v>1437</v>
      </c>
      <c r="C241" s="140">
        <v>44096</v>
      </c>
      <c r="D241" s="23" t="s">
        <v>729</v>
      </c>
      <c r="E241" s="23" t="s">
        <v>636</v>
      </c>
      <c r="F241" s="23" t="s">
        <v>456</v>
      </c>
      <c r="W241" s="23" t="s">
        <v>494</v>
      </c>
      <c r="Y241" s="37">
        <v>20970</v>
      </c>
      <c r="AB241" s="23" t="s">
        <v>1438</v>
      </c>
      <c r="AC241" s="23" t="s">
        <v>1439</v>
      </c>
      <c r="AD241" s="118"/>
      <c r="AE241" s="118"/>
    </row>
    <row r="242" spans="1:44" ht="96">
      <c r="A242" s="62" t="s">
        <v>1440</v>
      </c>
      <c r="B242" s="23" t="s">
        <v>1441</v>
      </c>
      <c r="C242" s="140">
        <v>44090</v>
      </c>
      <c r="D242" s="23" t="s">
        <v>729</v>
      </c>
      <c r="E242" s="23" t="s">
        <v>752</v>
      </c>
      <c r="F242" s="23" t="s">
        <v>1442</v>
      </c>
      <c r="P242" s="23" t="s">
        <v>1443</v>
      </c>
      <c r="Q242" s="140">
        <v>44096</v>
      </c>
      <c r="S242" s="23" t="s">
        <v>1444</v>
      </c>
      <c r="T242" s="23" t="s">
        <v>304</v>
      </c>
      <c r="U242" s="23" t="s">
        <v>304</v>
      </c>
      <c r="V242" s="23" t="s">
        <v>298</v>
      </c>
      <c r="W242" s="19" t="s">
        <v>1447</v>
      </c>
      <c r="Y242" s="23">
        <v>10043.5</v>
      </c>
      <c r="AB242" s="23" t="s">
        <v>1448</v>
      </c>
      <c r="AC242" s="23" t="s">
        <v>1445</v>
      </c>
      <c r="AD242" s="118">
        <v>0</v>
      </c>
      <c r="AE242" s="118">
        <v>1</v>
      </c>
      <c r="AF242" s="29" t="s">
        <v>1594</v>
      </c>
      <c r="AG242" s="23" t="s">
        <v>1446</v>
      </c>
      <c r="AH242" s="39">
        <v>44104</v>
      </c>
    </row>
    <row r="243" spans="1:44" ht="48">
      <c r="A243" s="62" t="s">
        <v>1449</v>
      </c>
      <c r="B243" s="23" t="s">
        <v>1450</v>
      </c>
      <c r="C243" s="140">
        <v>44068</v>
      </c>
      <c r="D243" s="23" t="s">
        <v>729</v>
      </c>
      <c r="E243" s="23" t="s">
        <v>752</v>
      </c>
      <c r="F243" s="23" t="s">
        <v>1725</v>
      </c>
      <c r="G243" s="23" t="s">
        <v>1724</v>
      </c>
      <c r="P243" s="23" t="s">
        <v>1451</v>
      </c>
      <c r="Q243" s="140">
        <v>44101</v>
      </c>
      <c r="S243" s="23" t="s">
        <v>319</v>
      </c>
      <c r="T243" s="23" t="s">
        <v>304</v>
      </c>
      <c r="U243" s="23" t="s">
        <v>304</v>
      </c>
      <c r="V243" s="23" t="s">
        <v>298</v>
      </c>
      <c r="W243" s="19" t="s">
        <v>1452</v>
      </c>
      <c r="Y243" s="23">
        <v>3500</v>
      </c>
      <c r="AB243" s="19" t="s">
        <v>1453</v>
      </c>
      <c r="AC243" s="23" t="s">
        <v>1454</v>
      </c>
      <c r="AD243" s="118">
        <v>1</v>
      </c>
      <c r="AE243" s="118">
        <v>0</v>
      </c>
      <c r="AF243" s="29" t="s">
        <v>1595</v>
      </c>
      <c r="AG243" s="23" t="s">
        <v>1455</v>
      </c>
      <c r="AH243" s="39">
        <v>44105</v>
      </c>
      <c r="AJ243" s="75">
        <v>44180</v>
      </c>
      <c r="AL243" s="53" t="s">
        <v>2844</v>
      </c>
      <c r="AN243" s="53"/>
      <c r="AO243" s="53"/>
      <c r="AP243" s="53"/>
      <c r="AQ243" s="53"/>
      <c r="AR243" s="53"/>
    </row>
    <row r="244" spans="1:44" ht="48">
      <c r="A244" s="62" t="s">
        <v>1456</v>
      </c>
      <c r="B244" s="23" t="s">
        <v>1464</v>
      </c>
      <c r="C244" s="140">
        <v>44103</v>
      </c>
      <c r="D244" s="23" t="s">
        <v>729</v>
      </c>
      <c r="E244" s="23" t="s">
        <v>636</v>
      </c>
      <c r="F244" s="23" t="s">
        <v>1723</v>
      </c>
      <c r="G244" s="23" t="s">
        <v>1724</v>
      </c>
      <c r="Q244" s="140">
        <v>44108</v>
      </c>
      <c r="S244" s="23" t="s">
        <v>300</v>
      </c>
      <c r="T244" s="23" t="s">
        <v>363</v>
      </c>
      <c r="U244" s="23" t="s">
        <v>363</v>
      </c>
      <c r="V244" s="23" t="s">
        <v>298</v>
      </c>
      <c r="W244" s="23" t="s">
        <v>494</v>
      </c>
      <c r="Y244" s="37">
        <v>22210</v>
      </c>
      <c r="AB244" s="23" t="s">
        <v>1465</v>
      </c>
      <c r="AC244" s="23" t="s">
        <v>1466</v>
      </c>
      <c r="AD244" s="118">
        <v>0</v>
      </c>
      <c r="AE244" s="118">
        <v>1</v>
      </c>
      <c r="AF244" s="29" t="s">
        <v>1596</v>
      </c>
      <c r="AG244" s="23" t="s">
        <v>666</v>
      </c>
      <c r="AH244" s="39">
        <v>44106</v>
      </c>
    </row>
    <row r="245" spans="1:44" ht="48">
      <c r="A245" s="62" t="s">
        <v>1457</v>
      </c>
      <c r="B245" s="23" t="s">
        <v>1467</v>
      </c>
      <c r="C245" s="140">
        <v>44103</v>
      </c>
      <c r="D245" s="23" t="s">
        <v>729</v>
      </c>
      <c r="E245" s="23" t="s">
        <v>636</v>
      </c>
      <c r="F245" s="23" t="s">
        <v>1723</v>
      </c>
      <c r="G245" s="23" t="s">
        <v>1724</v>
      </c>
      <c r="Q245" s="140">
        <v>44108</v>
      </c>
      <c r="S245" s="23" t="s">
        <v>300</v>
      </c>
      <c r="T245" s="23" t="s">
        <v>363</v>
      </c>
      <c r="U245" s="23" t="s">
        <v>363</v>
      </c>
      <c r="V245" s="23" t="s">
        <v>298</v>
      </c>
      <c r="W245" s="23" t="s">
        <v>830</v>
      </c>
      <c r="Y245" s="37">
        <v>23600</v>
      </c>
      <c r="AB245" s="23" t="s">
        <v>1468</v>
      </c>
      <c r="AC245" s="23" t="s">
        <v>1035</v>
      </c>
      <c r="AD245" s="118">
        <v>0</v>
      </c>
      <c r="AE245" s="118">
        <v>1</v>
      </c>
      <c r="AF245" s="29" t="s">
        <v>1597</v>
      </c>
      <c r="AG245" s="23" t="s">
        <v>666</v>
      </c>
      <c r="AH245" s="39">
        <v>44106</v>
      </c>
    </row>
    <row r="246" spans="1:44" ht="48">
      <c r="A246" s="62" t="s">
        <v>1458</v>
      </c>
      <c r="B246" s="23" t="s">
        <v>1469</v>
      </c>
      <c r="C246" s="140">
        <v>44100</v>
      </c>
      <c r="D246" s="23" t="s">
        <v>729</v>
      </c>
      <c r="E246" s="23" t="s">
        <v>636</v>
      </c>
      <c r="F246" s="23" t="s">
        <v>1723</v>
      </c>
      <c r="G246" s="23" t="s">
        <v>1724</v>
      </c>
      <c r="Q246" s="140">
        <v>44108</v>
      </c>
      <c r="S246" s="23" t="s">
        <v>300</v>
      </c>
      <c r="T246" s="23" t="s">
        <v>363</v>
      </c>
      <c r="U246" s="23" t="s">
        <v>363</v>
      </c>
      <c r="V246" s="23" t="s">
        <v>298</v>
      </c>
      <c r="W246" s="23" t="s">
        <v>1139</v>
      </c>
      <c r="Y246" s="37">
        <v>24500</v>
      </c>
      <c r="AB246" s="23" t="s">
        <v>1470</v>
      </c>
      <c r="AC246" s="23" t="s">
        <v>1138</v>
      </c>
      <c r="AD246" s="118">
        <v>0</v>
      </c>
      <c r="AE246" s="118">
        <v>1</v>
      </c>
      <c r="AF246" s="29" t="s">
        <v>1598</v>
      </c>
      <c r="AG246" s="23" t="s">
        <v>1196</v>
      </c>
      <c r="AH246" s="39">
        <v>44106</v>
      </c>
    </row>
    <row r="247" spans="1:44" ht="96">
      <c r="A247" s="62" t="s">
        <v>1459</v>
      </c>
      <c r="B247" s="27" t="s">
        <v>1471</v>
      </c>
      <c r="C247" s="140">
        <v>44103</v>
      </c>
      <c r="D247" s="23" t="s">
        <v>729</v>
      </c>
      <c r="E247" s="23" t="s">
        <v>636</v>
      </c>
      <c r="F247" s="23" t="s">
        <v>1723</v>
      </c>
      <c r="G247" s="23" t="s">
        <v>1724</v>
      </c>
      <c r="Q247" s="140">
        <v>44108</v>
      </c>
      <c r="S247" s="23" t="s">
        <v>300</v>
      </c>
      <c r="T247" s="23" t="s">
        <v>363</v>
      </c>
      <c r="U247" s="23" t="s">
        <v>363</v>
      </c>
      <c r="V247" s="23" t="s">
        <v>298</v>
      </c>
      <c r="W247" s="23" t="s">
        <v>1139</v>
      </c>
      <c r="Y247" s="37">
        <v>25000</v>
      </c>
      <c r="AB247" s="23" t="s">
        <v>1472</v>
      </c>
      <c r="AC247" s="23" t="s">
        <v>1473</v>
      </c>
      <c r="AD247" s="118">
        <v>0</v>
      </c>
      <c r="AE247" s="118">
        <v>1</v>
      </c>
      <c r="AF247" s="29" t="s">
        <v>1732</v>
      </c>
      <c r="AG247" s="23" t="s">
        <v>833</v>
      </c>
      <c r="AH247" s="39">
        <v>44106</v>
      </c>
    </row>
    <row r="248" spans="1:44" ht="48">
      <c r="A248" s="62" t="s">
        <v>1460</v>
      </c>
      <c r="B248" s="23" t="s">
        <v>1474</v>
      </c>
      <c r="C248" s="140">
        <v>44101</v>
      </c>
      <c r="D248" s="23" t="s">
        <v>729</v>
      </c>
      <c r="E248" s="23" t="s">
        <v>636</v>
      </c>
      <c r="F248" s="23" t="s">
        <v>1723</v>
      </c>
      <c r="G248" s="23" t="s">
        <v>1724</v>
      </c>
      <c r="Q248" s="140">
        <v>44108</v>
      </c>
      <c r="S248" s="23" t="s">
        <v>300</v>
      </c>
      <c r="T248" s="23" t="s">
        <v>363</v>
      </c>
      <c r="U248" s="23" t="s">
        <v>363</v>
      </c>
      <c r="V248" s="23" t="s">
        <v>298</v>
      </c>
      <c r="W248" s="23" t="s">
        <v>915</v>
      </c>
      <c r="Y248" s="37">
        <v>26404</v>
      </c>
      <c r="AB248" s="23" t="s">
        <v>1477</v>
      </c>
      <c r="AC248" s="23" t="s">
        <v>1478</v>
      </c>
      <c r="AD248" s="118">
        <v>0</v>
      </c>
      <c r="AE248" s="118">
        <v>1</v>
      </c>
      <c r="AF248" s="29" t="s">
        <v>1599</v>
      </c>
      <c r="AG248" s="23" t="s">
        <v>1196</v>
      </c>
      <c r="AH248" s="39">
        <v>44106</v>
      </c>
    </row>
    <row r="249" spans="1:44" ht="48">
      <c r="A249" s="62" t="s">
        <v>1461</v>
      </c>
      <c r="B249" s="23" t="s">
        <v>1475</v>
      </c>
      <c r="C249" s="140">
        <v>44101</v>
      </c>
      <c r="D249" s="23" t="s">
        <v>729</v>
      </c>
      <c r="E249" s="23" t="s">
        <v>636</v>
      </c>
      <c r="F249" s="23" t="s">
        <v>1723</v>
      </c>
      <c r="G249" s="23" t="s">
        <v>1724</v>
      </c>
      <c r="Q249" s="140">
        <v>44108</v>
      </c>
      <c r="S249" s="23" t="s">
        <v>300</v>
      </c>
      <c r="T249" s="23" t="s">
        <v>363</v>
      </c>
      <c r="U249" s="23" t="s">
        <v>363</v>
      </c>
      <c r="V249" s="23" t="s">
        <v>298</v>
      </c>
      <c r="W249" s="23" t="s">
        <v>995</v>
      </c>
      <c r="Y249" s="37">
        <v>24500</v>
      </c>
      <c r="AB249" s="23" t="s">
        <v>1476</v>
      </c>
      <c r="AC249" s="23" t="s">
        <v>1409</v>
      </c>
      <c r="AD249" s="118">
        <v>0</v>
      </c>
      <c r="AE249" s="118">
        <v>1</v>
      </c>
      <c r="AF249" s="29" t="s">
        <v>1600</v>
      </c>
      <c r="AG249" s="23" t="s">
        <v>666</v>
      </c>
      <c r="AH249" s="39">
        <v>44106</v>
      </c>
    </row>
    <row r="250" spans="1:44" ht="64">
      <c r="A250" s="62" t="s">
        <v>1462</v>
      </c>
      <c r="B250" s="23" t="s">
        <v>1479</v>
      </c>
      <c r="C250" s="140">
        <v>44103</v>
      </c>
      <c r="D250" s="23" t="s">
        <v>729</v>
      </c>
      <c r="E250" s="23" t="s">
        <v>636</v>
      </c>
      <c r="F250" s="23" t="s">
        <v>1723</v>
      </c>
      <c r="G250" s="23" t="s">
        <v>1724</v>
      </c>
      <c r="Q250" s="140">
        <v>44108</v>
      </c>
      <c r="S250" s="23" t="s">
        <v>300</v>
      </c>
      <c r="T250" s="23" t="s">
        <v>363</v>
      </c>
      <c r="U250" s="23" t="s">
        <v>363</v>
      </c>
      <c r="V250" s="23" t="s">
        <v>298</v>
      </c>
      <c r="W250" s="23" t="s">
        <v>494</v>
      </c>
      <c r="Y250" s="37">
        <v>45840</v>
      </c>
      <c r="AB250" s="19" t="s">
        <v>1480</v>
      </c>
      <c r="AC250" s="23" t="s">
        <v>1481</v>
      </c>
      <c r="AD250" s="118">
        <v>0</v>
      </c>
      <c r="AE250" s="118">
        <v>2</v>
      </c>
      <c r="AF250" s="29" t="s">
        <v>1601</v>
      </c>
      <c r="AG250" s="23" t="s">
        <v>666</v>
      </c>
      <c r="AH250" s="39">
        <v>44106</v>
      </c>
    </row>
    <row r="251" spans="1:44" ht="48">
      <c r="A251" s="62" t="s">
        <v>1463</v>
      </c>
      <c r="B251" s="23" t="s">
        <v>1482</v>
      </c>
      <c r="C251" s="140">
        <v>44100</v>
      </c>
      <c r="D251" s="23" t="s">
        <v>729</v>
      </c>
      <c r="E251" s="23" t="s">
        <v>636</v>
      </c>
      <c r="F251" s="23" t="s">
        <v>1723</v>
      </c>
      <c r="G251" s="23" t="s">
        <v>1724</v>
      </c>
      <c r="Q251" s="140">
        <v>44108</v>
      </c>
      <c r="S251" s="23" t="s">
        <v>300</v>
      </c>
      <c r="T251" s="23" t="s">
        <v>363</v>
      </c>
      <c r="U251" s="23" t="s">
        <v>363</v>
      </c>
      <c r="V251" s="23" t="s">
        <v>298</v>
      </c>
      <c r="W251" s="23" t="s">
        <v>830</v>
      </c>
      <c r="Y251" s="37">
        <v>15500</v>
      </c>
      <c r="AB251" s="23" t="s">
        <v>1483</v>
      </c>
      <c r="AC251" s="23" t="s">
        <v>1484</v>
      </c>
      <c r="AD251" s="118">
        <v>1</v>
      </c>
      <c r="AE251" s="118">
        <v>0</v>
      </c>
      <c r="AF251" s="29" t="s">
        <v>1602</v>
      </c>
      <c r="AG251" s="23" t="s">
        <v>666</v>
      </c>
      <c r="AH251" s="39">
        <v>44106</v>
      </c>
    </row>
    <row r="252" spans="1:44" ht="64">
      <c r="A252" s="71" t="s">
        <v>1486</v>
      </c>
      <c r="B252" s="23" t="s">
        <v>1487</v>
      </c>
      <c r="C252" s="140">
        <v>44088</v>
      </c>
      <c r="D252" s="23" t="s">
        <v>729</v>
      </c>
      <c r="E252" s="23" t="s">
        <v>752</v>
      </c>
      <c r="F252" s="23" t="s">
        <v>2200</v>
      </c>
      <c r="G252" s="23" t="s">
        <v>150</v>
      </c>
      <c r="H252" s="23" t="s">
        <v>1488</v>
      </c>
      <c r="I252" s="23" t="s">
        <v>1488</v>
      </c>
      <c r="J252" s="140">
        <v>44086</v>
      </c>
      <c r="K252" s="23" t="s">
        <v>1489</v>
      </c>
      <c r="L252" s="140">
        <v>44090</v>
      </c>
      <c r="M252" s="26">
        <v>44109</v>
      </c>
      <c r="N252" s="23" t="s">
        <v>1490</v>
      </c>
      <c r="P252" s="23" t="s">
        <v>1491</v>
      </c>
      <c r="Q252" s="140">
        <v>44106</v>
      </c>
      <c r="S252" s="23" t="s">
        <v>300</v>
      </c>
      <c r="T252" s="23" t="s">
        <v>305</v>
      </c>
      <c r="U252" s="23" t="s">
        <v>305</v>
      </c>
      <c r="V252" s="23" t="s">
        <v>299</v>
      </c>
      <c r="W252" s="23" t="s">
        <v>1305</v>
      </c>
      <c r="X252" s="37">
        <v>7100</v>
      </c>
      <c r="Y252" s="37">
        <v>7100</v>
      </c>
      <c r="Z252" s="46">
        <v>59300</v>
      </c>
      <c r="AB252" s="19" t="s">
        <v>1492</v>
      </c>
      <c r="AC252" s="23" t="s">
        <v>1493</v>
      </c>
      <c r="AD252" s="118">
        <v>0</v>
      </c>
      <c r="AE252" s="118">
        <v>2</v>
      </c>
      <c r="AF252" s="27" t="s">
        <v>2542</v>
      </c>
      <c r="AG252" s="23" t="s">
        <v>659</v>
      </c>
      <c r="AH252" s="39">
        <v>44109</v>
      </c>
      <c r="AJ252" s="75">
        <v>44112</v>
      </c>
      <c r="AL252" s="53">
        <f>AJ252+180</f>
        <v>44292</v>
      </c>
      <c r="AN252" s="53"/>
      <c r="AO252" s="53"/>
      <c r="AP252" s="53"/>
      <c r="AQ252" s="53"/>
      <c r="AR252" s="53"/>
    </row>
    <row r="253" spans="1:44" ht="64">
      <c r="A253" s="62" t="s">
        <v>1494</v>
      </c>
      <c r="B253" s="23" t="s">
        <v>1498</v>
      </c>
      <c r="C253" s="140">
        <v>44104</v>
      </c>
      <c r="D253" s="23" t="s">
        <v>729</v>
      </c>
      <c r="E253" s="23" t="s">
        <v>636</v>
      </c>
      <c r="F253" s="23" t="s">
        <v>1723</v>
      </c>
      <c r="G253" s="23" t="s">
        <v>1724</v>
      </c>
      <c r="Q253" s="140">
        <v>44112</v>
      </c>
      <c r="S253" s="23" t="s">
        <v>300</v>
      </c>
      <c r="T253" s="23" t="s">
        <v>363</v>
      </c>
      <c r="U253" s="23" t="s">
        <v>363</v>
      </c>
      <c r="V253" s="23" t="s">
        <v>298</v>
      </c>
      <c r="W253" s="23" t="s">
        <v>915</v>
      </c>
      <c r="Y253" s="37">
        <v>52644</v>
      </c>
      <c r="AB253" s="19" t="s">
        <v>1499</v>
      </c>
      <c r="AC253" s="23" t="s">
        <v>1500</v>
      </c>
      <c r="AD253" s="118">
        <v>0</v>
      </c>
      <c r="AE253" s="118">
        <v>3</v>
      </c>
      <c r="AF253" s="29" t="s">
        <v>1603</v>
      </c>
      <c r="AG253" s="23" t="s">
        <v>1196</v>
      </c>
      <c r="AH253" s="39">
        <v>44110</v>
      </c>
    </row>
    <row r="254" spans="1:44">
      <c r="A254" s="67" t="s">
        <v>1501</v>
      </c>
      <c r="B254" s="23" t="s">
        <v>1502</v>
      </c>
      <c r="C254" s="140">
        <v>44104</v>
      </c>
      <c r="D254" s="23" t="s">
        <v>729</v>
      </c>
      <c r="E254" s="23" t="s">
        <v>636</v>
      </c>
      <c r="F254" s="23" t="s">
        <v>1723</v>
      </c>
      <c r="G254" s="23" t="s">
        <v>1724</v>
      </c>
      <c r="W254" s="23" t="s">
        <v>1139</v>
      </c>
      <c r="Y254" s="37">
        <v>24500</v>
      </c>
      <c r="AB254" s="23" t="s">
        <v>1503</v>
      </c>
      <c r="AC254" s="23" t="s">
        <v>1138</v>
      </c>
      <c r="AD254" s="118"/>
      <c r="AE254" s="118"/>
      <c r="AG254" s="23" t="s">
        <v>1196</v>
      </c>
      <c r="AH254" s="39">
        <v>44110</v>
      </c>
    </row>
    <row r="255" spans="1:44" ht="64">
      <c r="A255" s="62" t="s">
        <v>1495</v>
      </c>
      <c r="B255" s="23" t="s">
        <v>1504</v>
      </c>
      <c r="C255" s="140">
        <v>44107</v>
      </c>
      <c r="D255" s="23" t="s">
        <v>729</v>
      </c>
      <c r="E255" s="23" t="s">
        <v>636</v>
      </c>
      <c r="F255" s="23" t="s">
        <v>1723</v>
      </c>
      <c r="G255" s="23" t="s">
        <v>1724</v>
      </c>
      <c r="Q255" s="140">
        <v>44113</v>
      </c>
      <c r="S255" s="23" t="s">
        <v>300</v>
      </c>
      <c r="T255" s="23" t="s">
        <v>363</v>
      </c>
      <c r="U255" s="23" t="s">
        <v>363</v>
      </c>
      <c r="V255" s="23" t="s">
        <v>298</v>
      </c>
      <c r="W255" s="23" t="s">
        <v>494</v>
      </c>
      <c r="Y255" s="37">
        <v>42380</v>
      </c>
      <c r="AB255" s="19" t="s">
        <v>1505</v>
      </c>
      <c r="AC255" s="23" t="s">
        <v>1506</v>
      </c>
      <c r="AD255" s="118">
        <v>0</v>
      </c>
      <c r="AE255" s="118">
        <v>2</v>
      </c>
      <c r="AF255" s="29" t="s">
        <v>1604</v>
      </c>
      <c r="AG255" s="23" t="s">
        <v>666</v>
      </c>
      <c r="AH255" s="39">
        <v>44110</v>
      </c>
    </row>
    <row r="256" spans="1:44" ht="64">
      <c r="A256" s="62" t="s">
        <v>1496</v>
      </c>
      <c r="B256" s="23" t="s">
        <v>1510</v>
      </c>
      <c r="C256" s="140">
        <v>44107</v>
      </c>
      <c r="D256" s="23" t="s">
        <v>729</v>
      </c>
      <c r="E256" s="23" t="s">
        <v>636</v>
      </c>
      <c r="F256" s="23" t="s">
        <v>1723</v>
      </c>
      <c r="G256" s="23" t="s">
        <v>1724</v>
      </c>
      <c r="Q256" s="140">
        <v>44113</v>
      </c>
      <c r="S256" s="23" t="s">
        <v>300</v>
      </c>
      <c r="T256" s="23" t="s">
        <v>363</v>
      </c>
      <c r="U256" s="23" t="s">
        <v>363</v>
      </c>
      <c r="V256" s="23" t="s">
        <v>298</v>
      </c>
      <c r="W256" s="23" t="s">
        <v>494</v>
      </c>
      <c r="Y256" s="37">
        <v>41380</v>
      </c>
      <c r="AB256" s="19" t="s">
        <v>1511</v>
      </c>
      <c r="AC256" s="23" t="s">
        <v>1512</v>
      </c>
      <c r="AD256" s="118">
        <v>0</v>
      </c>
      <c r="AE256" s="118">
        <v>2</v>
      </c>
      <c r="AF256" s="29" t="s">
        <v>1605</v>
      </c>
      <c r="AG256" s="23" t="s">
        <v>666</v>
      </c>
      <c r="AH256" s="39">
        <v>44110</v>
      </c>
    </row>
    <row r="257" spans="1:44" ht="48">
      <c r="A257" s="62" t="s">
        <v>1497</v>
      </c>
      <c r="B257" s="23" t="s">
        <v>1507</v>
      </c>
      <c r="C257" s="140">
        <v>44107</v>
      </c>
      <c r="D257" s="23" t="s">
        <v>729</v>
      </c>
      <c r="E257" s="23" t="s">
        <v>636</v>
      </c>
      <c r="F257" s="23" t="s">
        <v>1723</v>
      </c>
      <c r="G257" s="23" t="s">
        <v>1724</v>
      </c>
      <c r="Q257" s="140">
        <v>44113</v>
      </c>
      <c r="S257" s="23" t="s">
        <v>300</v>
      </c>
      <c r="T257" s="23" t="s">
        <v>363</v>
      </c>
      <c r="U257" s="23" t="s">
        <v>363</v>
      </c>
      <c r="V257" s="23" t="s">
        <v>298</v>
      </c>
      <c r="W257" s="23" t="s">
        <v>995</v>
      </c>
      <c r="Y257" s="37">
        <v>24150</v>
      </c>
      <c r="AB257" s="23" t="s">
        <v>1508</v>
      </c>
      <c r="AC257" s="23" t="s">
        <v>1509</v>
      </c>
      <c r="AD257" s="118">
        <v>0</v>
      </c>
      <c r="AE257" s="118">
        <v>1</v>
      </c>
      <c r="AF257" s="29" t="s">
        <v>1606</v>
      </c>
      <c r="AG257" s="23" t="s">
        <v>666</v>
      </c>
      <c r="AH257" s="39">
        <v>44110</v>
      </c>
    </row>
    <row r="258" spans="1:44" ht="48">
      <c r="A258" s="62" t="s">
        <v>1513</v>
      </c>
      <c r="B258" s="23" t="s">
        <v>1514</v>
      </c>
      <c r="C258" s="140">
        <v>44110</v>
      </c>
      <c r="D258" s="23" t="s">
        <v>729</v>
      </c>
      <c r="E258" s="23" t="s">
        <v>636</v>
      </c>
      <c r="F258" s="23" t="s">
        <v>1723</v>
      </c>
      <c r="G258" s="23" t="s">
        <v>1724</v>
      </c>
      <c r="Q258" s="140">
        <v>44112</v>
      </c>
      <c r="S258" s="23" t="s">
        <v>300</v>
      </c>
      <c r="T258" s="23" t="s">
        <v>363</v>
      </c>
      <c r="U258" s="23" t="s">
        <v>363</v>
      </c>
      <c r="V258" s="23" t="s">
        <v>298</v>
      </c>
      <c r="W258" s="23" t="s">
        <v>494</v>
      </c>
      <c r="Y258" s="37">
        <v>23930</v>
      </c>
      <c r="AB258" s="23" t="s">
        <v>1515</v>
      </c>
      <c r="AC258" s="23" t="s">
        <v>1516</v>
      </c>
      <c r="AD258" s="118">
        <v>0</v>
      </c>
      <c r="AE258" s="118">
        <v>1</v>
      </c>
      <c r="AF258" s="29" t="s">
        <v>1607</v>
      </c>
      <c r="AG258" s="23" t="s">
        <v>1517</v>
      </c>
      <c r="AH258" s="39">
        <v>44111</v>
      </c>
    </row>
    <row r="259" spans="1:44" ht="144">
      <c r="A259" s="71" t="s">
        <v>1518</v>
      </c>
      <c r="B259" s="23" t="s">
        <v>1519</v>
      </c>
      <c r="C259" s="140">
        <v>44111</v>
      </c>
      <c r="D259" s="23" t="s">
        <v>729</v>
      </c>
      <c r="E259" s="23" t="s">
        <v>636</v>
      </c>
      <c r="F259" s="23" t="s">
        <v>6576</v>
      </c>
      <c r="G259" s="23" t="s">
        <v>2912</v>
      </c>
      <c r="H259" s="23" t="s">
        <v>1520</v>
      </c>
      <c r="I259" s="23" t="s">
        <v>1520</v>
      </c>
      <c r="J259" s="140">
        <v>44109</v>
      </c>
      <c r="M259" s="26">
        <v>44111</v>
      </c>
      <c r="P259" s="23" t="s">
        <v>1521</v>
      </c>
      <c r="Q259" s="140">
        <v>44113</v>
      </c>
      <c r="S259" s="23" t="s">
        <v>183</v>
      </c>
      <c r="T259" s="23" t="s">
        <v>12031</v>
      </c>
      <c r="U259" s="23" t="s">
        <v>12031</v>
      </c>
      <c r="V259" s="23" t="s">
        <v>299</v>
      </c>
      <c r="W259" s="23" t="s">
        <v>1522</v>
      </c>
      <c r="Y259" s="37">
        <v>1973</v>
      </c>
      <c r="AB259" s="23" t="s">
        <v>1523</v>
      </c>
      <c r="AC259" s="23" t="s">
        <v>131</v>
      </c>
      <c r="AD259" s="118">
        <v>1</v>
      </c>
      <c r="AE259" s="118">
        <v>0</v>
      </c>
      <c r="AF259" s="29" t="s">
        <v>1238</v>
      </c>
      <c r="AG259" s="23" t="s">
        <v>1075</v>
      </c>
      <c r="AH259" s="39">
        <v>44111</v>
      </c>
    </row>
    <row r="260" spans="1:44" ht="64">
      <c r="A260" s="62" t="s">
        <v>1524</v>
      </c>
      <c r="B260" s="23" t="s">
        <v>1528</v>
      </c>
      <c r="C260" s="140">
        <v>44111</v>
      </c>
      <c r="D260" s="23" t="s">
        <v>729</v>
      </c>
      <c r="E260" s="23" t="s">
        <v>636</v>
      </c>
      <c r="F260" s="23" t="s">
        <v>1723</v>
      </c>
      <c r="G260" s="23" t="s">
        <v>1724</v>
      </c>
      <c r="Q260" s="140">
        <v>44116</v>
      </c>
      <c r="S260" s="23" t="s">
        <v>300</v>
      </c>
      <c r="T260" s="23" t="s">
        <v>363</v>
      </c>
      <c r="U260" s="23" t="s">
        <v>363</v>
      </c>
      <c r="V260" s="23" t="s">
        <v>298</v>
      </c>
      <c r="W260" s="23" t="s">
        <v>915</v>
      </c>
      <c r="Y260" s="37">
        <v>52480</v>
      </c>
      <c r="AB260" s="19" t="s">
        <v>1542</v>
      </c>
      <c r="AC260" s="23" t="s">
        <v>1529</v>
      </c>
      <c r="AD260" s="118">
        <v>0</v>
      </c>
      <c r="AE260" s="118">
        <v>2</v>
      </c>
      <c r="AF260" s="29" t="s">
        <v>1608</v>
      </c>
      <c r="AG260" s="23" t="s">
        <v>666</v>
      </c>
      <c r="AH260" s="39">
        <v>44114</v>
      </c>
    </row>
    <row r="261" spans="1:44" ht="48">
      <c r="A261" s="62" t="s">
        <v>1525</v>
      </c>
      <c r="B261" s="23" t="s">
        <v>1530</v>
      </c>
      <c r="C261" s="140">
        <v>44111</v>
      </c>
      <c r="D261" s="23" t="s">
        <v>729</v>
      </c>
      <c r="E261" s="23" t="s">
        <v>636</v>
      </c>
      <c r="F261" s="23" t="s">
        <v>1723</v>
      </c>
      <c r="G261" s="23" t="s">
        <v>1724</v>
      </c>
      <c r="Q261" s="140">
        <v>44116</v>
      </c>
      <c r="S261" s="23" t="s">
        <v>300</v>
      </c>
      <c r="T261" s="23" t="s">
        <v>363</v>
      </c>
      <c r="U261" s="23" t="s">
        <v>363</v>
      </c>
      <c r="V261" s="23" t="s">
        <v>298</v>
      </c>
      <c r="W261" s="23" t="s">
        <v>494</v>
      </c>
      <c r="Y261" s="37">
        <v>22210</v>
      </c>
      <c r="AB261" s="23" t="s">
        <v>1531</v>
      </c>
      <c r="AC261" s="23" t="s">
        <v>1532</v>
      </c>
      <c r="AD261" s="118">
        <v>0</v>
      </c>
      <c r="AE261" s="118">
        <v>1</v>
      </c>
      <c r="AF261" s="29" t="s">
        <v>1609</v>
      </c>
      <c r="AG261" s="23" t="s">
        <v>666</v>
      </c>
      <c r="AH261" s="39">
        <v>44114</v>
      </c>
    </row>
    <row r="262" spans="1:44" ht="48">
      <c r="A262" s="62" t="s">
        <v>1526</v>
      </c>
      <c r="B262" s="23" t="s">
        <v>1533</v>
      </c>
      <c r="C262" s="140">
        <v>44111</v>
      </c>
      <c r="D262" s="23" t="s">
        <v>729</v>
      </c>
      <c r="E262" s="23" t="s">
        <v>636</v>
      </c>
      <c r="F262" s="23" t="s">
        <v>1723</v>
      </c>
      <c r="G262" s="23" t="s">
        <v>1724</v>
      </c>
      <c r="Q262" s="140">
        <v>44116</v>
      </c>
      <c r="S262" s="23" t="s">
        <v>300</v>
      </c>
      <c r="T262" s="23" t="s">
        <v>363</v>
      </c>
      <c r="U262" s="23" t="s">
        <v>363</v>
      </c>
      <c r="V262" s="23" t="s">
        <v>298</v>
      </c>
      <c r="W262" s="23" t="s">
        <v>494</v>
      </c>
      <c r="Y262" s="37">
        <v>23100</v>
      </c>
      <c r="AB262" s="23" t="s">
        <v>1534</v>
      </c>
      <c r="AC262" s="23" t="s">
        <v>1535</v>
      </c>
      <c r="AD262" s="118">
        <v>0</v>
      </c>
      <c r="AE262" s="118">
        <v>1</v>
      </c>
      <c r="AF262" s="29" t="s">
        <v>1610</v>
      </c>
      <c r="AG262" s="23" t="s">
        <v>1517</v>
      </c>
      <c r="AH262" s="39">
        <v>44114</v>
      </c>
    </row>
    <row r="263" spans="1:44" ht="48">
      <c r="A263" s="62" t="s">
        <v>1527</v>
      </c>
      <c r="B263" s="23" t="s">
        <v>1536</v>
      </c>
      <c r="C263" s="140">
        <v>44110</v>
      </c>
      <c r="D263" s="23" t="s">
        <v>729</v>
      </c>
      <c r="E263" s="23" t="s">
        <v>636</v>
      </c>
      <c r="F263" s="23" t="s">
        <v>1723</v>
      </c>
      <c r="G263" s="23" t="s">
        <v>1724</v>
      </c>
      <c r="Q263" s="140">
        <v>44116</v>
      </c>
      <c r="S263" s="23" t="s">
        <v>300</v>
      </c>
      <c r="T263" s="23" t="s">
        <v>363</v>
      </c>
      <c r="U263" s="23" t="s">
        <v>363</v>
      </c>
      <c r="V263" s="23" t="s">
        <v>298</v>
      </c>
      <c r="W263" s="23" t="s">
        <v>494</v>
      </c>
      <c r="Y263" s="37">
        <v>20630</v>
      </c>
      <c r="AB263" s="23" t="s">
        <v>1539</v>
      </c>
      <c r="AC263" s="23" t="s">
        <v>1540</v>
      </c>
      <c r="AD263" s="118">
        <v>0</v>
      </c>
      <c r="AE263" s="118">
        <v>3</v>
      </c>
      <c r="AF263" s="29" t="s">
        <v>1611</v>
      </c>
      <c r="AG263" s="23" t="s">
        <v>1196</v>
      </c>
      <c r="AH263" s="39">
        <v>44114</v>
      </c>
    </row>
    <row r="264" spans="1:44" ht="64">
      <c r="A264" s="67" t="s">
        <v>1538</v>
      </c>
      <c r="B264" s="23" t="s">
        <v>1537</v>
      </c>
      <c r="C264" s="140">
        <v>44110</v>
      </c>
      <c r="Q264" s="140">
        <v>44116</v>
      </c>
      <c r="S264" s="23" t="s">
        <v>300</v>
      </c>
      <c r="T264" s="23" t="s">
        <v>363</v>
      </c>
      <c r="U264" s="23" t="s">
        <v>363</v>
      </c>
      <c r="V264" s="23" t="s">
        <v>298</v>
      </c>
      <c r="W264" s="23" t="s">
        <v>995</v>
      </c>
      <c r="Y264" s="37">
        <v>49000</v>
      </c>
      <c r="AB264" s="19" t="s">
        <v>1541</v>
      </c>
      <c r="AC264" s="23" t="s">
        <v>1379</v>
      </c>
      <c r="AD264" s="118"/>
      <c r="AE264" s="118"/>
      <c r="AG264" s="23" t="s">
        <v>666</v>
      </c>
      <c r="AH264" s="39">
        <v>44114</v>
      </c>
    </row>
    <row r="265" spans="1:44" ht="256">
      <c r="A265" s="62" t="s">
        <v>1543</v>
      </c>
      <c r="B265" s="23" t="s">
        <v>1550</v>
      </c>
      <c r="C265" s="140">
        <v>44097</v>
      </c>
      <c r="D265" s="23" t="s">
        <v>729</v>
      </c>
      <c r="E265" s="23" t="s">
        <v>752</v>
      </c>
      <c r="F265" s="23" t="s">
        <v>2200</v>
      </c>
      <c r="G265" s="23" t="s">
        <v>150</v>
      </c>
      <c r="H265" s="23" t="s">
        <v>3668</v>
      </c>
      <c r="I265" s="23" t="s">
        <v>3668</v>
      </c>
      <c r="J265" s="140">
        <v>44096</v>
      </c>
      <c r="K265" s="23" t="s">
        <v>1551</v>
      </c>
      <c r="L265" s="140">
        <v>44101</v>
      </c>
      <c r="M265" s="26">
        <v>44116</v>
      </c>
      <c r="N265" s="23" t="s">
        <v>1490</v>
      </c>
      <c r="S265" s="23" t="s">
        <v>300</v>
      </c>
      <c r="T265" s="23" t="s">
        <v>305</v>
      </c>
      <c r="U265" s="23" t="s">
        <v>305</v>
      </c>
      <c r="V265" s="23" t="s">
        <v>299</v>
      </c>
      <c r="W265" s="23" t="s">
        <v>1305</v>
      </c>
      <c r="Y265" s="37">
        <v>28730</v>
      </c>
      <c r="AB265" s="19" t="s">
        <v>1552</v>
      </c>
      <c r="AC265" s="23">
        <v>16</v>
      </c>
      <c r="AD265" s="118">
        <v>0</v>
      </c>
      <c r="AE265" s="118">
        <v>8</v>
      </c>
      <c r="AF265" s="29"/>
      <c r="AG265" s="23" t="s">
        <v>1553</v>
      </c>
      <c r="AH265" s="39">
        <v>44116</v>
      </c>
      <c r="AJ265" s="75">
        <v>44123</v>
      </c>
      <c r="AL265" s="53">
        <f>AJ265+180</f>
        <v>44303</v>
      </c>
      <c r="AN265" s="53"/>
      <c r="AO265" s="53"/>
      <c r="AP265" s="53"/>
      <c r="AQ265" s="53"/>
      <c r="AR265" s="53"/>
    </row>
    <row r="266" spans="1:44" ht="48">
      <c r="A266" s="62" t="s">
        <v>1544</v>
      </c>
      <c r="B266" s="23" t="s">
        <v>1545</v>
      </c>
      <c r="C266" s="140">
        <v>44086</v>
      </c>
      <c r="D266" s="23" t="s">
        <v>729</v>
      </c>
      <c r="E266" s="23" t="s">
        <v>752</v>
      </c>
      <c r="F266" s="23" t="s">
        <v>1725</v>
      </c>
      <c r="G266" s="23" t="s">
        <v>1724</v>
      </c>
      <c r="P266" s="28" t="s">
        <v>1546</v>
      </c>
      <c r="Q266" s="140">
        <v>44117</v>
      </c>
      <c r="S266" s="23" t="s">
        <v>759</v>
      </c>
      <c r="T266" s="23" t="s">
        <v>304</v>
      </c>
      <c r="U266" s="23" t="s">
        <v>304</v>
      </c>
      <c r="V266" s="23" t="s">
        <v>298</v>
      </c>
      <c r="W266" s="19" t="s">
        <v>1548</v>
      </c>
      <c r="Y266" s="37">
        <v>3000</v>
      </c>
      <c r="AB266" s="23" t="s">
        <v>1547</v>
      </c>
      <c r="AC266" s="23" t="s">
        <v>131</v>
      </c>
      <c r="AD266" s="118">
        <v>0</v>
      </c>
      <c r="AE266" s="118">
        <v>1</v>
      </c>
      <c r="AF266" s="29" t="s">
        <v>1612</v>
      </c>
      <c r="AG266" s="23" t="s">
        <v>1549</v>
      </c>
      <c r="AH266" s="39">
        <v>44117</v>
      </c>
    </row>
    <row r="267" spans="1:44" ht="64">
      <c r="A267" s="62" t="s">
        <v>1554</v>
      </c>
      <c r="B267" s="23" t="s">
        <v>1560</v>
      </c>
      <c r="C267" s="140">
        <v>44117</v>
      </c>
      <c r="D267" s="23" t="s">
        <v>729</v>
      </c>
      <c r="E267" s="23" t="s">
        <v>636</v>
      </c>
      <c r="F267" s="23" t="s">
        <v>1723</v>
      </c>
      <c r="G267" s="23" t="s">
        <v>1724</v>
      </c>
      <c r="Q267" s="140">
        <v>44120</v>
      </c>
      <c r="S267" s="23" t="s">
        <v>300</v>
      </c>
      <c r="T267" s="23" t="s">
        <v>363</v>
      </c>
      <c r="U267" s="23" t="s">
        <v>363</v>
      </c>
      <c r="V267" s="23" t="s">
        <v>298</v>
      </c>
      <c r="W267" s="23" t="s">
        <v>494</v>
      </c>
      <c r="Y267" s="37">
        <v>40630</v>
      </c>
      <c r="AB267" s="19" t="s">
        <v>1561</v>
      </c>
      <c r="AC267" s="23" t="s">
        <v>1562</v>
      </c>
      <c r="AD267" s="118">
        <v>0</v>
      </c>
      <c r="AE267" s="118">
        <v>2</v>
      </c>
      <c r="AF267" s="29" t="s">
        <v>1613</v>
      </c>
      <c r="AG267" s="23" t="s">
        <v>666</v>
      </c>
      <c r="AH267" s="39">
        <v>44119</v>
      </c>
    </row>
    <row r="268" spans="1:44" ht="48">
      <c r="A268" s="62" t="s">
        <v>1555</v>
      </c>
      <c r="B268" s="23" t="s">
        <v>1563</v>
      </c>
      <c r="C268" s="140">
        <v>44117</v>
      </c>
      <c r="D268" s="23" t="s">
        <v>729</v>
      </c>
      <c r="E268" s="23" t="s">
        <v>636</v>
      </c>
      <c r="F268" s="23" t="s">
        <v>1723</v>
      </c>
      <c r="G268" s="23" t="s">
        <v>1724</v>
      </c>
      <c r="Q268" s="140">
        <v>44120</v>
      </c>
      <c r="S268" s="23" t="s">
        <v>300</v>
      </c>
      <c r="T268" s="23" t="s">
        <v>363</v>
      </c>
      <c r="U268" s="23" t="s">
        <v>363</v>
      </c>
      <c r="V268" s="23" t="s">
        <v>298</v>
      </c>
      <c r="W268" s="23" t="s">
        <v>494</v>
      </c>
      <c r="Y268" s="37">
        <v>23032</v>
      </c>
      <c r="AB268" s="23" t="s">
        <v>1564</v>
      </c>
      <c r="AC268" s="23" t="s">
        <v>1565</v>
      </c>
      <c r="AD268" s="118">
        <v>0</v>
      </c>
      <c r="AE268" s="118">
        <v>1</v>
      </c>
      <c r="AF268" s="29" t="s">
        <v>1614</v>
      </c>
      <c r="AG268" s="23" t="s">
        <v>666</v>
      </c>
      <c r="AH268" s="39">
        <v>44119</v>
      </c>
    </row>
    <row r="269" spans="1:44" ht="64">
      <c r="A269" s="62" t="s">
        <v>1556</v>
      </c>
      <c r="B269" s="23" t="s">
        <v>1566</v>
      </c>
      <c r="C269" s="140">
        <v>44117</v>
      </c>
      <c r="D269" s="23" t="s">
        <v>729</v>
      </c>
      <c r="E269" s="23" t="s">
        <v>636</v>
      </c>
      <c r="F269" s="23" t="s">
        <v>1723</v>
      </c>
      <c r="G269" s="23" t="s">
        <v>1724</v>
      </c>
      <c r="Q269" s="140">
        <v>44120</v>
      </c>
      <c r="S269" s="23" t="s">
        <v>300</v>
      </c>
      <c r="T269" s="23" t="s">
        <v>363</v>
      </c>
      <c r="U269" s="23" t="s">
        <v>363</v>
      </c>
      <c r="V269" s="23" t="s">
        <v>298</v>
      </c>
      <c r="W269" s="23" t="s">
        <v>915</v>
      </c>
      <c r="Y269" s="37">
        <v>53300</v>
      </c>
      <c r="AB269" s="19" t="s">
        <v>1567</v>
      </c>
      <c r="AC269" s="23" t="s">
        <v>1325</v>
      </c>
      <c r="AD269" s="118">
        <v>0</v>
      </c>
      <c r="AE269" s="118">
        <v>2</v>
      </c>
      <c r="AF269" s="29" t="s">
        <v>1615</v>
      </c>
      <c r="AG269" s="23" t="s">
        <v>666</v>
      </c>
      <c r="AH269" s="39">
        <v>44119</v>
      </c>
    </row>
    <row r="270" spans="1:44" ht="64">
      <c r="A270" s="62" t="s">
        <v>1557</v>
      </c>
      <c r="B270" s="23" t="s">
        <v>1568</v>
      </c>
      <c r="C270" s="140">
        <v>44117</v>
      </c>
      <c r="D270" s="23" t="s">
        <v>729</v>
      </c>
      <c r="E270" s="23" t="s">
        <v>636</v>
      </c>
      <c r="F270" s="23" t="s">
        <v>1723</v>
      </c>
      <c r="G270" s="23" t="s">
        <v>1724</v>
      </c>
      <c r="Q270" s="140">
        <v>44120</v>
      </c>
      <c r="S270" s="23" t="s">
        <v>300</v>
      </c>
      <c r="T270" s="23" t="s">
        <v>363</v>
      </c>
      <c r="U270" s="23" t="s">
        <v>363</v>
      </c>
      <c r="V270" s="23" t="s">
        <v>298</v>
      </c>
      <c r="W270" s="23" t="s">
        <v>494</v>
      </c>
      <c r="Y270" s="37">
        <v>42185</v>
      </c>
      <c r="AB270" s="19" t="s">
        <v>1569</v>
      </c>
      <c r="AC270" s="23" t="s">
        <v>1570</v>
      </c>
      <c r="AD270" s="118">
        <v>0</v>
      </c>
      <c r="AE270" s="118">
        <v>2</v>
      </c>
      <c r="AF270" s="29" t="s">
        <v>1616</v>
      </c>
      <c r="AG270" s="23" t="s">
        <v>666</v>
      </c>
      <c r="AH270" s="39">
        <v>44119</v>
      </c>
    </row>
    <row r="271" spans="1:44" ht="48">
      <c r="A271" s="62" t="s">
        <v>1558</v>
      </c>
      <c r="B271" s="23" t="s">
        <v>1573</v>
      </c>
      <c r="C271" s="140">
        <v>44113</v>
      </c>
      <c r="D271" s="23" t="s">
        <v>729</v>
      </c>
      <c r="E271" s="23" t="s">
        <v>636</v>
      </c>
      <c r="F271" s="23" t="s">
        <v>1723</v>
      </c>
      <c r="G271" s="23" t="s">
        <v>1724</v>
      </c>
      <c r="Q271" s="140">
        <v>44120</v>
      </c>
      <c r="S271" s="23" t="s">
        <v>300</v>
      </c>
      <c r="T271" s="23" t="s">
        <v>363</v>
      </c>
      <c r="U271" s="23" t="s">
        <v>363</v>
      </c>
      <c r="V271" s="23" t="s">
        <v>298</v>
      </c>
      <c r="W271" s="23" t="s">
        <v>915</v>
      </c>
      <c r="Y271" s="37">
        <v>26486</v>
      </c>
      <c r="AB271" s="23" t="s">
        <v>1574</v>
      </c>
      <c r="AC271" s="23" t="s">
        <v>1575</v>
      </c>
      <c r="AD271" s="118">
        <v>0</v>
      </c>
      <c r="AE271" s="118">
        <v>4</v>
      </c>
      <c r="AF271" s="29" t="s">
        <v>1617</v>
      </c>
      <c r="AG271" s="23" t="s">
        <v>1196</v>
      </c>
      <c r="AH271" s="39">
        <v>44119</v>
      </c>
    </row>
    <row r="272" spans="1:44">
      <c r="A272" s="67" t="s">
        <v>1571</v>
      </c>
      <c r="B272" s="23" t="s">
        <v>1576</v>
      </c>
      <c r="C272" s="140">
        <v>44113</v>
      </c>
      <c r="W272" s="23" t="s">
        <v>1139</v>
      </c>
      <c r="Y272" s="37">
        <v>26000</v>
      </c>
      <c r="AB272" s="23" t="s">
        <v>1577</v>
      </c>
      <c r="AC272" s="23" t="s">
        <v>1473</v>
      </c>
      <c r="AD272" s="118"/>
      <c r="AE272" s="118"/>
      <c r="AG272" s="23" t="s">
        <v>1196</v>
      </c>
      <c r="AH272" s="39">
        <v>44119</v>
      </c>
    </row>
    <row r="273" spans="1:44" ht="64">
      <c r="A273" s="67" t="s">
        <v>1572</v>
      </c>
      <c r="B273" s="23" t="s">
        <v>1578</v>
      </c>
      <c r="C273" s="140">
        <v>44113</v>
      </c>
      <c r="W273" s="23" t="s">
        <v>995</v>
      </c>
      <c r="Y273" s="37">
        <v>52500</v>
      </c>
      <c r="AB273" s="19" t="s">
        <v>1579</v>
      </c>
      <c r="AC273" s="23" t="s">
        <v>1580</v>
      </c>
      <c r="AD273" s="118"/>
      <c r="AE273" s="118"/>
      <c r="AG273" s="23" t="s">
        <v>1581</v>
      </c>
      <c r="AH273" s="39">
        <v>44119</v>
      </c>
    </row>
    <row r="274" spans="1:44" ht="48">
      <c r="A274" s="62" t="s">
        <v>1559</v>
      </c>
      <c r="B274" s="23" t="s">
        <v>1582</v>
      </c>
      <c r="C274" s="140">
        <v>44117</v>
      </c>
      <c r="D274" s="23" t="s">
        <v>729</v>
      </c>
      <c r="E274" s="23" t="s">
        <v>636</v>
      </c>
      <c r="F274" s="23" t="s">
        <v>1723</v>
      </c>
      <c r="G274" s="23" t="s">
        <v>1724</v>
      </c>
      <c r="Q274" s="140">
        <v>44120</v>
      </c>
      <c r="S274" s="23" t="s">
        <v>300</v>
      </c>
      <c r="T274" s="23" t="s">
        <v>363</v>
      </c>
      <c r="U274" s="23" t="s">
        <v>363</v>
      </c>
      <c r="V274" s="23" t="s">
        <v>298</v>
      </c>
      <c r="W274" s="23" t="s">
        <v>494</v>
      </c>
      <c r="Y274" s="37">
        <v>24852</v>
      </c>
      <c r="AB274" s="23" t="s">
        <v>1583</v>
      </c>
      <c r="AC274" s="23" t="s">
        <v>1584</v>
      </c>
      <c r="AD274" s="118">
        <v>0</v>
      </c>
      <c r="AE274" s="118">
        <v>1</v>
      </c>
      <c r="AF274" s="29" t="s">
        <v>1618</v>
      </c>
      <c r="AG274" s="23" t="s">
        <v>1585</v>
      </c>
      <c r="AH274" s="39">
        <v>44119</v>
      </c>
    </row>
    <row r="275" spans="1:44">
      <c r="A275" s="71" t="s">
        <v>1586</v>
      </c>
      <c r="B275" s="23" t="s">
        <v>1588</v>
      </c>
      <c r="C275" s="140">
        <v>44091</v>
      </c>
      <c r="D275" s="23" t="s">
        <v>729</v>
      </c>
      <c r="E275" s="23" t="s">
        <v>752</v>
      </c>
      <c r="F275" s="23" t="s">
        <v>2111</v>
      </c>
      <c r="G275" s="23" t="s">
        <v>1989</v>
      </c>
      <c r="P275" s="23" t="s">
        <v>1587</v>
      </c>
      <c r="Q275" s="140">
        <v>44113</v>
      </c>
      <c r="S275" s="23" t="s">
        <v>300</v>
      </c>
      <c r="T275" s="23" t="s">
        <v>304</v>
      </c>
      <c r="U275" s="23" t="s">
        <v>304</v>
      </c>
      <c r="V275" s="23" t="s">
        <v>298</v>
      </c>
      <c r="W275" s="23" t="s">
        <v>1589</v>
      </c>
      <c r="Y275" s="37">
        <v>4862</v>
      </c>
      <c r="AB275" s="23" t="s">
        <v>1590</v>
      </c>
      <c r="AC275" s="23" t="s">
        <v>123</v>
      </c>
      <c r="AD275" s="118">
        <v>0</v>
      </c>
      <c r="AE275" s="118">
        <v>1</v>
      </c>
      <c r="AG275" s="23" t="s">
        <v>1591</v>
      </c>
      <c r="AH275" s="39">
        <v>44119</v>
      </c>
      <c r="AJ275" s="75">
        <v>44125</v>
      </c>
      <c r="AL275" s="53">
        <f>AJ275+180</f>
        <v>44305</v>
      </c>
      <c r="AN275" s="53"/>
      <c r="AO275" s="53"/>
      <c r="AP275" s="53"/>
      <c r="AQ275" s="53"/>
      <c r="AR275" s="53"/>
    </row>
    <row r="276" spans="1:44" ht="64">
      <c r="A276" s="62" t="s">
        <v>1593</v>
      </c>
      <c r="B276" s="23" t="s">
        <v>1619</v>
      </c>
      <c r="C276" s="140">
        <v>44105</v>
      </c>
      <c r="D276" s="23" t="s">
        <v>729</v>
      </c>
      <c r="E276" s="23" t="s">
        <v>752</v>
      </c>
      <c r="F276" s="23" t="s">
        <v>2166</v>
      </c>
      <c r="G276" s="23" t="s">
        <v>2197</v>
      </c>
      <c r="P276" s="23" t="s">
        <v>1620</v>
      </c>
      <c r="Q276" s="140">
        <v>44124</v>
      </c>
      <c r="S276" s="23" t="s">
        <v>300</v>
      </c>
      <c r="T276" s="23" t="s">
        <v>305</v>
      </c>
      <c r="U276" s="23" t="s">
        <v>305</v>
      </c>
      <c r="V276" s="23" t="s">
        <v>298</v>
      </c>
      <c r="W276" s="23" t="s">
        <v>406</v>
      </c>
      <c r="Y276" s="37">
        <v>3429.5</v>
      </c>
      <c r="AB276" s="19" t="s">
        <v>1621</v>
      </c>
      <c r="AC276" s="23" t="s">
        <v>1622</v>
      </c>
      <c r="AD276" s="118">
        <v>1</v>
      </c>
      <c r="AE276" s="118">
        <v>1</v>
      </c>
      <c r="AF276" s="29" t="s">
        <v>1726</v>
      </c>
      <c r="AG276" s="23" t="s">
        <v>659</v>
      </c>
      <c r="AH276" s="39">
        <v>44124</v>
      </c>
    </row>
    <row r="277" spans="1:44" ht="96">
      <c r="A277" s="63" t="s">
        <v>1623</v>
      </c>
      <c r="B277" s="23" t="s">
        <v>1625</v>
      </c>
      <c r="C277" s="140">
        <v>44118</v>
      </c>
      <c r="D277" s="23" t="s">
        <v>729</v>
      </c>
      <c r="E277" s="23" t="s">
        <v>752</v>
      </c>
      <c r="F277" s="23" t="s">
        <v>57</v>
      </c>
      <c r="G277" s="23" t="s">
        <v>348</v>
      </c>
      <c r="H277" s="23" t="s">
        <v>1624</v>
      </c>
      <c r="I277" s="23" t="s">
        <v>1624</v>
      </c>
      <c r="J277" s="140">
        <v>44112</v>
      </c>
      <c r="K277" s="23" t="s">
        <v>1626</v>
      </c>
      <c r="L277" s="140">
        <v>44120</v>
      </c>
      <c r="M277" s="26">
        <v>44124</v>
      </c>
      <c r="P277" s="23" t="s">
        <v>1627</v>
      </c>
      <c r="Q277" s="140">
        <v>44125</v>
      </c>
      <c r="S277" s="23" t="s">
        <v>183</v>
      </c>
      <c r="T277" s="23" t="s">
        <v>305</v>
      </c>
      <c r="U277" s="23" t="s">
        <v>305</v>
      </c>
      <c r="V277" s="23" t="s">
        <v>233</v>
      </c>
      <c r="W277" s="23" t="s">
        <v>1628</v>
      </c>
      <c r="X277" s="37">
        <v>33045</v>
      </c>
      <c r="Y277" s="37">
        <v>33253.800000000003</v>
      </c>
      <c r="Z277" s="23">
        <v>28749.15</v>
      </c>
      <c r="AA277" s="23">
        <v>27553.15</v>
      </c>
      <c r="AB277" s="23" t="s">
        <v>1629</v>
      </c>
      <c r="AC277" s="23" t="s">
        <v>791</v>
      </c>
      <c r="AD277" s="118">
        <v>0</v>
      </c>
      <c r="AE277" s="118">
        <v>2</v>
      </c>
      <c r="AF277" s="29" t="s">
        <v>1884</v>
      </c>
      <c r="AG277" s="23" t="s">
        <v>792</v>
      </c>
      <c r="AH277" s="39">
        <v>44124</v>
      </c>
    </row>
    <row r="278" spans="1:44" ht="192">
      <c r="A278" s="71" t="s">
        <v>1630</v>
      </c>
      <c r="B278" s="23" t="s">
        <v>1675</v>
      </c>
      <c r="C278" s="140">
        <v>44105</v>
      </c>
      <c r="D278" s="23" t="s">
        <v>729</v>
      </c>
      <c r="E278" s="23" t="s">
        <v>752</v>
      </c>
      <c r="F278" s="23" t="s">
        <v>2200</v>
      </c>
      <c r="G278" s="23" t="s">
        <v>150</v>
      </c>
      <c r="H278" s="23" t="s">
        <v>1624</v>
      </c>
      <c r="I278" s="23" t="s">
        <v>1624</v>
      </c>
      <c r="J278" s="140">
        <v>44084</v>
      </c>
      <c r="K278" s="23" t="s">
        <v>1676</v>
      </c>
      <c r="L278" s="140">
        <v>44114</v>
      </c>
      <c r="M278" s="26">
        <v>44124</v>
      </c>
      <c r="S278" s="23" t="s">
        <v>300</v>
      </c>
      <c r="T278" s="23" t="s">
        <v>305</v>
      </c>
      <c r="U278" s="23" t="s">
        <v>305</v>
      </c>
      <c r="V278" s="23" t="s">
        <v>299</v>
      </c>
      <c r="W278" s="23" t="s">
        <v>1677</v>
      </c>
      <c r="X278" s="37">
        <v>25380</v>
      </c>
      <c r="Y278" s="37">
        <v>25380</v>
      </c>
      <c r="Z278" s="23">
        <v>234000</v>
      </c>
      <c r="AA278" s="37">
        <v>229200</v>
      </c>
      <c r="AB278" s="19" t="s">
        <v>1819</v>
      </c>
      <c r="AC278" s="23" t="s">
        <v>345</v>
      </c>
      <c r="AD278" s="118">
        <v>0</v>
      </c>
      <c r="AE278" s="118">
        <v>6</v>
      </c>
      <c r="AG278" s="23" t="s">
        <v>1553</v>
      </c>
      <c r="AJ278" s="75">
        <v>44130</v>
      </c>
      <c r="AL278" s="53">
        <f>AJ278+180</f>
        <v>44310</v>
      </c>
      <c r="AN278" s="53"/>
      <c r="AO278" s="53"/>
      <c r="AP278" s="53"/>
      <c r="AQ278" s="53"/>
      <c r="AR278" s="53"/>
    </row>
    <row r="279" spans="1:44" ht="160">
      <c r="A279" s="62" t="s">
        <v>1631</v>
      </c>
      <c r="B279" s="23" t="s">
        <v>1678</v>
      </c>
      <c r="C279" s="140">
        <v>44105</v>
      </c>
      <c r="D279" s="23" t="s">
        <v>729</v>
      </c>
      <c r="E279" s="23" t="s">
        <v>752</v>
      </c>
      <c r="F279" s="23" t="s">
        <v>2200</v>
      </c>
      <c r="G279" s="23" t="s">
        <v>150</v>
      </c>
      <c r="H279" s="23" t="s">
        <v>1679</v>
      </c>
      <c r="I279" s="23" t="s">
        <v>1624</v>
      </c>
      <c r="J279" s="140">
        <v>44084</v>
      </c>
      <c r="K279" s="23" t="s">
        <v>1680</v>
      </c>
      <c r="L279" s="140">
        <v>44114</v>
      </c>
      <c r="M279" s="26">
        <v>44124</v>
      </c>
      <c r="S279" s="23" t="s">
        <v>300</v>
      </c>
      <c r="T279" s="23" t="s">
        <v>305</v>
      </c>
      <c r="U279" s="23" t="s">
        <v>305</v>
      </c>
      <c r="V279" s="23" t="s">
        <v>299</v>
      </c>
      <c r="W279" s="23" t="s">
        <v>1677</v>
      </c>
      <c r="X279" s="23">
        <v>21150</v>
      </c>
      <c r="Y279" s="23">
        <v>21150</v>
      </c>
      <c r="Z279" s="23">
        <v>195000</v>
      </c>
      <c r="AA279" s="37">
        <v>181000</v>
      </c>
      <c r="AB279" s="19" t="s">
        <v>1818</v>
      </c>
      <c r="AC279" s="23" t="s">
        <v>954</v>
      </c>
      <c r="AD279" s="118">
        <v>0</v>
      </c>
      <c r="AE279" s="118">
        <v>5</v>
      </c>
      <c r="AG279" s="23" t="s">
        <v>1553</v>
      </c>
      <c r="AI279" s="53" t="s">
        <v>2661</v>
      </c>
      <c r="AJ279" s="75">
        <v>44130</v>
      </c>
      <c r="AL279" s="53">
        <f>AJ279+180</f>
        <v>44310</v>
      </c>
      <c r="AN279" s="53"/>
      <c r="AO279" s="53"/>
      <c r="AP279" s="53"/>
      <c r="AQ279" s="53"/>
      <c r="AR279" s="53"/>
    </row>
    <row r="280" spans="1:44" ht="48">
      <c r="A280" s="62" t="s">
        <v>1632</v>
      </c>
      <c r="B280" s="23">
        <v>205404232</v>
      </c>
      <c r="C280" s="140">
        <v>44119</v>
      </c>
      <c r="D280" s="23" t="s">
        <v>729</v>
      </c>
      <c r="E280" s="23" t="s">
        <v>636</v>
      </c>
      <c r="F280" s="23" t="s">
        <v>1723</v>
      </c>
      <c r="G280" s="23" t="s">
        <v>1724</v>
      </c>
      <c r="Q280" s="140">
        <v>44125</v>
      </c>
      <c r="S280" s="23" t="s">
        <v>300</v>
      </c>
      <c r="T280" s="23" t="s">
        <v>363</v>
      </c>
      <c r="U280" s="23" t="s">
        <v>363</v>
      </c>
      <c r="V280" s="23" t="s">
        <v>298</v>
      </c>
      <c r="W280" s="23" t="s">
        <v>494</v>
      </c>
      <c r="Y280" s="37">
        <v>24248</v>
      </c>
      <c r="AB280" s="23" t="s">
        <v>1638</v>
      </c>
      <c r="AC280" s="23" t="s">
        <v>1639</v>
      </c>
      <c r="AD280" s="118">
        <v>0</v>
      </c>
      <c r="AE280" s="118">
        <v>3</v>
      </c>
      <c r="AF280" s="29" t="s">
        <v>1727</v>
      </c>
      <c r="AG280" s="23" t="s">
        <v>1640</v>
      </c>
      <c r="AH280" s="39">
        <v>44124</v>
      </c>
    </row>
    <row r="281" spans="1:44">
      <c r="A281" s="62" t="s">
        <v>1641</v>
      </c>
      <c r="B281" s="23" t="s">
        <v>1642</v>
      </c>
      <c r="C281" s="140">
        <v>44119</v>
      </c>
      <c r="W281" s="23" t="s">
        <v>1139</v>
      </c>
      <c r="Y281" s="37">
        <v>26000</v>
      </c>
      <c r="AB281" s="23" t="s">
        <v>1643</v>
      </c>
      <c r="AC281" s="23" t="s">
        <v>1473</v>
      </c>
      <c r="AD281" s="118"/>
      <c r="AE281" s="118"/>
      <c r="AG281" s="23" t="s">
        <v>1196</v>
      </c>
      <c r="AH281" s="39">
        <v>44124</v>
      </c>
    </row>
    <row r="282" spans="1:44">
      <c r="A282" s="62" t="s">
        <v>1644</v>
      </c>
      <c r="B282" s="23" t="s">
        <v>1645</v>
      </c>
      <c r="C282" s="140">
        <v>44119</v>
      </c>
      <c r="W282" s="23" t="s">
        <v>995</v>
      </c>
      <c r="Y282" s="37">
        <v>25900</v>
      </c>
      <c r="AB282" s="23" t="s">
        <v>1646</v>
      </c>
      <c r="AC282" s="23" t="s">
        <v>1647</v>
      </c>
      <c r="AD282" s="118"/>
      <c r="AE282" s="118"/>
      <c r="AG282" s="23" t="s">
        <v>1581</v>
      </c>
      <c r="AH282" s="39">
        <v>44124</v>
      </c>
    </row>
    <row r="283" spans="1:44" ht="48">
      <c r="A283" s="62" t="s">
        <v>1633</v>
      </c>
      <c r="B283" s="23" t="s">
        <v>1648</v>
      </c>
      <c r="C283" s="140">
        <v>44119</v>
      </c>
      <c r="D283" s="23" t="s">
        <v>729</v>
      </c>
      <c r="E283" s="23" t="s">
        <v>636</v>
      </c>
      <c r="F283" s="23" t="s">
        <v>1723</v>
      </c>
      <c r="G283" s="23" t="s">
        <v>1724</v>
      </c>
      <c r="Q283" s="140">
        <v>44126</v>
      </c>
      <c r="S283" s="23" t="s">
        <v>300</v>
      </c>
      <c r="T283" s="23" t="s">
        <v>363</v>
      </c>
      <c r="U283" s="23" t="s">
        <v>363</v>
      </c>
      <c r="V283" s="23" t="s">
        <v>298</v>
      </c>
      <c r="W283" s="23" t="s">
        <v>830</v>
      </c>
      <c r="Y283" s="37">
        <v>24000</v>
      </c>
      <c r="AB283" s="23" t="s">
        <v>1649</v>
      </c>
      <c r="AC283" s="23" t="s">
        <v>675</v>
      </c>
      <c r="AD283" s="118">
        <v>0</v>
      </c>
      <c r="AE283" s="118">
        <v>4</v>
      </c>
      <c r="AF283" s="29" t="s">
        <v>1728</v>
      </c>
      <c r="AG283" s="23" t="s">
        <v>665</v>
      </c>
      <c r="AH283" s="39">
        <v>44124</v>
      </c>
    </row>
    <row r="284" spans="1:44" ht="64">
      <c r="A284" s="62" t="s">
        <v>1651</v>
      </c>
      <c r="B284" s="23" t="s">
        <v>1650</v>
      </c>
      <c r="C284" s="140">
        <v>44122</v>
      </c>
      <c r="W284" s="23" t="s">
        <v>494</v>
      </c>
      <c r="Y284" s="37">
        <v>43430</v>
      </c>
      <c r="AB284" s="19" t="s">
        <v>1652</v>
      </c>
      <c r="AC284" s="23" t="s">
        <v>1653</v>
      </c>
      <c r="AD284" s="118"/>
      <c r="AE284" s="118"/>
      <c r="AG284" s="23" t="s">
        <v>666</v>
      </c>
      <c r="AH284" s="39">
        <v>44124</v>
      </c>
    </row>
    <row r="285" spans="1:44">
      <c r="A285" s="62" t="s">
        <v>1654</v>
      </c>
      <c r="B285" s="23" t="s">
        <v>1655</v>
      </c>
      <c r="C285" s="140">
        <v>44121</v>
      </c>
      <c r="W285" s="23" t="s">
        <v>1139</v>
      </c>
      <c r="Y285" s="37">
        <v>26000</v>
      </c>
      <c r="AB285" s="23" t="s">
        <v>1656</v>
      </c>
      <c r="AC285" s="23" t="s">
        <v>1473</v>
      </c>
      <c r="AD285" s="118"/>
      <c r="AE285" s="118"/>
      <c r="AG285" s="23" t="s">
        <v>665</v>
      </c>
      <c r="AH285" s="39">
        <v>44124</v>
      </c>
    </row>
    <row r="286" spans="1:44" ht="64">
      <c r="A286" s="62" t="s">
        <v>1634</v>
      </c>
      <c r="B286" s="23" t="s">
        <v>1657</v>
      </c>
      <c r="C286" s="140">
        <v>44122</v>
      </c>
      <c r="D286" s="23" t="s">
        <v>729</v>
      </c>
      <c r="F286" s="23" t="s">
        <v>1723</v>
      </c>
      <c r="G286" s="23" t="s">
        <v>1724</v>
      </c>
      <c r="Q286" s="140">
        <v>44126</v>
      </c>
      <c r="S286" s="23" t="s">
        <v>300</v>
      </c>
      <c r="T286" s="23" t="s">
        <v>363</v>
      </c>
      <c r="U286" s="23" t="s">
        <v>363</v>
      </c>
      <c r="V286" s="23" t="s">
        <v>298</v>
      </c>
      <c r="W286" s="23" t="s">
        <v>494</v>
      </c>
      <c r="Y286" s="37">
        <v>40800</v>
      </c>
      <c r="AB286" s="19" t="s">
        <v>1658</v>
      </c>
      <c r="AC286" s="23" t="s">
        <v>1659</v>
      </c>
      <c r="AD286" s="118">
        <v>0</v>
      </c>
      <c r="AE286" s="118">
        <v>4</v>
      </c>
      <c r="AF286" s="29" t="s">
        <v>2540</v>
      </c>
      <c r="AG286" s="23" t="s">
        <v>666</v>
      </c>
      <c r="AH286" s="39">
        <v>44124</v>
      </c>
    </row>
    <row r="287" spans="1:44" ht="64">
      <c r="A287" s="62" t="s">
        <v>1660</v>
      </c>
      <c r="B287" s="23" t="s">
        <v>1661</v>
      </c>
      <c r="C287" s="140">
        <v>44122</v>
      </c>
      <c r="W287" s="23" t="s">
        <v>494</v>
      </c>
      <c r="Y287" s="37">
        <v>40070</v>
      </c>
      <c r="AB287" s="19" t="s">
        <v>1662</v>
      </c>
      <c r="AC287" s="23" t="s">
        <v>1663</v>
      </c>
      <c r="AD287" s="118"/>
      <c r="AE287" s="118"/>
      <c r="AG287" s="23" t="s">
        <v>666</v>
      </c>
      <c r="AH287" s="39">
        <v>44124</v>
      </c>
    </row>
    <row r="288" spans="1:44" ht="64">
      <c r="A288" s="62" t="s">
        <v>1635</v>
      </c>
      <c r="B288" s="23" t="s">
        <v>1664</v>
      </c>
      <c r="C288" s="140">
        <v>44122</v>
      </c>
      <c r="D288" s="23" t="s">
        <v>729</v>
      </c>
      <c r="E288" s="23" t="s">
        <v>636</v>
      </c>
      <c r="F288" s="23" t="s">
        <v>1723</v>
      </c>
      <c r="G288" s="23" t="s">
        <v>1724</v>
      </c>
      <c r="Q288" s="140">
        <v>44126</v>
      </c>
      <c r="S288" s="23" t="s">
        <v>300</v>
      </c>
      <c r="T288" s="23" t="s">
        <v>363</v>
      </c>
      <c r="U288" s="23" t="s">
        <v>363</v>
      </c>
      <c r="V288" s="23" t="s">
        <v>298</v>
      </c>
      <c r="W288" s="23" t="s">
        <v>915</v>
      </c>
      <c r="Y288" s="37">
        <v>54120</v>
      </c>
      <c r="AB288" s="19" t="s">
        <v>1665</v>
      </c>
      <c r="AC288" s="23" t="s">
        <v>1666</v>
      </c>
      <c r="AD288" s="118">
        <v>0</v>
      </c>
      <c r="AE288" s="118">
        <v>4</v>
      </c>
      <c r="AF288" s="29" t="s">
        <v>1729</v>
      </c>
      <c r="AG288" s="23" t="s">
        <v>666</v>
      </c>
      <c r="AH288" s="39">
        <v>44124</v>
      </c>
    </row>
    <row r="289" spans="1:39" ht="64">
      <c r="A289" s="62" t="s">
        <v>1667</v>
      </c>
      <c r="B289" s="23" t="s">
        <v>1668</v>
      </c>
      <c r="C289" s="140">
        <v>44122</v>
      </c>
      <c r="W289" s="23" t="s">
        <v>995</v>
      </c>
      <c r="Y289" s="37">
        <v>52850</v>
      </c>
      <c r="AB289" s="19" t="s">
        <v>1669</v>
      </c>
      <c r="AC289" s="23" t="s">
        <v>1670</v>
      </c>
      <c r="AD289" s="118"/>
      <c r="AE289" s="118"/>
      <c r="AG289" s="23" t="s">
        <v>666</v>
      </c>
      <c r="AH289" s="39">
        <v>44124</v>
      </c>
    </row>
    <row r="290" spans="1:39" ht="48">
      <c r="A290" s="62" t="s">
        <v>1636</v>
      </c>
      <c r="B290" s="23">
        <v>205658261</v>
      </c>
      <c r="C290" s="140">
        <v>44119</v>
      </c>
      <c r="D290" s="23" t="s">
        <v>729</v>
      </c>
      <c r="E290" s="23" t="s">
        <v>636</v>
      </c>
      <c r="F290" s="23" t="s">
        <v>1723</v>
      </c>
      <c r="G290" s="23" t="s">
        <v>1724</v>
      </c>
      <c r="Q290" s="140">
        <v>44128</v>
      </c>
      <c r="S290" s="23" t="s">
        <v>300</v>
      </c>
      <c r="T290" s="23" t="s">
        <v>363</v>
      </c>
      <c r="U290" s="23" t="s">
        <v>363</v>
      </c>
      <c r="V290" s="23" t="s">
        <v>298</v>
      </c>
      <c r="W290" s="23" t="s">
        <v>995</v>
      </c>
      <c r="Y290" s="37">
        <v>14350</v>
      </c>
      <c r="AB290" s="23" t="s">
        <v>1671</v>
      </c>
      <c r="AC290" s="23" t="s">
        <v>1672</v>
      </c>
      <c r="AD290" s="118">
        <v>1</v>
      </c>
      <c r="AE290" s="118">
        <v>0</v>
      </c>
      <c r="AF290" s="29" t="s">
        <v>1730</v>
      </c>
      <c r="AG290" s="23" t="s">
        <v>666</v>
      </c>
      <c r="AH290" s="39">
        <v>44124</v>
      </c>
    </row>
    <row r="291" spans="1:39" ht="48">
      <c r="A291" s="62" t="s">
        <v>1637</v>
      </c>
      <c r="B291" s="23" t="s">
        <v>1673</v>
      </c>
      <c r="C291" s="140">
        <v>44122</v>
      </c>
      <c r="D291" s="23" t="s">
        <v>729</v>
      </c>
      <c r="E291" s="23" t="s">
        <v>636</v>
      </c>
      <c r="F291" s="23" t="s">
        <v>1723</v>
      </c>
      <c r="G291" s="23" t="s">
        <v>1724</v>
      </c>
      <c r="Q291" s="140">
        <v>44129</v>
      </c>
      <c r="S291" s="23" t="s">
        <v>300</v>
      </c>
      <c r="T291" s="23" t="s">
        <v>363</v>
      </c>
      <c r="U291" s="23" t="s">
        <v>363</v>
      </c>
      <c r="V291" s="23" t="s">
        <v>298</v>
      </c>
      <c r="W291" s="23" t="s">
        <v>915</v>
      </c>
      <c r="Y291" s="37">
        <v>26486</v>
      </c>
      <c r="AB291" s="23" t="s">
        <v>1674</v>
      </c>
      <c r="AC291" s="23" t="s">
        <v>1575</v>
      </c>
      <c r="AD291" s="118">
        <v>0</v>
      </c>
      <c r="AE291" s="118">
        <v>1</v>
      </c>
      <c r="AF291" s="29" t="s">
        <v>1731</v>
      </c>
      <c r="AG291" s="23" t="s">
        <v>1196</v>
      </c>
      <c r="AH291" s="39">
        <v>44124</v>
      </c>
    </row>
    <row r="292" spans="1:39" ht="80">
      <c r="A292" s="63" t="s">
        <v>1681</v>
      </c>
      <c r="B292" s="23" t="s">
        <v>1683</v>
      </c>
      <c r="C292" s="140">
        <v>44126</v>
      </c>
      <c r="D292" s="23" t="s">
        <v>729</v>
      </c>
      <c r="E292" s="23" t="s">
        <v>752</v>
      </c>
      <c r="F292" s="23" t="s">
        <v>57</v>
      </c>
      <c r="G292" s="23" t="s">
        <v>83</v>
      </c>
      <c r="H292" s="27" t="s">
        <v>1689</v>
      </c>
      <c r="I292" s="27" t="s">
        <v>1689</v>
      </c>
      <c r="J292" s="140">
        <v>44106</v>
      </c>
      <c r="K292" s="23" t="s">
        <v>1764</v>
      </c>
      <c r="L292" s="140">
        <v>44130</v>
      </c>
      <c r="M292" s="26">
        <v>44130</v>
      </c>
      <c r="P292" s="23" t="s">
        <v>1684</v>
      </c>
      <c r="Q292" s="140">
        <v>44129</v>
      </c>
      <c r="S292" s="23" t="s">
        <v>184</v>
      </c>
      <c r="T292" s="23" t="s">
        <v>302</v>
      </c>
      <c r="U292" s="23" t="s">
        <v>302</v>
      </c>
      <c r="V292" s="23" t="s">
        <v>233</v>
      </c>
      <c r="W292" s="23" t="s">
        <v>284</v>
      </c>
      <c r="X292" s="37">
        <v>8614</v>
      </c>
      <c r="Y292" s="37">
        <v>8914</v>
      </c>
      <c r="Z292" s="23">
        <v>12611.26</v>
      </c>
      <c r="AA292" s="23">
        <v>11588.47</v>
      </c>
      <c r="AB292" s="23" t="s">
        <v>1685</v>
      </c>
      <c r="AC292" s="23" t="s">
        <v>286</v>
      </c>
      <c r="AD292" s="118">
        <v>0</v>
      </c>
      <c r="AE292" s="118">
        <v>1</v>
      </c>
      <c r="AF292" s="29" t="s">
        <v>1885</v>
      </c>
      <c r="AG292" s="23" t="s">
        <v>787</v>
      </c>
      <c r="AH292" s="39">
        <v>44130</v>
      </c>
      <c r="AJ292" s="75" t="s">
        <v>5364</v>
      </c>
      <c r="AL292" s="23" t="s">
        <v>5365</v>
      </c>
      <c r="AM292" s="102">
        <v>44131</v>
      </c>
    </row>
    <row r="293" spans="1:39" ht="80">
      <c r="A293" s="63" t="s">
        <v>1682</v>
      </c>
      <c r="B293" s="23" t="s">
        <v>1686</v>
      </c>
      <c r="C293" s="140">
        <v>44126</v>
      </c>
      <c r="D293" s="23" t="s">
        <v>729</v>
      </c>
      <c r="E293" s="23" t="s">
        <v>752</v>
      </c>
      <c r="F293" s="23" t="s">
        <v>57</v>
      </c>
      <c r="G293" s="23" t="s">
        <v>83</v>
      </c>
      <c r="H293" s="27" t="s">
        <v>1690</v>
      </c>
      <c r="I293" s="27" t="s">
        <v>1690</v>
      </c>
      <c r="J293" s="140">
        <v>44112</v>
      </c>
      <c r="M293" s="26">
        <v>44130</v>
      </c>
      <c r="P293" s="23" t="s">
        <v>1684</v>
      </c>
      <c r="Q293" s="140">
        <v>44129</v>
      </c>
      <c r="S293" s="23" t="s">
        <v>184</v>
      </c>
      <c r="T293" s="23" t="s">
        <v>302</v>
      </c>
      <c r="U293" s="23" t="s">
        <v>302</v>
      </c>
      <c r="V293" s="23" t="s">
        <v>233</v>
      </c>
      <c r="W293" s="23" t="s">
        <v>1687</v>
      </c>
      <c r="X293" s="37">
        <v>2234</v>
      </c>
      <c r="Y293" s="37">
        <v>2328</v>
      </c>
      <c r="Z293" s="23">
        <v>3206.4</v>
      </c>
      <c r="AA293" s="23">
        <v>1727.73</v>
      </c>
      <c r="AB293" s="23" t="s">
        <v>1688</v>
      </c>
      <c r="AC293" s="23" t="s">
        <v>274</v>
      </c>
      <c r="AD293" s="118">
        <v>0</v>
      </c>
      <c r="AE293" s="118">
        <v>1</v>
      </c>
      <c r="AF293" s="29" t="s">
        <v>1886</v>
      </c>
      <c r="AG293" s="23" t="s">
        <v>787</v>
      </c>
      <c r="AH293" s="39">
        <v>44130</v>
      </c>
      <c r="AJ293" s="75" t="s">
        <v>5354</v>
      </c>
      <c r="AL293" s="23" t="s">
        <v>5355</v>
      </c>
      <c r="AM293" s="102">
        <v>44126</v>
      </c>
    </row>
    <row r="294" spans="1:39" ht="48">
      <c r="A294" s="62" t="s">
        <v>1691</v>
      </c>
      <c r="B294" s="23" t="s">
        <v>1692</v>
      </c>
      <c r="C294" s="140">
        <v>44092</v>
      </c>
      <c r="D294" s="23" t="s">
        <v>729</v>
      </c>
      <c r="E294" s="23" t="s">
        <v>752</v>
      </c>
      <c r="F294" s="23" t="s">
        <v>1725</v>
      </c>
      <c r="G294" s="23" t="s">
        <v>1724</v>
      </c>
      <c r="M294" s="26">
        <v>44130</v>
      </c>
      <c r="P294" s="23" t="s">
        <v>1693</v>
      </c>
      <c r="Q294" s="140">
        <v>44128</v>
      </c>
      <c r="S294" s="23" t="s">
        <v>1694</v>
      </c>
      <c r="T294" s="23" t="s">
        <v>12031</v>
      </c>
      <c r="U294" s="23" t="s">
        <v>12031</v>
      </c>
      <c r="V294" s="23" t="s">
        <v>298</v>
      </c>
      <c r="W294" s="19" t="s">
        <v>1698</v>
      </c>
      <c r="Y294" s="37">
        <v>480</v>
      </c>
      <c r="AB294" s="19" t="s">
        <v>1695</v>
      </c>
      <c r="AC294" s="23" t="s">
        <v>1696</v>
      </c>
      <c r="AD294" s="118">
        <v>1</v>
      </c>
      <c r="AE294" s="118">
        <v>0</v>
      </c>
      <c r="AF294" s="29" t="s">
        <v>1887</v>
      </c>
      <c r="AG294" s="23" t="s">
        <v>1697</v>
      </c>
      <c r="AH294" s="39">
        <v>44130</v>
      </c>
    </row>
    <row r="295" spans="1:39" ht="80">
      <c r="A295" s="62" t="s">
        <v>1699</v>
      </c>
      <c r="B295" s="23" t="s">
        <v>1700</v>
      </c>
      <c r="C295" s="140">
        <v>44084</v>
      </c>
      <c r="D295" s="23" t="s">
        <v>729</v>
      </c>
      <c r="E295" s="23" t="s">
        <v>752</v>
      </c>
      <c r="F295" s="23" t="s">
        <v>2926</v>
      </c>
      <c r="G295" s="23" t="s">
        <v>2197</v>
      </c>
      <c r="P295" s="23" t="s">
        <v>1701</v>
      </c>
      <c r="Q295" s="140">
        <v>44130</v>
      </c>
      <c r="S295" s="23" t="s">
        <v>312</v>
      </c>
      <c r="T295" s="23" t="s">
        <v>12031</v>
      </c>
      <c r="U295" s="23" t="s">
        <v>12031</v>
      </c>
      <c r="V295" s="23" t="s">
        <v>298</v>
      </c>
      <c r="W295" s="19" t="s">
        <v>1703</v>
      </c>
      <c r="Y295" s="37">
        <v>4255</v>
      </c>
      <c r="AB295" s="19" t="s">
        <v>1702</v>
      </c>
      <c r="AC295" s="23" t="s">
        <v>123</v>
      </c>
      <c r="AD295" s="118">
        <v>0</v>
      </c>
      <c r="AE295" s="118">
        <v>1</v>
      </c>
      <c r="AF295" s="23" t="s">
        <v>51</v>
      </c>
      <c r="AG295" s="23" t="s">
        <v>1087</v>
      </c>
      <c r="AH295" s="39">
        <v>44131</v>
      </c>
    </row>
    <row r="296" spans="1:39" ht="48">
      <c r="A296" s="62" t="s">
        <v>1704</v>
      </c>
      <c r="B296" s="23" t="s">
        <v>1708</v>
      </c>
      <c r="C296" s="140">
        <v>44128</v>
      </c>
      <c r="D296" s="23" t="s">
        <v>729</v>
      </c>
      <c r="E296" s="23" t="s">
        <v>636</v>
      </c>
      <c r="F296" s="23" t="s">
        <v>1723</v>
      </c>
      <c r="G296" s="23" t="s">
        <v>1724</v>
      </c>
      <c r="M296" s="26">
        <v>44133</v>
      </c>
      <c r="Q296" s="140">
        <v>44133</v>
      </c>
      <c r="S296" s="23" t="s">
        <v>300</v>
      </c>
      <c r="T296" s="23" t="s">
        <v>363</v>
      </c>
      <c r="U296" s="23" t="s">
        <v>363</v>
      </c>
      <c r="V296" s="23" t="s">
        <v>298</v>
      </c>
      <c r="W296" s="23" t="s">
        <v>1139</v>
      </c>
      <c r="Y296" s="37">
        <v>26000</v>
      </c>
      <c r="AB296" s="23" t="s">
        <v>1709</v>
      </c>
      <c r="AC296" s="23" t="s">
        <v>1710</v>
      </c>
      <c r="AD296" s="118">
        <v>0</v>
      </c>
      <c r="AE296" s="118">
        <v>4</v>
      </c>
      <c r="AF296" s="29" t="s">
        <v>2291</v>
      </c>
      <c r="AG296" s="23" t="s">
        <v>637</v>
      </c>
      <c r="AH296" s="39">
        <v>44132</v>
      </c>
    </row>
    <row r="297" spans="1:39">
      <c r="A297" s="67" t="s">
        <v>1705</v>
      </c>
      <c r="B297" s="23" t="s">
        <v>1711</v>
      </c>
      <c r="C297" s="140">
        <v>44130</v>
      </c>
      <c r="W297" s="23" t="s">
        <v>1712</v>
      </c>
      <c r="Y297" s="37">
        <v>26092</v>
      </c>
      <c r="AB297" s="23" t="s">
        <v>1713</v>
      </c>
      <c r="AC297" s="23" t="s">
        <v>1714</v>
      </c>
      <c r="AD297" s="118"/>
      <c r="AE297" s="118"/>
      <c r="AG297" s="23" t="s">
        <v>1585</v>
      </c>
      <c r="AH297" s="39">
        <v>44132</v>
      </c>
    </row>
    <row r="298" spans="1:39">
      <c r="A298" s="67" t="s">
        <v>1706</v>
      </c>
      <c r="B298" s="23" t="s">
        <v>1715</v>
      </c>
      <c r="C298" s="140">
        <v>44125</v>
      </c>
      <c r="W298" s="23" t="s">
        <v>1716</v>
      </c>
      <c r="Y298" s="37">
        <v>5664</v>
      </c>
      <c r="AB298" s="23" t="s">
        <v>1717</v>
      </c>
      <c r="AC298" s="23" t="s">
        <v>1718</v>
      </c>
      <c r="AD298" s="118"/>
      <c r="AE298" s="118"/>
      <c r="AG298" s="23" t="s">
        <v>637</v>
      </c>
      <c r="AH298" s="39">
        <v>44132</v>
      </c>
    </row>
    <row r="299" spans="1:39">
      <c r="A299" s="67" t="s">
        <v>1707</v>
      </c>
      <c r="B299" s="23" t="s">
        <v>1719</v>
      </c>
      <c r="C299" s="140">
        <v>44127</v>
      </c>
      <c r="W299" s="23" t="s">
        <v>1720</v>
      </c>
      <c r="Y299" s="37">
        <v>10320</v>
      </c>
      <c r="AB299" s="23" t="s">
        <v>1721</v>
      </c>
      <c r="AC299" s="23" t="s">
        <v>1722</v>
      </c>
      <c r="AD299" s="118"/>
      <c r="AE299" s="118"/>
      <c r="AG299" s="23" t="s">
        <v>665</v>
      </c>
      <c r="AH299" s="39">
        <v>44132</v>
      </c>
    </row>
    <row r="300" spans="1:39" ht="48">
      <c r="A300" s="62" t="s">
        <v>1733</v>
      </c>
      <c r="B300" s="23" t="s">
        <v>1740</v>
      </c>
      <c r="C300" s="140">
        <v>44127</v>
      </c>
      <c r="D300" s="23" t="s">
        <v>729</v>
      </c>
      <c r="E300" s="23" t="s">
        <v>636</v>
      </c>
      <c r="F300" s="23" t="s">
        <v>1723</v>
      </c>
      <c r="G300" s="23" t="s">
        <v>1724</v>
      </c>
      <c r="Q300" s="140">
        <v>44138</v>
      </c>
      <c r="S300" s="23" t="s">
        <v>300</v>
      </c>
      <c r="T300" s="23" t="s">
        <v>363</v>
      </c>
      <c r="U300" s="23" t="s">
        <v>363</v>
      </c>
      <c r="V300" s="23" t="s">
        <v>298</v>
      </c>
      <c r="W300" s="23" t="s">
        <v>444</v>
      </c>
      <c r="Y300" s="37">
        <v>24780</v>
      </c>
      <c r="AB300" s="23" t="s">
        <v>1741</v>
      </c>
      <c r="AC300" s="23" t="s">
        <v>1742</v>
      </c>
      <c r="AD300" s="118">
        <v>0</v>
      </c>
      <c r="AE300" s="118">
        <v>5</v>
      </c>
      <c r="AF300" s="29" t="s">
        <v>2292</v>
      </c>
      <c r="AG300" s="23" t="s">
        <v>637</v>
      </c>
      <c r="AH300" s="39">
        <v>44138</v>
      </c>
    </row>
    <row r="301" spans="1:39" ht="64">
      <c r="A301" s="67" t="s">
        <v>1734</v>
      </c>
      <c r="B301" s="23" t="s">
        <v>1743</v>
      </c>
      <c r="C301" s="140">
        <v>44125</v>
      </c>
      <c r="F301" s="23" t="s">
        <v>1723</v>
      </c>
      <c r="W301" s="23" t="s">
        <v>1744</v>
      </c>
      <c r="Y301" s="37">
        <v>23854.799999999999</v>
      </c>
      <c r="AB301" s="19" t="s">
        <v>1745</v>
      </c>
      <c r="AC301" s="23" t="s">
        <v>1746</v>
      </c>
      <c r="AD301" s="118"/>
      <c r="AE301" s="118"/>
      <c r="AG301" s="23" t="s">
        <v>637</v>
      </c>
      <c r="AH301" s="39">
        <v>44138</v>
      </c>
    </row>
    <row r="302" spans="1:39" ht="64">
      <c r="A302" s="67" t="s">
        <v>1735</v>
      </c>
      <c r="B302" s="23" t="s">
        <v>1747</v>
      </c>
      <c r="C302" s="140">
        <v>44127</v>
      </c>
      <c r="F302" s="23" t="s">
        <v>1723</v>
      </c>
      <c r="W302" s="23" t="s">
        <v>1748</v>
      </c>
      <c r="Y302" s="37">
        <v>27121.200000000001</v>
      </c>
      <c r="AB302" s="19" t="s">
        <v>1749</v>
      </c>
      <c r="AC302" s="23" t="s">
        <v>1750</v>
      </c>
      <c r="AD302" s="118"/>
      <c r="AE302" s="118"/>
      <c r="AG302" s="23" t="s">
        <v>637</v>
      </c>
      <c r="AH302" s="39">
        <v>44138</v>
      </c>
    </row>
    <row r="303" spans="1:39" ht="48">
      <c r="A303" s="62" t="s">
        <v>1736</v>
      </c>
      <c r="B303" s="23" t="s">
        <v>1751</v>
      </c>
      <c r="C303" s="140">
        <v>44125</v>
      </c>
      <c r="D303" s="23" t="s">
        <v>729</v>
      </c>
      <c r="E303" s="23" t="s">
        <v>636</v>
      </c>
      <c r="F303" s="23" t="s">
        <v>1723</v>
      </c>
      <c r="G303" s="23" t="s">
        <v>1724</v>
      </c>
      <c r="Q303" s="140">
        <v>44138</v>
      </c>
      <c r="S303" s="23" t="s">
        <v>300</v>
      </c>
      <c r="T303" s="23" t="s">
        <v>363</v>
      </c>
      <c r="U303" s="23" t="s">
        <v>363</v>
      </c>
      <c r="V303" s="23" t="s">
        <v>298</v>
      </c>
      <c r="W303" s="23" t="s">
        <v>514</v>
      </c>
      <c r="Y303" s="37">
        <v>27598</v>
      </c>
      <c r="AB303" s="23" t="s">
        <v>1752</v>
      </c>
      <c r="AC303" s="23" t="s">
        <v>1753</v>
      </c>
      <c r="AD303" s="118">
        <v>0</v>
      </c>
      <c r="AE303" s="118">
        <v>4</v>
      </c>
      <c r="AF303" s="29" t="s">
        <v>1842</v>
      </c>
      <c r="AG303" s="23" t="s">
        <v>637</v>
      </c>
      <c r="AH303" s="39">
        <v>44138</v>
      </c>
    </row>
    <row r="304" spans="1:39">
      <c r="A304" s="67" t="s">
        <v>1737</v>
      </c>
      <c r="B304" s="23" t="s">
        <v>1754</v>
      </c>
      <c r="C304" s="140">
        <v>44127</v>
      </c>
      <c r="F304" s="23" t="s">
        <v>1723</v>
      </c>
      <c r="W304" s="23" t="s">
        <v>514</v>
      </c>
      <c r="Y304" s="37">
        <v>27845</v>
      </c>
      <c r="AB304" s="23" t="s">
        <v>1755</v>
      </c>
      <c r="AC304" s="23" t="s">
        <v>1756</v>
      </c>
      <c r="AD304" s="118"/>
      <c r="AE304" s="118"/>
      <c r="AG304" s="23" t="s">
        <v>637</v>
      </c>
      <c r="AH304" s="39">
        <v>44138</v>
      </c>
    </row>
    <row r="305" spans="1:39">
      <c r="A305" s="67" t="s">
        <v>1738</v>
      </c>
      <c r="B305" s="23" t="s">
        <v>1757</v>
      </c>
      <c r="C305" s="140">
        <v>44127</v>
      </c>
      <c r="F305" s="23" t="s">
        <v>1723</v>
      </c>
      <c r="W305" s="23" t="s">
        <v>514</v>
      </c>
      <c r="Y305" s="37">
        <v>27172</v>
      </c>
      <c r="AB305" s="23" t="s">
        <v>1758</v>
      </c>
      <c r="AC305" s="23" t="s">
        <v>1759</v>
      </c>
      <c r="AD305" s="118"/>
      <c r="AE305" s="118"/>
      <c r="AG305" s="23" t="s">
        <v>637</v>
      </c>
      <c r="AH305" s="39">
        <v>44138</v>
      </c>
    </row>
    <row r="306" spans="1:39">
      <c r="A306" s="67" t="s">
        <v>1739</v>
      </c>
      <c r="B306" s="23" t="s">
        <v>1760</v>
      </c>
      <c r="C306" s="140">
        <v>44127</v>
      </c>
      <c r="F306" s="23" t="s">
        <v>1723</v>
      </c>
      <c r="W306" s="23" t="s">
        <v>514</v>
      </c>
      <c r="Y306" s="37">
        <v>27278</v>
      </c>
      <c r="AB306" s="23" t="s">
        <v>1761</v>
      </c>
      <c r="AC306" s="23" t="s">
        <v>1762</v>
      </c>
      <c r="AD306" s="118"/>
      <c r="AE306" s="118"/>
      <c r="AG306" s="23" t="s">
        <v>637</v>
      </c>
      <c r="AH306" s="39">
        <v>44138</v>
      </c>
    </row>
    <row r="307" spans="1:39" ht="96">
      <c r="A307" s="63" t="s">
        <v>1763</v>
      </c>
      <c r="B307" s="23" t="s">
        <v>1832</v>
      </c>
      <c r="C307" s="140">
        <v>44141</v>
      </c>
      <c r="D307" s="23" t="s">
        <v>729</v>
      </c>
      <c r="E307" s="23" t="s">
        <v>752</v>
      </c>
      <c r="F307" s="23" t="s">
        <v>57</v>
      </c>
      <c r="H307" s="23" t="s">
        <v>1833</v>
      </c>
      <c r="I307" s="23" t="s">
        <v>1833</v>
      </c>
      <c r="J307" s="140">
        <v>44138</v>
      </c>
      <c r="Q307" s="140">
        <v>44143</v>
      </c>
      <c r="S307" s="23" t="s">
        <v>184</v>
      </c>
      <c r="T307" s="23" t="s">
        <v>302</v>
      </c>
      <c r="U307" s="23" t="s">
        <v>302</v>
      </c>
      <c r="V307" s="23" t="s">
        <v>233</v>
      </c>
      <c r="W307" s="23" t="s">
        <v>1830</v>
      </c>
      <c r="X307" s="37">
        <v>10275</v>
      </c>
      <c r="Y307" s="37">
        <v>10461</v>
      </c>
      <c r="Z307" s="23">
        <v>26315.74</v>
      </c>
      <c r="AB307" s="23" t="s">
        <v>1834</v>
      </c>
      <c r="AC307" s="23" t="s">
        <v>1831</v>
      </c>
      <c r="AD307" s="118">
        <v>0</v>
      </c>
      <c r="AE307" s="118">
        <v>1</v>
      </c>
      <c r="AF307" s="29" t="s">
        <v>2665</v>
      </c>
      <c r="AG307" s="23" t="s">
        <v>787</v>
      </c>
      <c r="AH307" s="39">
        <v>44145</v>
      </c>
      <c r="AJ307" s="75" t="s">
        <v>5357</v>
      </c>
      <c r="AL307" s="23" t="s">
        <v>5358</v>
      </c>
      <c r="AM307" s="102">
        <v>44146</v>
      </c>
    </row>
    <row r="308" spans="1:39">
      <c r="A308" s="62" t="s">
        <v>1765</v>
      </c>
      <c r="B308" s="23" t="s">
        <v>1771</v>
      </c>
      <c r="C308" s="140">
        <v>44132</v>
      </c>
      <c r="D308" s="23" t="s">
        <v>729</v>
      </c>
      <c r="E308" s="23" t="s">
        <v>636</v>
      </c>
      <c r="F308" s="23" t="s">
        <v>1723</v>
      </c>
      <c r="G308" s="23" t="s">
        <v>1724</v>
      </c>
      <c r="Q308" s="140">
        <v>44140</v>
      </c>
      <c r="S308" s="23" t="s">
        <v>300</v>
      </c>
      <c r="T308" s="23" t="s">
        <v>363</v>
      </c>
      <c r="U308" s="23" t="s">
        <v>363</v>
      </c>
      <c r="V308" s="23" t="s">
        <v>298</v>
      </c>
      <c r="W308" s="23" t="s">
        <v>514</v>
      </c>
      <c r="Y308" s="37">
        <v>25580</v>
      </c>
      <c r="AB308" s="23" t="s">
        <v>1772</v>
      </c>
      <c r="AC308" s="23" t="s">
        <v>1773</v>
      </c>
      <c r="AD308" s="118">
        <v>0</v>
      </c>
      <c r="AE308" s="118">
        <v>3</v>
      </c>
      <c r="AG308" s="23" t="s">
        <v>637</v>
      </c>
      <c r="AH308" s="39">
        <v>44139</v>
      </c>
    </row>
    <row r="309" spans="1:39" ht="64">
      <c r="A309" s="67" t="s">
        <v>1766</v>
      </c>
      <c r="B309" s="23" t="s">
        <v>1774</v>
      </c>
      <c r="C309" s="140">
        <v>44128</v>
      </c>
      <c r="F309" s="23" t="s">
        <v>1723</v>
      </c>
      <c r="W309" s="23" t="s">
        <v>514</v>
      </c>
      <c r="Y309" s="37">
        <v>45450</v>
      </c>
      <c r="AB309" s="19" t="s">
        <v>1775</v>
      </c>
      <c r="AC309" s="23" t="s">
        <v>1776</v>
      </c>
      <c r="AD309" s="118"/>
      <c r="AE309" s="118"/>
      <c r="AG309" s="23" t="s">
        <v>637</v>
      </c>
      <c r="AH309" s="39">
        <v>44139</v>
      </c>
    </row>
    <row r="310" spans="1:39" ht="48">
      <c r="A310" s="62" t="s">
        <v>1767</v>
      </c>
      <c r="B310" s="23" t="s">
        <v>1777</v>
      </c>
      <c r="C310" s="140">
        <v>44132</v>
      </c>
      <c r="D310" s="23" t="s">
        <v>729</v>
      </c>
      <c r="E310" s="23" t="s">
        <v>636</v>
      </c>
      <c r="F310" s="23" t="s">
        <v>1723</v>
      </c>
      <c r="G310" s="23" t="s">
        <v>1724</v>
      </c>
      <c r="Q310" s="140">
        <v>44140</v>
      </c>
      <c r="S310" s="23" t="s">
        <v>300</v>
      </c>
      <c r="T310" s="23" t="s">
        <v>363</v>
      </c>
      <c r="U310" s="23" t="s">
        <v>363</v>
      </c>
      <c r="V310" s="23" t="s">
        <v>298</v>
      </c>
      <c r="W310" s="23" t="s">
        <v>1716</v>
      </c>
      <c r="Y310" s="37">
        <v>5696</v>
      </c>
      <c r="AB310" s="23" t="s">
        <v>1778</v>
      </c>
      <c r="AC310" s="23" t="s">
        <v>1779</v>
      </c>
      <c r="AD310" s="118">
        <v>0</v>
      </c>
      <c r="AE310" s="118">
        <v>5</v>
      </c>
      <c r="AF310" s="29" t="s">
        <v>1842</v>
      </c>
      <c r="AG310" s="23" t="s">
        <v>637</v>
      </c>
      <c r="AH310" s="39">
        <v>44139</v>
      </c>
    </row>
    <row r="311" spans="1:39">
      <c r="A311" s="67" t="s">
        <v>1768</v>
      </c>
      <c r="B311" s="23" t="s">
        <v>1780</v>
      </c>
      <c r="C311" s="140">
        <v>44131</v>
      </c>
      <c r="F311" s="23" t="s">
        <v>1723</v>
      </c>
      <c r="W311" s="23" t="s">
        <v>1781</v>
      </c>
      <c r="Y311" s="37">
        <v>4800</v>
      </c>
      <c r="AB311" s="23" t="s">
        <v>1782</v>
      </c>
      <c r="AC311" s="23" t="s">
        <v>1783</v>
      </c>
      <c r="AD311" s="118"/>
      <c r="AE311" s="118"/>
      <c r="AG311" s="23" t="s">
        <v>1784</v>
      </c>
      <c r="AH311" s="39">
        <v>44139</v>
      </c>
    </row>
    <row r="312" spans="1:39">
      <c r="A312" s="67" t="s">
        <v>1769</v>
      </c>
      <c r="B312" s="23" t="s">
        <v>1785</v>
      </c>
      <c r="C312" s="140">
        <v>44128</v>
      </c>
      <c r="F312" s="23" t="s">
        <v>1723</v>
      </c>
      <c r="W312" s="23" t="s">
        <v>830</v>
      </c>
      <c r="Y312" s="37">
        <v>24000</v>
      </c>
      <c r="AB312" s="23" t="s">
        <v>1786</v>
      </c>
      <c r="AC312" s="23" t="s">
        <v>675</v>
      </c>
      <c r="AD312" s="118"/>
      <c r="AE312" s="118"/>
      <c r="AG312" s="23" t="s">
        <v>637</v>
      </c>
      <c r="AH312" s="39">
        <v>44139</v>
      </c>
    </row>
    <row r="313" spans="1:39" ht="64">
      <c r="A313" s="67" t="s">
        <v>1770</v>
      </c>
      <c r="B313" s="23" t="s">
        <v>1787</v>
      </c>
      <c r="C313" s="140">
        <v>44132</v>
      </c>
      <c r="F313" s="23" t="s">
        <v>1723</v>
      </c>
      <c r="W313" s="23" t="s">
        <v>1139</v>
      </c>
      <c r="Y313" s="37">
        <v>52000</v>
      </c>
      <c r="AB313" s="19" t="s">
        <v>1788</v>
      </c>
      <c r="AC313" s="23" t="s">
        <v>170</v>
      </c>
      <c r="AD313" s="118"/>
      <c r="AE313" s="118"/>
      <c r="AG313" s="23" t="s">
        <v>637</v>
      </c>
      <c r="AH313" s="39">
        <v>44139</v>
      </c>
    </row>
    <row r="314" spans="1:39" ht="48">
      <c r="A314" s="62" t="s">
        <v>1789</v>
      </c>
      <c r="B314" s="23" t="s">
        <v>1790</v>
      </c>
      <c r="C314" s="140">
        <v>44134</v>
      </c>
      <c r="D314" s="23" t="s">
        <v>729</v>
      </c>
      <c r="E314" s="23" t="s">
        <v>636</v>
      </c>
      <c r="F314" s="23" t="s">
        <v>1723</v>
      </c>
      <c r="G314" s="23" t="s">
        <v>1724</v>
      </c>
      <c r="Q314" s="140">
        <v>44141</v>
      </c>
      <c r="S314" s="23" t="s">
        <v>300</v>
      </c>
      <c r="T314" s="23" t="s">
        <v>363</v>
      </c>
      <c r="U314" s="23" t="s">
        <v>363</v>
      </c>
      <c r="V314" s="23" t="s">
        <v>298</v>
      </c>
      <c r="W314" s="23" t="s">
        <v>1139</v>
      </c>
      <c r="Y314" s="37">
        <v>18000</v>
      </c>
      <c r="AB314" s="23" t="s">
        <v>1791</v>
      </c>
      <c r="AC314" s="23" t="s">
        <v>1792</v>
      </c>
      <c r="AD314" s="118">
        <v>2</v>
      </c>
      <c r="AE314" s="118">
        <v>0</v>
      </c>
      <c r="AF314" s="29" t="s">
        <v>1842</v>
      </c>
      <c r="AG314" s="23" t="s">
        <v>1196</v>
      </c>
      <c r="AH314" s="39">
        <v>44141</v>
      </c>
    </row>
    <row r="315" spans="1:39">
      <c r="A315" s="67" t="s">
        <v>1793</v>
      </c>
      <c r="B315" s="23">
        <v>205741536</v>
      </c>
      <c r="C315" s="140">
        <v>44134</v>
      </c>
      <c r="F315" s="23" t="s">
        <v>1723</v>
      </c>
      <c r="W315" s="23" t="s">
        <v>995</v>
      </c>
      <c r="Y315" s="37">
        <v>17150</v>
      </c>
      <c r="AB315" s="23" t="s">
        <v>1794</v>
      </c>
      <c r="AC315" s="23" t="s">
        <v>1795</v>
      </c>
      <c r="AD315" s="118"/>
      <c r="AE315" s="118"/>
      <c r="AG315" s="23" t="s">
        <v>1581</v>
      </c>
      <c r="AH315" s="39">
        <v>44141</v>
      </c>
    </row>
    <row r="316" spans="1:39" ht="48">
      <c r="A316" s="62" t="s">
        <v>1796</v>
      </c>
      <c r="B316" s="25" t="s">
        <v>1801</v>
      </c>
      <c r="C316" s="140">
        <v>44136</v>
      </c>
      <c r="D316" s="23" t="s">
        <v>729</v>
      </c>
      <c r="E316" s="23" t="s">
        <v>636</v>
      </c>
      <c r="F316" s="23" t="s">
        <v>1723</v>
      </c>
      <c r="G316" s="23" t="s">
        <v>1724</v>
      </c>
      <c r="Q316" s="140">
        <v>44142</v>
      </c>
      <c r="S316" s="23" t="s">
        <v>300</v>
      </c>
      <c r="T316" s="23" t="s">
        <v>363</v>
      </c>
      <c r="U316" s="23" t="s">
        <v>363</v>
      </c>
      <c r="V316" s="23" t="s">
        <v>298</v>
      </c>
      <c r="W316" s="23" t="s">
        <v>995</v>
      </c>
      <c r="Y316" s="37">
        <v>26250</v>
      </c>
      <c r="AB316" s="23" t="s">
        <v>1802</v>
      </c>
      <c r="AC316" s="23" t="s">
        <v>1803</v>
      </c>
      <c r="AD316" s="118">
        <v>0</v>
      </c>
      <c r="AE316" s="118">
        <v>3</v>
      </c>
      <c r="AF316" s="29" t="s">
        <v>1842</v>
      </c>
      <c r="AG316" s="23" t="s">
        <v>665</v>
      </c>
      <c r="AH316" s="39">
        <v>44141</v>
      </c>
    </row>
    <row r="317" spans="1:39">
      <c r="A317" s="67" t="s">
        <v>1800</v>
      </c>
      <c r="B317" s="34" t="s">
        <v>1797</v>
      </c>
      <c r="C317" s="140">
        <v>44136</v>
      </c>
      <c r="F317" s="23" t="s">
        <v>1723</v>
      </c>
      <c r="W317" s="23" t="s">
        <v>830</v>
      </c>
      <c r="Y317" s="37">
        <v>26000</v>
      </c>
      <c r="AB317" s="23" t="s">
        <v>1798</v>
      </c>
      <c r="AC317" s="23" t="s">
        <v>1799</v>
      </c>
      <c r="AD317" s="118"/>
      <c r="AE317" s="118"/>
      <c r="AG317" s="23" t="s">
        <v>637</v>
      </c>
      <c r="AH317" s="39">
        <v>44141</v>
      </c>
    </row>
    <row r="318" spans="1:39">
      <c r="A318" s="67" t="s">
        <v>1804</v>
      </c>
      <c r="B318" s="23" t="s">
        <v>1805</v>
      </c>
      <c r="C318" s="140">
        <v>44136</v>
      </c>
      <c r="F318" s="23" t="s">
        <v>1723</v>
      </c>
      <c r="W318" s="23" t="s">
        <v>494</v>
      </c>
      <c r="Y318" s="37">
        <v>24720</v>
      </c>
      <c r="AB318" s="23" t="s">
        <v>1806</v>
      </c>
      <c r="AC318" s="23" t="s">
        <v>1807</v>
      </c>
      <c r="AD318" s="118"/>
      <c r="AE318" s="118"/>
      <c r="AG318" s="23" t="s">
        <v>637</v>
      </c>
      <c r="AH318" s="39">
        <v>44141</v>
      </c>
    </row>
    <row r="319" spans="1:39" ht="48">
      <c r="A319" s="62" t="s">
        <v>1808</v>
      </c>
      <c r="B319" s="23" t="s">
        <v>1809</v>
      </c>
      <c r="C319" s="140">
        <v>44136</v>
      </c>
      <c r="D319" s="23" t="s">
        <v>729</v>
      </c>
      <c r="E319" s="23" t="s">
        <v>636</v>
      </c>
      <c r="F319" s="23" t="s">
        <v>1723</v>
      </c>
      <c r="G319" s="23" t="s">
        <v>1724</v>
      </c>
      <c r="Q319" s="140">
        <v>44142</v>
      </c>
      <c r="S319" s="23" t="s">
        <v>300</v>
      </c>
      <c r="T319" s="23" t="s">
        <v>363</v>
      </c>
      <c r="U319" s="23" t="s">
        <v>363</v>
      </c>
      <c r="V319" s="23" t="s">
        <v>298</v>
      </c>
      <c r="W319" s="23" t="s">
        <v>915</v>
      </c>
      <c r="Y319" s="37">
        <v>27060</v>
      </c>
      <c r="AB319" s="23" t="s">
        <v>1810</v>
      </c>
      <c r="AC319" s="23" t="s">
        <v>1811</v>
      </c>
      <c r="AD319" s="118">
        <v>0</v>
      </c>
      <c r="AE319" s="118">
        <v>4</v>
      </c>
      <c r="AF319" s="29" t="s">
        <v>1842</v>
      </c>
      <c r="AG319" s="23" t="s">
        <v>637</v>
      </c>
      <c r="AH319" s="39">
        <v>44141</v>
      </c>
    </row>
    <row r="320" spans="1:39" ht="64">
      <c r="A320" s="67" t="s">
        <v>1812</v>
      </c>
      <c r="B320" s="23" t="s">
        <v>1813</v>
      </c>
      <c r="C320" s="140">
        <v>44136</v>
      </c>
      <c r="F320" s="23" t="s">
        <v>1723</v>
      </c>
      <c r="W320" s="23" t="s">
        <v>1139</v>
      </c>
      <c r="Y320" s="37">
        <v>52000</v>
      </c>
      <c r="AB320" s="19" t="s">
        <v>1814</v>
      </c>
      <c r="AC320" s="23" t="s">
        <v>170</v>
      </c>
      <c r="AD320" s="118"/>
      <c r="AE320" s="118"/>
      <c r="AG320" s="23" t="s">
        <v>637</v>
      </c>
      <c r="AH320" s="39">
        <v>44141</v>
      </c>
    </row>
    <row r="321" spans="1:34">
      <c r="A321" s="67" t="s">
        <v>1815</v>
      </c>
      <c r="B321" s="23" t="s">
        <v>1816</v>
      </c>
      <c r="C321" s="140">
        <v>44137</v>
      </c>
      <c r="F321" s="23" t="s">
        <v>1723</v>
      </c>
      <c r="W321" s="23" t="s">
        <v>1716</v>
      </c>
      <c r="Y321" s="37">
        <v>5664</v>
      </c>
      <c r="AB321" s="23" t="s">
        <v>1817</v>
      </c>
      <c r="AC321" s="23" t="s">
        <v>1718</v>
      </c>
      <c r="AD321" s="118"/>
      <c r="AE321" s="118"/>
      <c r="AG321" s="23" t="s">
        <v>1640</v>
      </c>
      <c r="AH321" s="39">
        <v>44141</v>
      </c>
    </row>
    <row r="322" spans="1:34" ht="48">
      <c r="A322" s="62" t="s">
        <v>1820</v>
      </c>
      <c r="B322" s="27" t="s">
        <v>1821</v>
      </c>
      <c r="C322" s="140">
        <v>44134</v>
      </c>
      <c r="D322" s="23" t="s">
        <v>729</v>
      </c>
      <c r="E322" s="23" t="s">
        <v>636</v>
      </c>
      <c r="F322" s="23" t="s">
        <v>1723</v>
      </c>
      <c r="G322" s="23" t="s">
        <v>1724</v>
      </c>
      <c r="Q322" s="140">
        <v>44142</v>
      </c>
      <c r="S322" s="23" t="s">
        <v>300</v>
      </c>
      <c r="T322" s="23" t="s">
        <v>363</v>
      </c>
      <c r="U322" s="23" t="s">
        <v>363</v>
      </c>
      <c r="V322" s="23" t="s">
        <v>298</v>
      </c>
      <c r="W322" s="23" t="s">
        <v>1822</v>
      </c>
      <c r="Y322" s="37">
        <v>5680</v>
      </c>
      <c r="AB322" s="23" t="s">
        <v>1823</v>
      </c>
      <c r="AC322" s="23" t="s">
        <v>1824</v>
      </c>
      <c r="AD322" s="118"/>
      <c r="AE322" s="118">
        <v>2</v>
      </c>
      <c r="AF322" s="29" t="s">
        <v>1842</v>
      </c>
      <c r="AG322" s="23" t="s">
        <v>1640</v>
      </c>
      <c r="AH322" s="39">
        <v>44144</v>
      </c>
    </row>
    <row r="323" spans="1:34">
      <c r="A323" s="67" t="s">
        <v>1825</v>
      </c>
      <c r="B323" s="23" t="s">
        <v>1826</v>
      </c>
      <c r="C323" s="140">
        <v>44135</v>
      </c>
      <c r="F323" s="23" t="s">
        <v>1723</v>
      </c>
      <c r="W323" s="23" t="s">
        <v>1827</v>
      </c>
      <c r="Y323" s="37">
        <v>25230</v>
      </c>
      <c r="AB323" s="23" t="s">
        <v>1828</v>
      </c>
      <c r="AC323" s="23" t="s">
        <v>1829</v>
      </c>
      <c r="AD323" s="118"/>
      <c r="AE323" s="118"/>
      <c r="AG323" s="23" t="s">
        <v>1196</v>
      </c>
      <c r="AH323" s="39">
        <v>44144</v>
      </c>
    </row>
    <row r="324" spans="1:34" ht="96">
      <c r="A324" s="62" t="s">
        <v>1835</v>
      </c>
      <c r="B324" s="23" t="s">
        <v>1839</v>
      </c>
      <c r="C324" s="140">
        <v>44086</v>
      </c>
      <c r="D324" s="23" t="s">
        <v>729</v>
      </c>
      <c r="E324" s="23" t="s">
        <v>752</v>
      </c>
      <c r="F324" s="23" t="s">
        <v>2926</v>
      </c>
      <c r="G324" s="23" t="s">
        <v>2197</v>
      </c>
      <c r="P324" s="23" t="s">
        <v>1836</v>
      </c>
      <c r="Q324" s="140">
        <v>44144</v>
      </c>
      <c r="S324" s="23" t="s">
        <v>312</v>
      </c>
      <c r="T324" s="23" t="s">
        <v>12031</v>
      </c>
      <c r="U324" s="23" t="s">
        <v>12031</v>
      </c>
      <c r="V324" s="23" t="s">
        <v>298</v>
      </c>
      <c r="W324" s="19" t="s">
        <v>1837</v>
      </c>
      <c r="Y324" s="37">
        <v>8600</v>
      </c>
      <c r="AB324" s="19" t="s">
        <v>1840</v>
      </c>
      <c r="AC324" s="23" t="s">
        <v>1493</v>
      </c>
      <c r="AD324" s="118">
        <v>0</v>
      </c>
      <c r="AE324" s="118">
        <v>2</v>
      </c>
      <c r="AG324" s="23" t="s">
        <v>1838</v>
      </c>
      <c r="AH324" s="39">
        <v>44145</v>
      </c>
    </row>
    <row r="325" spans="1:34" ht="48">
      <c r="A325" s="62" t="s">
        <v>1841</v>
      </c>
      <c r="B325" s="23" t="s">
        <v>1843</v>
      </c>
      <c r="C325" s="140">
        <v>44136</v>
      </c>
      <c r="D325" s="23" t="s">
        <v>729</v>
      </c>
      <c r="E325" s="23" t="s">
        <v>636</v>
      </c>
      <c r="F325" s="23" t="s">
        <v>1723</v>
      </c>
      <c r="G325" s="23" t="s">
        <v>1724</v>
      </c>
      <c r="Q325" s="140">
        <v>44146</v>
      </c>
      <c r="S325" s="23" t="s">
        <v>300</v>
      </c>
      <c r="T325" s="23" t="s">
        <v>363</v>
      </c>
      <c r="U325" s="23" t="s">
        <v>363</v>
      </c>
      <c r="V325" s="23" t="s">
        <v>298</v>
      </c>
      <c r="W325" s="23" t="s">
        <v>995</v>
      </c>
      <c r="Y325" s="37">
        <v>25900</v>
      </c>
      <c r="AB325" s="23" t="s">
        <v>1844</v>
      </c>
      <c r="AC325" s="23" t="s">
        <v>1647</v>
      </c>
      <c r="AD325" s="118">
        <v>0</v>
      </c>
      <c r="AE325" s="118">
        <v>2</v>
      </c>
      <c r="AF325" s="29" t="s">
        <v>1883</v>
      </c>
      <c r="AG325" s="23" t="s">
        <v>1845</v>
      </c>
      <c r="AH325" s="39">
        <v>44147</v>
      </c>
    </row>
    <row r="326" spans="1:34">
      <c r="A326" s="67" t="s">
        <v>1846</v>
      </c>
      <c r="B326" s="23" t="s">
        <v>1847</v>
      </c>
      <c r="C326" s="140">
        <v>44137</v>
      </c>
      <c r="F326" s="23" t="s">
        <v>1723</v>
      </c>
      <c r="W326" s="23" t="s">
        <v>1822</v>
      </c>
      <c r="Y326" s="37">
        <v>5664</v>
      </c>
      <c r="AB326" s="23" t="s">
        <v>1848</v>
      </c>
      <c r="AC326" s="23" t="s">
        <v>1718</v>
      </c>
      <c r="AD326" s="118"/>
      <c r="AE326" s="118"/>
      <c r="AG326" s="23" t="s">
        <v>1640</v>
      </c>
      <c r="AH326" s="39">
        <v>44147</v>
      </c>
    </row>
    <row r="327" spans="1:34" ht="48">
      <c r="A327" s="62" t="s">
        <v>1849</v>
      </c>
      <c r="B327" s="23" t="s">
        <v>1850</v>
      </c>
      <c r="C327" s="140">
        <v>44138</v>
      </c>
      <c r="D327" s="23" t="s">
        <v>729</v>
      </c>
      <c r="E327" s="23" t="s">
        <v>636</v>
      </c>
      <c r="F327" s="23" t="s">
        <v>1723</v>
      </c>
      <c r="G327" s="23" t="s">
        <v>1724</v>
      </c>
      <c r="Q327" s="140">
        <v>44148</v>
      </c>
      <c r="S327" s="23" t="s">
        <v>300</v>
      </c>
      <c r="T327" s="23" t="s">
        <v>363</v>
      </c>
      <c r="U327" s="23" t="s">
        <v>363</v>
      </c>
      <c r="V327" s="23" t="s">
        <v>298</v>
      </c>
      <c r="W327" s="23" t="s">
        <v>1066</v>
      </c>
      <c r="Y327" s="37">
        <v>23387.599999999999</v>
      </c>
      <c r="AB327" s="23" t="s">
        <v>1851</v>
      </c>
      <c r="AC327" s="23" t="s">
        <v>1852</v>
      </c>
      <c r="AD327" s="118">
        <v>0</v>
      </c>
      <c r="AE327" s="118">
        <v>3</v>
      </c>
      <c r="AF327" s="29" t="s">
        <v>1883</v>
      </c>
      <c r="AG327" s="23" t="s">
        <v>637</v>
      </c>
      <c r="AH327" s="39">
        <v>44147</v>
      </c>
    </row>
    <row r="328" spans="1:34" ht="64">
      <c r="A328" s="67" t="s">
        <v>1853</v>
      </c>
      <c r="B328" s="23" t="s">
        <v>1854</v>
      </c>
      <c r="C328" s="140">
        <v>44138</v>
      </c>
      <c r="F328" s="23" t="s">
        <v>1723</v>
      </c>
      <c r="W328" s="23" t="s">
        <v>1139</v>
      </c>
      <c r="Y328" s="37">
        <v>52000</v>
      </c>
      <c r="AB328" s="19" t="s">
        <v>1855</v>
      </c>
      <c r="AC328" s="23" t="s">
        <v>1856</v>
      </c>
      <c r="AD328" s="118"/>
      <c r="AE328" s="118"/>
      <c r="AG328" s="23" t="s">
        <v>1196</v>
      </c>
      <c r="AH328" s="39">
        <v>44147</v>
      </c>
    </row>
    <row r="329" spans="1:34" ht="48">
      <c r="A329" s="62" t="s">
        <v>1857</v>
      </c>
      <c r="B329" s="23">
        <v>240631671</v>
      </c>
      <c r="C329" s="140">
        <v>44141</v>
      </c>
      <c r="D329" s="23" t="s">
        <v>729</v>
      </c>
      <c r="E329" s="23" t="s">
        <v>636</v>
      </c>
      <c r="F329" s="23" t="s">
        <v>1723</v>
      </c>
      <c r="G329" s="23" t="s">
        <v>1724</v>
      </c>
      <c r="Q329" s="140">
        <v>44148</v>
      </c>
      <c r="S329" s="23" t="s">
        <v>300</v>
      </c>
      <c r="T329" s="23" t="s">
        <v>363</v>
      </c>
      <c r="U329" s="23" t="s">
        <v>363</v>
      </c>
      <c r="V329" s="23" t="s">
        <v>298</v>
      </c>
      <c r="W329" s="23" t="s">
        <v>915</v>
      </c>
      <c r="Y329" s="37">
        <v>26486</v>
      </c>
      <c r="AB329" s="23" t="s">
        <v>1858</v>
      </c>
      <c r="AC329" s="23" t="s">
        <v>1575</v>
      </c>
      <c r="AD329" s="118">
        <v>1</v>
      </c>
      <c r="AE329" s="118">
        <v>1</v>
      </c>
      <c r="AF329" s="29" t="s">
        <v>1883</v>
      </c>
      <c r="AG329" s="23" t="s">
        <v>1196</v>
      </c>
      <c r="AH329" s="39">
        <v>44147</v>
      </c>
    </row>
    <row r="330" spans="1:34">
      <c r="A330" s="67" t="s">
        <v>1859</v>
      </c>
      <c r="B330" s="23" t="s">
        <v>1860</v>
      </c>
      <c r="C330" s="140">
        <v>44139</v>
      </c>
      <c r="F330" s="23" t="s">
        <v>1723</v>
      </c>
      <c r="W330" s="23" t="s">
        <v>1139</v>
      </c>
      <c r="Y330" s="37">
        <v>18000</v>
      </c>
      <c r="AB330" s="23" t="s">
        <v>1861</v>
      </c>
      <c r="AC330" s="23" t="s">
        <v>1862</v>
      </c>
      <c r="AD330" s="118"/>
      <c r="AE330" s="118"/>
      <c r="AG330" s="23" t="s">
        <v>1196</v>
      </c>
      <c r="AH330" s="39">
        <v>44147</v>
      </c>
    </row>
    <row r="331" spans="1:34" ht="48">
      <c r="A331" s="62" t="s">
        <v>1863</v>
      </c>
      <c r="B331" s="23" t="s">
        <v>1864</v>
      </c>
      <c r="C331" s="140">
        <v>44138</v>
      </c>
      <c r="D331" s="23" t="s">
        <v>729</v>
      </c>
      <c r="E331" s="23" t="s">
        <v>636</v>
      </c>
      <c r="F331" s="23" t="s">
        <v>1723</v>
      </c>
      <c r="G331" s="23" t="s">
        <v>1724</v>
      </c>
      <c r="Q331" s="140">
        <v>44148</v>
      </c>
      <c r="S331" s="23" t="s">
        <v>300</v>
      </c>
      <c r="T331" s="23" t="s">
        <v>363</v>
      </c>
      <c r="U331" s="23" t="s">
        <v>363</v>
      </c>
      <c r="V331" s="23" t="s">
        <v>298</v>
      </c>
      <c r="W331" s="23" t="s">
        <v>1865</v>
      </c>
      <c r="Y331" s="37">
        <v>5635</v>
      </c>
      <c r="AB331" s="23" t="s">
        <v>1866</v>
      </c>
      <c r="AC331" s="23" t="s">
        <v>1867</v>
      </c>
      <c r="AD331" s="118">
        <v>0</v>
      </c>
      <c r="AE331" s="118">
        <v>1</v>
      </c>
      <c r="AF331" s="29" t="s">
        <v>1883</v>
      </c>
      <c r="AG331" s="23" t="s">
        <v>1196</v>
      </c>
      <c r="AH331" s="39">
        <v>44148</v>
      </c>
    </row>
    <row r="332" spans="1:34" ht="112">
      <c r="A332" s="62" t="s">
        <v>1868</v>
      </c>
      <c r="B332" s="23">
        <v>1636</v>
      </c>
      <c r="C332" s="140">
        <v>44127</v>
      </c>
      <c r="D332" s="23" t="s">
        <v>729</v>
      </c>
      <c r="E332" s="23" t="s">
        <v>752</v>
      </c>
      <c r="F332" s="23" t="s">
        <v>2926</v>
      </c>
      <c r="G332" s="23" t="s">
        <v>2197</v>
      </c>
      <c r="P332" s="19" t="s">
        <v>1869</v>
      </c>
      <c r="Q332" s="140">
        <v>44153</v>
      </c>
      <c r="S332" s="23" t="s">
        <v>1870</v>
      </c>
      <c r="T332" s="23" t="s">
        <v>12031</v>
      </c>
      <c r="U332" s="23" t="s">
        <v>12031</v>
      </c>
      <c r="V332" s="23" t="s">
        <v>298</v>
      </c>
      <c r="W332" s="19" t="s">
        <v>1888</v>
      </c>
      <c r="Y332" s="37">
        <v>4000</v>
      </c>
      <c r="AB332" s="23" t="s">
        <v>1871</v>
      </c>
      <c r="AC332" s="23" t="s">
        <v>123</v>
      </c>
      <c r="AD332" s="118">
        <v>0</v>
      </c>
      <c r="AE332" s="118">
        <v>1</v>
      </c>
      <c r="AF332" s="29" t="s">
        <v>2023</v>
      </c>
      <c r="AG332" s="23" t="s">
        <v>1872</v>
      </c>
      <c r="AH332" s="39">
        <v>44151</v>
      </c>
    </row>
    <row r="333" spans="1:34" ht="80">
      <c r="A333" s="62" t="s">
        <v>1873</v>
      </c>
      <c r="B333" s="23" t="s">
        <v>1877</v>
      </c>
      <c r="C333" s="140">
        <v>44100</v>
      </c>
      <c r="D333" s="23" t="s">
        <v>729</v>
      </c>
      <c r="E333" s="23" t="s">
        <v>752</v>
      </c>
      <c r="F333" s="23" t="s">
        <v>2926</v>
      </c>
      <c r="G333" s="23" t="s">
        <v>2197</v>
      </c>
      <c r="P333" s="19" t="s">
        <v>1882</v>
      </c>
      <c r="Q333" s="140">
        <v>44152</v>
      </c>
      <c r="S333" s="23" t="s">
        <v>312</v>
      </c>
      <c r="T333" s="23" t="s">
        <v>12031</v>
      </c>
      <c r="U333" s="23" t="s">
        <v>12031</v>
      </c>
      <c r="V333" s="23" t="s">
        <v>298</v>
      </c>
      <c r="W333" s="19" t="s">
        <v>1878</v>
      </c>
      <c r="Y333" s="37">
        <v>2150</v>
      </c>
      <c r="AB333" s="23" t="s">
        <v>1879</v>
      </c>
      <c r="AC333" s="23" t="s">
        <v>131</v>
      </c>
      <c r="AD333" s="118">
        <v>1</v>
      </c>
      <c r="AE333" s="118">
        <v>0</v>
      </c>
      <c r="AF333" s="29" t="s">
        <v>2024</v>
      </c>
      <c r="AG333" s="23" t="s">
        <v>1880</v>
      </c>
      <c r="AH333" s="39">
        <v>44151</v>
      </c>
    </row>
    <row r="334" spans="1:34" ht="96">
      <c r="A334" s="63" t="s">
        <v>1881</v>
      </c>
      <c r="B334" s="23" t="s">
        <v>1874</v>
      </c>
      <c r="C334" s="140">
        <v>44150</v>
      </c>
      <c r="D334" s="23" t="s">
        <v>729</v>
      </c>
      <c r="E334" s="23" t="s">
        <v>752</v>
      </c>
      <c r="F334" s="23" t="s">
        <v>57</v>
      </c>
      <c r="H334" s="23" t="s">
        <v>1875</v>
      </c>
      <c r="I334" s="23" t="s">
        <v>1875</v>
      </c>
      <c r="J334" s="140">
        <v>44144</v>
      </c>
      <c r="K334" s="23" t="s">
        <v>1975</v>
      </c>
      <c r="L334" s="140">
        <v>44153</v>
      </c>
      <c r="Q334" s="140">
        <v>44156</v>
      </c>
      <c r="S334" s="23" t="s">
        <v>183</v>
      </c>
      <c r="T334" s="23" t="s">
        <v>305</v>
      </c>
      <c r="U334" s="23" t="s">
        <v>305</v>
      </c>
      <c r="V334" s="23" t="s">
        <v>233</v>
      </c>
      <c r="W334" s="23" t="s">
        <v>112</v>
      </c>
      <c r="X334" s="23">
        <v>47711.3</v>
      </c>
      <c r="Y334" s="37">
        <v>48046.1</v>
      </c>
      <c r="Z334" s="23">
        <v>41508.83</v>
      </c>
      <c r="AA334" s="23">
        <v>39714.83</v>
      </c>
      <c r="AB334" s="23" t="s">
        <v>1876</v>
      </c>
      <c r="AC334" s="23" t="s">
        <v>173</v>
      </c>
      <c r="AD334" s="118">
        <v>0</v>
      </c>
      <c r="AE334" s="118">
        <v>3</v>
      </c>
      <c r="AF334" s="29" t="s">
        <v>2666</v>
      </c>
      <c r="AG334" s="23" t="s">
        <v>792</v>
      </c>
      <c r="AH334" s="39">
        <v>44151</v>
      </c>
    </row>
    <row r="335" spans="1:34" ht="48">
      <c r="A335" s="62" t="s">
        <v>1889</v>
      </c>
      <c r="B335" s="23">
        <v>206022760</v>
      </c>
      <c r="C335" s="140">
        <v>44145</v>
      </c>
      <c r="D335" s="23" t="s">
        <v>729</v>
      </c>
      <c r="E335" s="23" t="s">
        <v>636</v>
      </c>
      <c r="F335" s="23" t="s">
        <v>1723</v>
      </c>
      <c r="G335" s="23" t="s">
        <v>1724</v>
      </c>
      <c r="Q335" s="140">
        <v>44152</v>
      </c>
      <c r="S335" s="23" t="s">
        <v>300</v>
      </c>
      <c r="T335" s="23" t="s">
        <v>363</v>
      </c>
      <c r="U335" s="23" t="s">
        <v>363</v>
      </c>
      <c r="V335" s="23" t="s">
        <v>298</v>
      </c>
      <c r="W335" s="23" t="s">
        <v>1066</v>
      </c>
      <c r="Y335" s="37">
        <v>21523</v>
      </c>
      <c r="AB335" s="23" t="s">
        <v>1902</v>
      </c>
      <c r="AC335" s="23" t="s">
        <v>1903</v>
      </c>
      <c r="AD335" s="118">
        <v>0</v>
      </c>
      <c r="AE335" s="118">
        <v>4</v>
      </c>
      <c r="AF335" s="29" t="s">
        <v>2025</v>
      </c>
      <c r="AG335" s="23" t="s">
        <v>637</v>
      </c>
      <c r="AH335" s="39">
        <v>44152</v>
      </c>
    </row>
    <row r="336" spans="1:34">
      <c r="A336" s="67" t="s">
        <v>1890</v>
      </c>
      <c r="B336" s="23" t="s">
        <v>1904</v>
      </c>
      <c r="C336" s="140">
        <v>44145</v>
      </c>
      <c r="F336" s="23" t="s">
        <v>1723</v>
      </c>
      <c r="W336" s="23" t="s">
        <v>1905</v>
      </c>
      <c r="Y336" s="37">
        <v>5684</v>
      </c>
      <c r="AB336" s="23" t="s">
        <v>1906</v>
      </c>
      <c r="AC336" s="23" t="s">
        <v>1907</v>
      </c>
      <c r="AD336" s="118"/>
      <c r="AE336" s="118"/>
      <c r="AG336" s="23" t="s">
        <v>1845</v>
      </c>
      <c r="AH336" s="39">
        <v>44152</v>
      </c>
    </row>
    <row r="337" spans="1:44">
      <c r="A337" s="67" t="s">
        <v>1891</v>
      </c>
      <c r="B337" s="23" t="s">
        <v>1908</v>
      </c>
      <c r="C337" s="140">
        <v>44145</v>
      </c>
      <c r="F337" s="23" t="s">
        <v>1723</v>
      </c>
      <c r="W337" s="23" t="s">
        <v>973</v>
      </c>
      <c r="Y337" s="37">
        <v>5112</v>
      </c>
      <c r="AB337" s="23" t="s">
        <v>1909</v>
      </c>
      <c r="AC337" s="23" t="s">
        <v>1910</v>
      </c>
      <c r="AD337" s="118"/>
      <c r="AE337" s="118"/>
      <c r="AG337" s="23" t="s">
        <v>1845</v>
      </c>
      <c r="AH337" s="39">
        <v>44152</v>
      </c>
    </row>
    <row r="338" spans="1:44">
      <c r="A338" s="67" t="s">
        <v>1892</v>
      </c>
      <c r="B338" s="23" t="s">
        <v>1911</v>
      </c>
      <c r="C338" s="140">
        <v>44146</v>
      </c>
      <c r="F338" s="23" t="s">
        <v>1723</v>
      </c>
      <c r="W338" s="23" t="s">
        <v>915</v>
      </c>
      <c r="Y338" s="37">
        <v>26486</v>
      </c>
      <c r="AB338" s="23" t="s">
        <v>1912</v>
      </c>
      <c r="AC338" s="23" t="s">
        <v>1575</v>
      </c>
      <c r="AD338" s="118"/>
      <c r="AE338" s="118"/>
      <c r="AG338" s="23" t="s">
        <v>1845</v>
      </c>
      <c r="AH338" s="39">
        <v>44152</v>
      </c>
    </row>
    <row r="339" spans="1:44" ht="48">
      <c r="A339" s="62" t="s">
        <v>1893</v>
      </c>
      <c r="B339" s="23" t="s">
        <v>1913</v>
      </c>
      <c r="C339" s="140">
        <v>44148</v>
      </c>
      <c r="D339" s="23" t="s">
        <v>729</v>
      </c>
      <c r="E339" s="23" t="s">
        <v>636</v>
      </c>
      <c r="F339" s="23" t="s">
        <v>1723</v>
      </c>
      <c r="G339" s="23" t="s">
        <v>1724</v>
      </c>
      <c r="Q339" s="140">
        <v>44152</v>
      </c>
      <c r="S339" s="23" t="s">
        <v>300</v>
      </c>
      <c r="T339" s="23" t="s">
        <v>363</v>
      </c>
      <c r="U339" s="23" t="s">
        <v>363</v>
      </c>
      <c r="V339" s="23" t="s">
        <v>298</v>
      </c>
      <c r="W339" s="23" t="s">
        <v>1139</v>
      </c>
      <c r="Y339" s="37">
        <v>26000</v>
      </c>
      <c r="AB339" s="23" t="s">
        <v>1914</v>
      </c>
      <c r="AC339" s="23" t="s">
        <v>1473</v>
      </c>
      <c r="AD339" s="118">
        <v>0</v>
      </c>
      <c r="AE339" s="118">
        <v>5</v>
      </c>
      <c r="AF339" s="29" t="s">
        <v>2026</v>
      </c>
      <c r="AG339" s="23" t="s">
        <v>1196</v>
      </c>
      <c r="AH339" s="39">
        <v>44152</v>
      </c>
    </row>
    <row r="340" spans="1:44">
      <c r="A340" s="67" t="s">
        <v>1894</v>
      </c>
      <c r="B340" s="23">
        <v>240603315</v>
      </c>
      <c r="C340" s="140">
        <v>44148</v>
      </c>
      <c r="F340" s="23" t="s">
        <v>1723</v>
      </c>
      <c r="W340" s="23" t="s">
        <v>995</v>
      </c>
      <c r="Y340" s="37">
        <v>25900</v>
      </c>
      <c r="AB340" s="23" t="s">
        <v>1915</v>
      </c>
      <c r="AC340" s="23" t="s">
        <v>1647</v>
      </c>
      <c r="AD340" s="118"/>
      <c r="AE340" s="118"/>
      <c r="AG340" s="23" t="s">
        <v>1916</v>
      </c>
      <c r="AH340" s="39">
        <v>44152</v>
      </c>
    </row>
    <row r="341" spans="1:44">
      <c r="A341" s="67" t="s">
        <v>1895</v>
      </c>
      <c r="B341" s="23" t="s">
        <v>1917</v>
      </c>
      <c r="C341" s="140">
        <v>44147</v>
      </c>
      <c r="F341" s="23" t="s">
        <v>1723</v>
      </c>
      <c r="W341" s="23" t="s">
        <v>1918</v>
      </c>
      <c r="Y341" s="37">
        <v>12740</v>
      </c>
      <c r="AB341" s="23" t="s">
        <v>1919</v>
      </c>
      <c r="AC341" s="23" t="s">
        <v>1920</v>
      </c>
      <c r="AD341" s="118"/>
      <c r="AE341" s="118"/>
      <c r="AG341" s="23" t="s">
        <v>1921</v>
      </c>
      <c r="AH341" s="39">
        <v>44152</v>
      </c>
    </row>
    <row r="342" spans="1:44" ht="64">
      <c r="A342" s="67" t="s">
        <v>1896</v>
      </c>
      <c r="B342" s="23" t="s">
        <v>1922</v>
      </c>
      <c r="C342" s="140">
        <v>44147</v>
      </c>
      <c r="F342" s="23" t="s">
        <v>1723</v>
      </c>
      <c r="W342" s="23" t="s">
        <v>915</v>
      </c>
      <c r="Y342" s="37">
        <v>52890</v>
      </c>
      <c r="AB342" s="19" t="s">
        <v>1923</v>
      </c>
      <c r="AC342" s="23" t="s">
        <v>1924</v>
      </c>
      <c r="AD342" s="118"/>
      <c r="AE342" s="118"/>
      <c r="AG342" s="23" t="s">
        <v>1196</v>
      </c>
      <c r="AH342" s="39">
        <v>44152</v>
      </c>
    </row>
    <row r="343" spans="1:44" ht="48">
      <c r="A343" s="62" t="s">
        <v>1897</v>
      </c>
      <c r="B343" s="23">
        <v>599099798</v>
      </c>
      <c r="C343" s="140">
        <v>44144</v>
      </c>
      <c r="D343" s="23" t="s">
        <v>729</v>
      </c>
      <c r="E343" s="23" t="s">
        <v>636</v>
      </c>
      <c r="F343" s="23" t="s">
        <v>1723</v>
      </c>
      <c r="G343" s="23" t="s">
        <v>1724</v>
      </c>
      <c r="Q343" s="140">
        <v>44152</v>
      </c>
      <c r="S343" s="23" t="s">
        <v>300</v>
      </c>
      <c r="T343" s="23" t="s">
        <v>363</v>
      </c>
      <c r="U343" s="23" t="s">
        <v>363</v>
      </c>
      <c r="V343" s="23" t="s">
        <v>298</v>
      </c>
      <c r="W343" s="23" t="s">
        <v>1716</v>
      </c>
      <c r="Y343" s="37">
        <v>5680</v>
      </c>
      <c r="AB343" s="23" t="s">
        <v>1925</v>
      </c>
      <c r="AC343" s="23" t="s">
        <v>1824</v>
      </c>
      <c r="AD343" s="118">
        <v>0</v>
      </c>
      <c r="AE343" s="118">
        <v>3</v>
      </c>
      <c r="AF343" s="29" t="s">
        <v>2027</v>
      </c>
      <c r="AG343" s="23" t="s">
        <v>1926</v>
      </c>
      <c r="AH343" s="39">
        <v>44152</v>
      </c>
    </row>
    <row r="344" spans="1:44">
      <c r="A344" s="67" t="s">
        <v>1898</v>
      </c>
      <c r="B344" s="23" t="s">
        <v>1927</v>
      </c>
      <c r="C344" s="140">
        <v>44147</v>
      </c>
      <c r="F344" s="23" t="s">
        <v>1723</v>
      </c>
      <c r="W344" s="23" t="s">
        <v>1716</v>
      </c>
      <c r="Y344" s="37">
        <v>5664</v>
      </c>
      <c r="AB344" s="23" t="s">
        <v>1928</v>
      </c>
      <c r="AC344" s="23" t="s">
        <v>1718</v>
      </c>
      <c r="AD344" s="118"/>
      <c r="AE344" s="118"/>
      <c r="AG344" s="23" t="s">
        <v>637</v>
      </c>
      <c r="AH344" s="39">
        <v>44152</v>
      </c>
    </row>
    <row r="345" spans="1:44">
      <c r="A345" s="67" t="s">
        <v>1899</v>
      </c>
      <c r="B345" s="23" t="s">
        <v>1929</v>
      </c>
      <c r="C345" s="140">
        <v>44147</v>
      </c>
      <c r="F345" s="23" t="s">
        <v>1723</v>
      </c>
      <c r="W345" s="23" t="s">
        <v>915</v>
      </c>
      <c r="Y345" s="37">
        <v>26240</v>
      </c>
      <c r="AB345" s="23" t="s">
        <v>1930</v>
      </c>
      <c r="AC345" s="23" t="s">
        <v>1931</v>
      </c>
      <c r="AD345" s="118"/>
      <c r="AE345" s="118"/>
      <c r="AG345" s="23" t="s">
        <v>637</v>
      </c>
      <c r="AH345" s="39">
        <v>44152</v>
      </c>
    </row>
    <row r="346" spans="1:44" ht="48">
      <c r="A346" s="62" t="s">
        <v>1900</v>
      </c>
      <c r="B346" s="23" t="s">
        <v>1932</v>
      </c>
      <c r="C346" s="140">
        <v>44145</v>
      </c>
      <c r="D346" s="23" t="s">
        <v>729</v>
      </c>
      <c r="E346" s="23" t="s">
        <v>636</v>
      </c>
      <c r="F346" s="23" t="s">
        <v>1723</v>
      </c>
      <c r="G346" s="23" t="s">
        <v>1724</v>
      </c>
      <c r="Q346" s="140">
        <v>44152</v>
      </c>
      <c r="S346" s="23" t="s">
        <v>300</v>
      </c>
      <c r="T346" s="23" t="s">
        <v>363</v>
      </c>
      <c r="U346" s="23" t="s">
        <v>363</v>
      </c>
      <c r="V346" s="23" t="s">
        <v>298</v>
      </c>
      <c r="W346" s="23" t="s">
        <v>995</v>
      </c>
      <c r="Y346" s="37">
        <v>24500</v>
      </c>
      <c r="AB346" s="23" t="s">
        <v>1933</v>
      </c>
      <c r="AC346" s="23" t="s">
        <v>1409</v>
      </c>
      <c r="AD346" s="118">
        <v>0</v>
      </c>
      <c r="AE346" s="118">
        <v>2</v>
      </c>
      <c r="AF346" s="29" t="s">
        <v>2028</v>
      </c>
      <c r="AG346" s="23" t="s">
        <v>1845</v>
      </c>
      <c r="AH346" s="39">
        <v>44152</v>
      </c>
    </row>
    <row r="347" spans="1:44">
      <c r="A347" s="67" t="s">
        <v>1901</v>
      </c>
      <c r="B347" s="23">
        <v>205863859</v>
      </c>
      <c r="C347" s="140">
        <v>44145</v>
      </c>
      <c r="F347" s="23" t="s">
        <v>1723</v>
      </c>
      <c r="W347" s="23" t="s">
        <v>1822</v>
      </c>
      <c r="Y347" s="37">
        <v>5680</v>
      </c>
      <c r="AB347" s="23" t="s">
        <v>1934</v>
      </c>
      <c r="AC347" s="23" t="s">
        <v>1824</v>
      </c>
      <c r="AD347" s="118"/>
      <c r="AE347" s="118"/>
      <c r="AG347" s="23" t="s">
        <v>1640</v>
      </c>
      <c r="AH347" s="39">
        <v>44152</v>
      </c>
    </row>
    <row r="348" spans="1:44" ht="32">
      <c r="A348" s="68" t="s">
        <v>1935</v>
      </c>
      <c r="B348" s="23" t="s">
        <v>1936</v>
      </c>
      <c r="C348" s="140">
        <v>44142</v>
      </c>
      <c r="D348" s="23" t="s">
        <v>729</v>
      </c>
      <c r="E348" s="23" t="s">
        <v>752</v>
      </c>
      <c r="F348" s="23" t="s">
        <v>1937</v>
      </c>
      <c r="G348" s="23" t="s">
        <v>5538</v>
      </c>
      <c r="H348" s="23" t="s">
        <v>1938</v>
      </c>
      <c r="I348" s="23" t="s">
        <v>1938</v>
      </c>
      <c r="J348" s="140">
        <v>44119</v>
      </c>
      <c r="P348" s="23" t="s">
        <v>1947</v>
      </c>
      <c r="Q348" s="140">
        <v>44153</v>
      </c>
      <c r="S348" s="23" t="s">
        <v>300</v>
      </c>
      <c r="T348" s="23" t="s">
        <v>12031</v>
      </c>
      <c r="U348" s="23" t="s">
        <v>12031</v>
      </c>
      <c r="V348" s="23" t="s">
        <v>299</v>
      </c>
      <c r="W348" s="23" t="s">
        <v>1939</v>
      </c>
      <c r="Y348" s="37">
        <v>6370</v>
      </c>
      <c r="AB348" s="19" t="s">
        <v>1940</v>
      </c>
      <c r="AC348" s="23" t="s">
        <v>1493</v>
      </c>
      <c r="AD348" s="118">
        <v>0</v>
      </c>
      <c r="AE348" s="118">
        <v>2</v>
      </c>
      <c r="AF348" s="29" t="s">
        <v>2818</v>
      </c>
      <c r="AG348" s="23" t="s">
        <v>1946</v>
      </c>
      <c r="AH348" s="39">
        <v>44154</v>
      </c>
      <c r="AJ348" s="75">
        <v>44161</v>
      </c>
      <c r="AL348" s="53">
        <f>AJ348+180</f>
        <v>44341</v>
      </c>
      <c r="AN348" s="53"/>
      <c r="AO348" s="53"/>
      <c r="AP348" s="53"/>
      <c r="AQ348" s="53"/>
      <c r="AR348" s="53"/>
    </row>
    <row r="349" spans="1:44" ht="48">
      <c r="A349" s="62" t="s">
        <v>1941</v>
      </c>
      <c r="B349" s="23" t="s">
        <v>1942</v>
      </c>
      <c r="C349" s="140">
        <v>44149</v>
      </c>
      <c r="D349" s="23" t="s">
        <v>729</v>
      </c>
      <c r="E349" s="23" t="s">
        <v>636</v>
      </c>
      <c r="F349" s="23" t="s">
        <v>1723</v>
      </c>
      <c r="G349" s="23" t="s">
        <v>1724</v>
      </c>
      <c r="Q349" s="140">
        <v>44154</v>
      </c>
      <c r="S349" s="23" t="s">
        <v>300</v>
      </c>
      <c r="T349" s="23" t="s">
        <v>363</v>
      </c>
      <c r="U349" s="23" t="s">
        <v>363</v>
      </c>
      <c r="V349" s="23" t="s">
        <v>298</v>
      </c>
      <c r="W349" s="23" t="s">
        <v>1139</v>
      </c>
      <c r="Y349" s="37">
        <v>26000</v>
      </c>
      <c r="AB349" s="23" t="s">
        <v>1943</v>
      </c>
      <c r="AC349" s="23" t="s">
        <v>1710</v>
      </c>
      <c r="AD349" s="118">
        <v>0</v>
      </c>
      <c r="AE349" s="118">
        <v>2</v>
      </c>
      <c r="AF349" s="29" t="s">
        <v>2029</v>
      </c>
      <c r="AG349" s="23" t="s">
        <v>1196</v>
      </c>
      <c r="AH349" s="39">
        <v>44154</v>
      </c>
    </row>
    <row r="350" spans="1:44">
      <c r="A350" s="67" t="s">
        <v>1944</v>
      </c>
      <c r="B350" s="23">
        <v>205863868</v>
      </c>
      <c r="C350" s="140">
        <v>44149</v>
      </c>
      <c r="F350" s="23" t="s">
        <v>1723</v>
      </c>
      <c r="W350" s="23" t="s">
        <v>915</v>
      </c>
      <c r="Y350" s="37">
        <v>26445</v>
      </c>
      <c r="AB350" s="23" t="s">
        <v>1945</v>
      </c>
      <c r="AC350" s="23" t="s">
        <v>1478</v>
      </c>
      <c r="AD350" s="118"/>
      <c r="AE350" s="118"/>
      <c r="AG350" s="23" t="s">
        <v>1196</v>
      </c>
      <c r="AH350" s="39">
        <v>44154</v>
      </c>
    </row>
    <row r="351" spans="1:44" ht="48">
      <c r="A351" s="62" t="s">
        <v>1948</v>
      </c>
      <c r="B351" s="23" t="s">
        <v>1956</v>
      </c>
      <c r="C351" s="140">
        <v>44150</v>
      </c>
      <c r="D351" s="23" t="s">
        <v>729</v>
      </c>
      <c r="E351" s="23" t="s">
        <v>636</v>
      </c>
      <c r="F351" s="23" t="s">
        <v>1723</v>
      </c>
      <c r="G351" s="23" t="s">
        <v>1724</v>
      </c>
      <c r="Q351" s="140">
        <v>44155</v>
      </c>
      <c r="S351" s="23" t="s">
        <v>300</v>
      </c>
      <c r="T351" s="23" t="s">
        <v>363</v>
      </c>
      <c r="U351" s="23" t="s">
        <v>363</v>
      </c>
      <c r="V351" s="23" t="s">
        <v>298</v>
      </c>
      <c r="W351" s="23" t="s">
        <v>995</v>
      </c>
      <c r="Y351" s="37">
        <v>25900</v>
      </c>
      <c r="AB351" s="23" t="s">
        <v>1957</v>
      </c>
      <c r="AC351" s="23" t="s">
        <v>1647</v>
      </c>
      <c r="AD351" s="118">
        <v>0</v>
      </c>
      <c r="AE351" s="118">
        <v>5</v>
      </c>
      <c r="AF351" s="29" t="s">
        <v>2030</v>
      </c>
      <c r="AG351" s="23" t="s">
        <v>1845</v>
      </c>
      <c r="AH351" s="39">
        <v>44155</v>
      </c>
    </row>
    <row r="352" spans="1:44" ht="64">
      <c r="A352" s="67" t="s">
        <v>1949</v>
      </c>
      <c r="B352" s="23" t="s">
        <v>1972</v>
      </c>
      <c r="C352" s="140">
        <v>44148</v>
      </c>
      <c r="F352" s="23" t="s">
        <v>1723</v>
      </c>
      <c r="W352" s="23" t="s">
        <v>494</v>
      </c>
      <c r="Y352" s="37">
        <v>37810</v>
      </c>
      <c r="AB352" s="19" t="s">
        <v>1973</v>
      </c>
      <c r="AC352" s="23" t="s">
        <v>1974</v>
      </c>
      <c r="AD352" s="118"/>
      <c r="AE352" s="118"/>
      <c r="AG352" s="23" t="s">
        <v>1581</v>
      </c>
      <c r="AH352" s="39">
        <v>44155</v>
      </c>
    </row>
    <row r="353" spans="1:44" ht="64">
      <c r="A353" s="67" t="s">
        <v>1950</v>
      </c>
      <c r="B353" s="23" t="s">
        <v>1958</v>
      </c>
      <c r="C353" s="140">
        <v>44150</v>
      </c>
      <c r="F353" s="23" t="s">
        <v>1723</v>
      </c>
      <c r="W353" s="23" t="s">
        <v>1139</v>
      </c>
      <c r="Y353" s="37">
        <v>52000</v>
      </c>
      <c r="AB353" s="19" t="s">
        <v>1959</v>
      </c>
      <c r="AC353" s="23" t="s">
        <v>1856</v>
      </c>
      <c r="AD353" s="118"/>
      <c r="AE353" s="118"/>
      <c r="AG353" s="23" t="s">
        <v>1845</v>
      </c>
      <c r="AH353" s="39">
        <v>44155</v>
      </c>
    </row>
    <row r="354" spans="1:44" ht="48">
      <c r="A354" s="62" t="s">
        <v>1951</v>
      </c>
      <c r="B354" s="23" t="s">
        <v>1960</v>
      </c>
      <c r="C354" s="140">
        <v>44152</v>
      </c>
      <c r="D354" s="23" t="s">
        <v>729</v>
      </c>
      <c r="E354" s="23" t="s">
        <v>636</v>
      </c>
      <c r="F354" s="23" t="s">
        <v>1723</v>
      </c>
      <c r="G354" s="23" t="s">
        <v>1724</v>
      </c>
      <c r="Q354" s="140">
        <v>44155</v>
      </c>
      <c r="S354" s="23" t="s">
        <v>300</v>
      </c>
      <c r="T354" s="23" t="s">
        <v>363</v>
      </c>
      <c r="U354" s="23" t="s">
        <v>363</v>
      </c>
      <c r="V354" s="23" t="s">
        <v>298</v>
      </c>
      <c r="W354" s="23" t="s">
        <v>915</v>
      </c>
      <c r="Y354" s="37">
        <v>27060</v>
      </c>
      <c r="AB354" s="23" t="s">
        <v>1961</v>
      </c>
      <c r="AC354" s="23" t="s">
        <v>1811</v>
      </c>
      <c r="AD354" s="118">
        <v>0</v>
      </c>
      <c r="AE354" s="118">
        <v>3</v>
      </c>
      <c r="AF354" s="29" t="s">
        <v>2031</v>
      </c>
      <c r="AG354" s="23" t="s">
        <v>637</v>
      </c>
      <c r="AH354" s="39">
        <v>44155</v>
      </c>
    </row>
    <row r="355" spans="1:44">
      <c r="A355" s="67" t="s">
        <v>1952</v>
      </c>
      <c r="B355" s="23" t="s">
        <v>1962</v>
      </c>
      <c r="C355" s="140">
        <v>44152</v>
      </c>
      <c r="F355" s="23" t="s">
        <v>1723</v>
      </c>
      <c r="W355" s="23" t="s">
        <v>1716</v>
      </c>
      <c r="Y355" s="37">
        <v>5696</v>
      </c>
      <c r="AB355" s="23" t="s">
        <v>1963</v>
      </c>
      <c r="AC355" s="23" t="s">
        <v>1779</v>
      </c>
      <c r="AD355" s="118"/>
      <c r="AE355" s="118"/>
      <c r="AG355" s="23" t="s">
        <v>637</v>
      </c>
      <c r="AH355" s="39">
        <v>44155</v>
      </c>
    </row>
    <row r="356" spans="1:44">
      <c r="A356" s="67" t="s">
        <v>1953</v>
      </c>
      <c r="B356" s="23" t="s">
        <v>1964</v>
      </c>
      <c r="C356" s="140">
        <v>44141</v>
      </c>
      <c r="F356" s="23" t="s">
        <v>1723</v>
      </c>
      <c r="W356" s="23" t="s">
        <v>1781</v>
      </c>
      <c r="Y356" s="37">
        <v>4800</v>
      </c>
      <c r="AB356" s="23" t="s">
        <v>1965</v>
      </c>
      <c r="AC356" s="23" t="s">
        <v>1783</v>
      </c>
      <c r="AD356" s="118"/>
      <c r="AE356" s="118"/>
      <c r="AG356" s="23" t="s">
        <v>1966</v>
      </c>
      <c r="AH356" s="39">
        <v>44155</v>
      </c>
    </row>
    <row r="357" spans="1:44" ht="48">
      <c r="A357" s="62" t="s">
        <v>1954</v>
      </c>
      <c r="B357" s="23" t="s">
        <v>1967</v>
      </c>
      <c r="C357" s="140">
        <v>44136</v>
      </c>
      <c r="D357" s="23" t="s">
        <v>729</v>
      </c>
      <c r="E357" s="23" t="s">
        <v>636</v>
      </c>
      <c r="F357" s="23" t="s">
        <v>1723</v>
      </c>
      <c r="G357" s="23" t="s">
        <v>1724</v>
      </c>
      <c r="Q357" s="140">
        <v>44155</v>
      </c>
      <c r="S357" s="23" t="s">
        <v>300</v>
      </c>
      <c r="T357" s="23" t="s">
        <v>363</v>
      </c>
      <c r="U357" s="23" t="s">
        <v>363</v>
      </c>
      <c r="V357" s="23" t="s">
        <v>298</v>
      </c>
      <c r="W357" s="23" t="s">
        <v>995</v>
      </c>
      <c r="Y357" s="37">
        <v>26250</v>
      </c>
      <c r="AB357" s="23" t="s">
        <v>1968</v>
      </c>
      <c r="AC357" s="23" t="s">
        <v>1803</v>
      </c>
      <c r="AD357" s="118">
        <v>0</v>
      </c>
      <c r="AE357" s="118">
        <v>1</v>
      </c>
      <c r="AF357" s="29" t="s">
        <v>2032</v>
      </c>
      <c r="AG357" s="23" t="s">
        <v>665</v>
      </c>
      <c r="AH357" s="39">
        <v>44155</v>
      </c>
    </row>
    <row r="358" spans="1:44" ht="48">
      <c r="A358" s="62" t="s">
        <v>1955</v>
      </c>
      <c r="B358" s="23" t="s">
        <v>1969</v>
      </c>
      <c r="C358" s="140">
        <v>44153</v>
      </c>
      <c r="D358" s="23" t="s">
        <v>729</v>
      </c>
      <c r="E358" s="23" t="s">
        <v>636</v>
      </c>
      <c r="F358" s="23" t="s">
        <v>1723</v>
      </c>
      <c r="G358" s="23" t="s">
        <v>1724</v>
      </c>
      <c r="Q358" s="140">
        <v>44155</v>
      </c>
      <c r="S358" s="23" t="s">
        <v>300</v>
      </c>
      <c r="T358" s="23" t="s">
        <v>363</v>
      </c>
      <c r="U358" s="23" t="s">
        <v>363</v>
      </c>
      <c r="V358" s="23" t="s">
        <v>298</v>
      </c>
      <c r="W358" s="23" t="s">
        <v>1716</v>
      </c>
      <c r="Y358" s="37">
        <v>5728</v>
      </c>
      <c r="AB358" s="23" t="s">
        <v>1970</v>
      </c>
      <c r="AC358" s="23" t="s">
        <v>1971</v>
      </c>
      <c r="AD358" s="118">
        <v>0</v>
      </c>
      <c r="AE358" s="118">
        <v>1</v>
      </c>
      <c r="AF358" s="29" t="s">
        <v>2033</v>
      </c>
      <c r="AG358" s="23" t="s">
        <v>1585</v>
      </c>
      <c r="AH358" s="39">
        <v>44155</v>
      </c>
    </row>
    <row r="359" spans="1:44" ht="48">
      <c r="A359" s="62" t="s">
        <v>1976</v>
      </c>
      <c r="B359" s="23" t="s">
        <v>1980</v>
      </c>
      <c r="C359" s="140">
        <v>44153</v>
      </c>
      <c r="D359" s="23" t="s">
        <v>729</v>
      </c>
      <c r="E359" s="23" t="s">
        <v>636</v>
      </c>
      <c r="F359" s="23" t="s">
        <v>1723</v>
      </c>
      <c r="G359" s="23" t="s">
        <v>1724</v>
      </c>
      <c r="Q359" s="140">
        <v>44158</v>
      </c>
      <c r="S359" s="23" t="s">
        <v>300</v>
      </c>
      <c r="T359" s="23" t="s">
        <v>363</v>
      </c>
      <c r="U359" s="23" t="s">
        <v>363</v>
      </c>
      <c r="V359" s="23" t="s">
        <v>298</v>
      </c>
      <c r="W359" s="23" t="s">
        <v>1716</v>
      </c>
      <c r="Y359" s="37">
        <v>5760</v>
      </c>
      <c r="AB359" s="23" t="s">
        <v>1981</v>
      </c>
      <c r="AC359" s="23" t="s">
        <v>1982</v>
      </c>
      <c r="AD359" s="118">
        <v>0</v>
      </c>
      <c r="AE359" s="118">
        <v>1</v>
      </c>
      <c r="AF359" s="29" t="s">
        <v>2034</v>
      </c>
      <c r="AG359" s="23" t="s">
        <v>1585</v>
      </c>
      <c r="AH359" s="39">
        <v>44157</v>
      </c>
    </row>
    <row r="360" spans="1:44" ht="48">
      <c r="A360" s="62" t="s">
        <v>1977</v>
      </c>
      <c r="B360" s="23">
        <v>596883697</v>
      </c>
      <c r="C360" s="140">
        <v>44150</v>
      </c>
      <c r="D360" s="23" t="s">
        <v>729</v>
      </c>
      <c r="E360" s="23" t="s">
        <v>636</v>
      </c>
      <c r="F360" s="23" t="s">
        <v>1723</v>
      </c>
      <c r="G360" s="23" t="s">
        <v>1724</v>
      </c>
      <c r="Q360" s="140">
        <v>44158</v>
      </c>
      <c r="S360" s="23" t="s">
        <v>300</v>
      </c>
      <c r="T360" s="23" t="s">
        <v>363</v>
      </c>
      <c r="U360" s="23" t="s">
        <v>363</v>
      </c>
      <c r="V360" s="23" t="s">
        <v>298</v>
      </c>
      <c r="W360" s="23" t="s">
        <v>995</v>
      </c>
      <c r="Y360" s="37">
        <v>25900</v>
      </c>
      <c r="AB360" s="23" t="s">
        <v>1983</v>
      </c>
      <c r="AC360" s="23" t="s">
        <v>1647</v>
      </c>
      <c r="AD360" s="118">
        <v>0</v>
      </c>
      <c r="AE360" s="118">
        <v>3</v>
      </c>
      <c r="AF360" s="29" t="s">
        <v>2035</v>
      </c>
      <c r="AG360" s="23" t="s">
        <v>1845</v>
      </c>
      <c r="AH360" s="39">
        <v>44157</v>
      </c>
    </row>
    <row r="361" spans="1:44">
      <c r="A361" s="67" t="s">
        <v>1978</v>
      </c>
      <c r="B361" s="23">
        <v>205882928</v>
      </c>
      <c r="C361" s="140">
        <v>44151</v>
      </c>
      <c r="W361" s="23" t="s">
        <v>1716</v>
      </c>
      <c r="Y361" s="37">
        <v>5680</v>
      </c>
      <c r="AB361" s="23" t="s">
        <v>1984</v>
      </c>
      <c r="AC361" s="23" t="s">
        <v>1824</v>
      </c>
      <c r="AD361" s="118"/>
      <c r="AE361" s="118"/>
      <c r="AG361" s="23" t="s">
        <v>1640</v>
      </c>
      <c r="AH361" s="39">
        <v>44157</v>
      </c>
    </row>
    <row r="362" spans="1:44">
      <c r="A362" s="67" t="s">
        <v>1979</v>
      </c>
      <c r="B362" s="23">
        <v>205882934</v>
      </c>
      <c r="C362" s="140">
        <v>44151</v>
      </c>
      <c r="W362" s="23" t="s">
        <v>915</v>
      </c>
      <c r="Y362" s="37">
        <v>26486</v>
      </c>
      <c r="AB362" s="23" t="s">
        <v>1985</v>
      </c>
      <c r="AC362" s="23" t="s">
        <v>1575</v>
      </c>
      <c r="AD362" s="118"/>
      <c r="AE362" s="118"/>
      <c r="AG362" s="23" t="s">
        <v>1196</v>
      </c>
      <c r="AH362" s="39">
        <v>44157</v>
      </c>
    </row>
    <row r="363" spans="1:44" ht="48">
      <c r="A363" s="62" t="s">
        <v>1986</v>
      </c>
      <c r="B363" s="23" t="s">
        <v>2043</v>
      </c>
      <c r="C363" s="140">
        <v>44153</v>
      </c>
      <c r="D363" s="23" t="s">
        <v>729</v>
      </c>
      <c r="E363" s="23" t="s">
        <v>636</v>
      </c>
      <c r="F363" s="23" t="s">
        <v>1723</v>
      </c>
      <c r="G363" s="23" t="s">
        <v>1724</v>
      </c>
      <c r="Q363" s="140">
        <v>44163</v>
      </c>
      <c r="S363" s="23" t="s">
        <v>300</v>
      </c>
      <c r="T363" s="23" t="s">
        <v>363</v>
      </c>
      <c r="U363" s="23" t="s">
        <v>363</v>
      </c>
      <c r="V363" s="23" t="s">
        <v>298</v>
      </c>
      <c r="W363" s="23" t="s">
        <v>1139</v>
      </c>
      <c r="Y363" s="37">
        <v>26000</v>
      </c>
      <c r="AB363" s="23" t="s">
        <v>2044</v>
      </c>
      <c r="AC363" s="23" t="s">
        <v>1710</v>
      </c>
      <c r="AD363" s="118">
        <v>0</v>
      </c>
      <c r="AE363" s="118">
        <v>2</v>
      </c>
      <c r="AF363" s="29" t="s">
        <v>2097</v>
      </c>
      <c r="AG363" s="23" t="s">
        <v>2045</v>
      </c>
      <c r="AH363" s="39">
        <v>44162</v>
      </c>
    </row>
    <row r="364" spans="1:44">
      <c r="A364" s="67" t="s">
        <v>1987</v>
      </c>
      <c r="B364" s="23" t="s">
        <v>2046</v>
      </c>
      <c r="C364" s="140">
        <v>44154</v>
      </c>
      <c r="W364" s="23" t="s">
        <v>444</v>
      </c>
      <c r="Y364" s="37">
        <v>24150</v>
      </c>
      <c r="AB364" s="23" t="s">
        <v>2047</v>
      </c>
      <c r="AC364" s="23" t="s">
        <v>2048</v>
      </c>
      <c r="AD364" s="118"/>
      <c r="AE364" s="118"/>
      <c r="AG364" s="23" t="s">
        <v>1845</v>
      </c>
      <c r="AH364" s="39">
        <v>44162</v>
      </c>
    </row>
    <row r="365" spans="1:44" ht="80">
      <c r="A365" s="71" t="s">
        <v>1988</v>
      </c>
      <c r="B365" s="23" t="s">
        <v>1990</v>
      </c>
      <c r="C365" s="140">
        <v>44157</v>
      </c>
      <c r="D365" s="23" t="s">
        <v>729</v>
      </c>
      <c r="E365" s="23" t="s">
        <v>752</v>
      </c>
      <c r="F365" s="23" t="s">
        <v>6576</v>
      </c>
      <c r="G365" s="23" t="s">
        <v>2912</v>
      </c>
      <c r="H365" s="23" t="s">
        <v>1991</v>
      </c>
      <c r="I365" s="23" t="s">
        <v>1991</v>
      </c>
      <c r="J365" s="140">
        <v>44153</v>
      </c>
      <c r="P365" s="23" t="s">
        <v>1992</v>
      </c>
      <c r="Q365" s="140">
        <v>44159</v>
      </c>
      <c r="S365" s="23" t="s">
        <v>183</v>
      </c>
      <c r="T365" s="23" t="s">
        <v>304</v>
      </c>
      <c r="U365" s="23" t="s">
        <v>304</v>
      </c>
      <c r="V365" s="23" t="s">
        <v>299</v>
      </c>
      <c r="W365" s="23" t="s">
        <v>1993</v>
      </c>
      <c r="Y365" s="37">
        <v>4520</v>
      </c>
      <c r="AB365" s="23" t="s">
        <v>1994</v>
      </c>
      <c r="AC365" s="23" t="s">
        <v>123</v>
      </c>
      <c r="AD365" s="118">
        <v>0</v>
      </c>
      <c r="AE365" s="118">
        <v>1</v>
      </c>
      <c r="AF365" s="29" t="s">
        <v>2541</v>
      </c>
      <c r="AG365" s="23" t="s">
        <v>1075</v>
      </c>
      <c r="AH365" s="39">
        <v>44158</v>
      </c>
      <c r="AJ365" s="75">
        <v>44132</v>
      </c>
      <c r="AL365" s="53">
        <f>AJ365+180</f>
        <v>44312</v>
      </c>
      <c r="AN365" s="53"/>
      <c r="AO365" s="53"/>
      <c r="AP365" s="53"/>
      <c r="AQ365" s="53"/>
      <c r="AR365" s="53"/>
    </row>
    <row r="366" spans="1:44" ht="48">
      <c r="A366" s="71" t="s">
        <v>1995</v>
      </c>
      <c r="B366" s="23" t="s">
        <v>2002</v>
      </c>
      <c r="C366" s="140">
        <v>44159</v>
      </c>
      <c r="D366" s="23" t="s">
        <v>729</v>
      </c>
      <c r="E366" s="23" t="s">
        <v>636</v>
      </c>
      <c r="F366" s="23" t="s">
        <v>1723</v>
      </c>
      <c r="G366" s="23" t="s">
        <v>1724</v>
      </c>
      <c r="Q366" s="140">
        <v>44161</v>
      </c>
      <c r="S366" s="23" t="s">
        <v>300</v>
      </c>
      <c r="T366" s="23" t="s">
        <v>363</v>
      </c>
      <c r="U366" s="23" t="s">
        <v>363</v>
      </c>
      <c r="V366" s="23" t="s">
        <v>298</v>
      </c>
      <c r="W366" s="23" t="s">
        <v>1716</v>
      </c>
      <c r="Y366" s="37">
        <v>5696</v>
      </c>
      <c r="AB366" s="23" t="s">
        <v>2003</v>
      </c>
      <c r="AC366" s="23" t="s">
        <v>1779</v>
      </c>
      <c r="AD366" s="118">
        <v>0</v>
      </c>
      <c r="AE366" s="118">
        <v>1</v>
      </c>
      <c r="AF366" s="29" t="s">
        <v>2036</v>
      </c>
      <c r="AG366" s="23" t="s">
        <v>1585</v>
      </c>
      <c r="AH366" s="39">
        <v>44160</v>
      </c>
    </row>
    <row r="367" spans="1:44" ht="48">
      <c r="A367" s="71" t="s">
        <v>1996</v>
      </c>
      <c r="B367" s="23" t="s">
        <v>2004</v>
      </c>
      <c r="C367" s="140">
        <v>44154</v>
      </c>
      <c r="D367" s="23" t="s">
        <v>729</v>
      </c>
      <c r="E367" s="23" t="s">
        <v>636</v>
      </c>
      <c r="F367" s="23" t="s">
        <v>1723</v>
      </c>
      <c r="G367" s="23" t="s">
        <v>1724</v>
      </c>
      <c r="Q367" s="140">
        <v>44161</v>
      </c>
      <c r="S367" s="23" t="s">
        <v>300</v>
      </c>
      <c r="T367" s="23" t="s">
        <v>363</v>
      </c>
      <c r="U367" s="23" t="s">
        <v>363</v>
      </c>
      <c r="V367" s="23" t="s">
        <v>298</v>
      </c>
      <c r="W367" s="23" t="s">
        <v>915</v>
      </c>
      <c r="Y367" s="37">
        <v>14186</v>
      </c>
      <c r="AB367" s="23" t="s">
        <v>2005</v>
      </c>
      <c r="AC367" s="23" t="s">
        <v>2006</v>
      </c>
      <c r="AD367" s="118">
        <v>1</v>
      </c>
      <c r="AE367" s="118">
        <v>5</v>
      </c>
      <c r="AF367" s="29" t="s">
        <v>2037</v>
      </c>
      <c r="AG367" s="23" t="s">
        <v>1196</v>
      </c>
      <c r="AH367" s="39">
        <v>44160</v>
      </c>
    </row>
    <row r="368" spans="1:44">
      <c r="A368" s="67" t="s">
        <v>1997</v>
      </c>
      <c r="B368" s="23" t="s">
        <v>2007</v>
      </c>
      <c r="C368" s="140">
        <v>44154</v>
      </c>
      <c r="W368" s="23" t="s">
        <v>2008</v>
      </c>
      <c r="Y368" s="37">
        <v>6270</v>
      </c>
      <c r="AB368" s="23" t="s">
        <v>2009</v>
      </c>
      <c r="AC368" s="23" t="s">
        <v>2010</v>
      </c>
      <c r="AD368" s="118"/>
      <c r="AE368" s="118"/>
      <c r="AG368" s="23" t="s">
        <v>2011</v>
      </c>
      <c r="AH368" s="39">
        <v>44160</v>
      </c>
    </row>
    <row r="369" spans="1:34" ht="64">
      <c r="A369" s="67" t="s">
        <v>1998</v>
      </c>
      <c r="B369" s="23" t="s">
        <v>2012</v>
      </c>
      <c r="C369" s="140">
        <v>44153</v>
      </c>
      <c r="W369" s="23" t="s">
        <v>915</v>
      </c>
      <c r="Y369" s="37">
        <v>53054</v>
      </c>
      <c r="AB369" s="19" t="s">
        <v>2013</v>
      </c>
      <c r="AC369" s="23" t="s">
        <v>2014</v>
      </c>
      <c r="AD369" s="118"/>
      <c r="AE369" s="118"/>
      <c r="AG369" s="23" t="s">
        <v>1845</v>
      </c>
      <c r="AH369" s="39">
        <v>44160</v>
      </c>
    </row>
    <row r="370" spans="1:34" ht="64">
      <c r="A370" s="67" t="s">
        <v>1999</v>
      </c>
      <c r="B370" s="23" t="s">
        <v>2015</v>
      </c>
      <c r="C370" s="140">
        <v>44153</v>
      </c>
      <c r="W370" s="23" t="s">
        <v>995</v>
      </c>
      <c r="Y370" s="37">
        <v>51800</v>
      </c>
      <c r="AB370" s="19" t="s">
        <v>2016</v>
      </c>
      <c r="AC370" s="23" t="s">
        <v>2017</v>
      </c>
      <c r="AD370" s="118"/>
      <c r="AE370" s="118"/>
      <c r="AG370" s="23" t="s">
        <v>1845</v>
      </c>
      <c r="AH370" s="39">
        <v>44160</v>
      </c>
    </row>
    <row r="371" spans="1:34" ht="64">
      <c r="A371" s="62" t="s">
        <v>2000</v>
      </c>
      <c r="B371" s="23" t="s">
        <v>2018</v>
      </c>
      <c r="C371" s="140">
        <v>44153</v>
      </c>
      <c r="D371" s="23" t="s">
        <v>729</v>
      </c>
      <c r="E371" s="23" t="s">
        <v>636</v>
      </c>
      <c r="F371" s="23" t="s">
        <v>1723</v>
      </c>
      <c r="G371" s="23" t="s">
        <v>1724</v>
      </c>
      <c r="Q371" s="140">
        <v>44161</v>
      </c>
      <c r="S371" s="23" t="s">
        <v>300</v>
      </c>
      <c r="T371" s="23" t="s">
        <v>363</v>
      </c>
      <c r="U371" s="23" t="s">
        <v>363</v>
      </c>
      <c r="V371" s="23" t="s">
        <v>298</v>
      </c>
      <c r="W371" s="23" t="s">
        <v>494</v>
      </c>
      <c r="Y371" s="37">
        <v>46640</v>
      </c>
      <c r="AB371" s="19" t="s">
        <v>2019</v>
      </c>
      <c r="AC371" s="23" t="s">
        <v>2020</v>
      </c>
      <c r="AD371" s="118">
        <v>0</v>
      </c>
      <c r="AE371" s="118">
        <v>4</v>
      </c>
      <c r="AF371" s="29" t="s">
        <v>2038</v>
      </c>
      <c r="AG371" s="23" t="s">
        <v>1845</v>
      </c>
      <c r="AH371" s="39">
        <v>44160</v>
      </c>
    </row>
    <row r="372" spans="1:34" ht="64">
      <c r="A372" s="67" t="s">
        <v>2001</v>
      </c>
      <c r="B372" s="23" t="s">
        <v>2021</v>
      </c>
      <c r="C372" s="140">
        <v>44153</v>
      </c>
      <c r="W372" s="23" t="s">
        <v>915</v>
      </c>
      <c r="Y372" s="37">
        <v>52890</v>
      </c>
      <c r="AB372" s="19" t="s">
        <v>2022</v>
      </c>
      <c r="AC372" s="23" t="s">
        <v>1924</v>
      </c>
      <c r="AD372" s="118"/>
      <c r="AE372" s="118"/>
      <c r="AG372" s="23" t="s">
        <v>1845</v>
      </c>
      <c r="AH372" s="39">
        <v>44160</v>
      </c>
    </row>
    <row r="373" spans="1:34" ht="48">
      <c r="A373" s="62" t="s">
        <v>2039</v>
      </c>
      <c r="B373" s="23" t="s">
        <v>2049</v>
      </c>
      <c r="C373" s="140">
        <v>44162</v>
      </c>
      <c r="D373" s="23" t="s">
        <v>729</v>
      </c>
      <c r="E373" s="23" t="s">
        <v>636</v>
      </c>
      <c r="F373" s="23" t="s">
        <v>1723</v>
      </c>
      <c r="G373" s="23" t="s">
        <v>1724</v>
      </c>
      <c r="Q373" s="140">
        <v>44163</v>
      </c>
      <c r="S373" s="23" t="s">
        <v>300</v>
      </c>
      <c r="T373" s="23" t="s">
        <v>363</v>
      </c>
      <c r="U373" s="23" t="s">
        <v>363</v>
      </c>
      <c r="V373" s="23" t="s">
        <v>298</v>
      </c>
      <c r="W373" s="23" t="s">
        <v>1865</v>
      </c>
      <c r="Y373" s="37">
        <v>5635</v>
      </c>
      <c r="AB373" s="23" t="s">
        <v>2050</v>
      </c>
      <c r="AC373" s="23" t="s">
        <v>1867</v>
      </c>
      <c r="AD373" s="118">
        <v>0</v>
      </c>
      <c r="AE373" s="118">
        <v>1</v>
      </c>
      <c r="AF373" s="29" t="s">
        <v>2096</v>
      </c>
      <c r="AG373" s="23" t="s">
        <v>1585</v>
      </c>
      <c r="AH373" s="39">
        <v>44162</v>
      </c>
    </row>
    <row r="374" spans="1:34" ht="48">
      <c r="A374" s="62" t="s">
        <v>2040</v>
      </c>
      <c r="B374" s="23" t="s">
        <v>2051</v>
      </c>
      <c r="C374" s="140">
        <v>44153</v>
      </c>
      <c r="D374" s="23" t="s">
        <v>729</v>
      </c>
      <c r="E374" s="23" t="s">
        <v>636</v>
      </c>
      <c r="F374" s="23" t="s">
        <v>1723</v>
      </c>
      <c r="G374" s="23" t="s">
        <v>1724</v>
      </c>
      <c r="Q374" s="140">
        <v>44163</v>
      </c>
      <c r="S374" s="23" t="s">
        <v>300</v>
      </c>
      <c r="T374" s="23" t="s">
        <v>363</v>
      </c>
      <c r="U374" s="23" t="s">
        <v>363</v>
      </c>
      <c r="V374" s="23" t="s">
        <v>298</v>
      </c>
      <c r="W374" s="23" t="s">
        <v>915</v>
      </c>
      <c r="Y374" s="37">
        <v>26486</v>
      </c>
      <c r="AB374" s="23" t="s">
        <v>2052</v>
      </c>
      <c r="AC374" s="23" t="s">
        <v>1575</v>
      </c>
      <c r="AD374" s="118">
        <v>0</v>
      </c>
      <c r="AE374" s="118">
        <v>3</v>
      </c>
      <c r="AF374" s="29" t="s">
        <v>2099</v>
      </c>
      <c r="AG374" s="23" t="s">
        <v>1845</v>
      </c>
      <c r="AH374" s="39">
        <v>44162</v>
      </c>
    </row>
    <row r="375" spans="1:34">
      <c r="A375" s="67" t="s">
        <v>2041</v>
      </c>
      <c r="B375" s="23" t="s">
        <v>2053</v>
      </c>
      <c r="C375" s="140">
        <v>44153</v>
      </c>
      <c r="W375" s="23" t="s">
        <v>1139</v>
      </c>
      <c r="Y375" s="37">
        <v>26000</v>
      </c>
      <c r="AB375" s="23" t="s">
        <v>2054</v>
      </c>
      <c r="AC375" s="23" t="s">
        <v>1473</v>
      </c>
      <c r="AD375" s="118"/>
      <c r="AE375" s="118"/>
      <c r="AG375" s="23" t="s">
        <v>1845</v>
      </c>
      <c r="AH375" s="39">
        <v>44162</v>
      </c>
    </row>
    <row r="376" spans="1:34">
      <c r="A376" s="67" t="s">
        <v>2042</v>
      </c>
      <c r="B376" s="23" t="s">
        <v>2055</v>
      </c>
      <c r="C376" s="140">
        <v>44153</v>
      </c>
      <c r="W376" s="23" t="s">
        <v>1139</v>
      </c>
      <c r="Y376" s="37">
        <v>26000</v>
      </c>
      <c r="AB376" s="23" t="s">
        <v>2056</v>
      </c>
      <c r="AC376" s="23" t="s">
        <v>1473</v>
      </c>
      <c r="AD376" s="118"/>
      <c r="AE376" s="118"/>
      <c r="AG376" s="23" t="s">
        <v>1845</v>
      </c>
      <c r="AH376" s="39">
        <v>44162</v>
      </c>
    </row>
    <row r="377" spans="1:34" ht="96">
      <c r="A377" s="63" t="s">
        <v>2057</v>
      </c>
      <c r="B377" s="23" t="s">
        <v>2058</v>
      </c>
      <c r="C377" s="140">
        <v>44157</v>
      </c>
      <c r="D377" s="23" t="s">
        <v>729</v>
      </c>
      <c r="E377" s="23" t="s">
        <v>752</v>
      </c>
      <c r="F377" s="23" t="s">
        <v>57</v>
      </c>
      <c r="H377" s="23" t="s">
        <v>2059</v>
      </c>
      <c r="I377" s="23" t="s">
        <v>2059</v>
      </c>
      <c r="J377" s="140">
        <v>44152</v>
      </c>
      <c r="K377" s="23" t="s">
        <v>2060</v>
      </c>
      <c r="L377" s="140">
        <v>44158</v>
      </c>
      <c r="M377" s="26">
        <v>44162</v>
      </c>
      <c r="P377" s="23" t="s">
        <v>2061</v>
      </c>
      <c r="Q377" s="140">
        <v>44165</v>
      </c>
      <c r="S377" s="23" t="s">
        <v>183</v>
      </c>
      <c r="T377" s="23" t="s">
        <v>305</v>
      </c>
      <c r="U377" s="23" t="s">
        <v>305</v>
      </c>
      <c r="V377" s="23" t="s">
        <v>233</v>
      </c>
      <c r="W377" s="23" t="s">
        <v>351</v>
      </c>
      <c r="X377" s="23">
        <v>40978.699999999997</v>
      </c>
      <c r="Y377" s="37">
        <v>41300</v>
      </c>
      <c r="Z377" s="23">
        <v>36378.97</v>
      </c>
      <c r="AA377" s="23">
        <v>34584.97</v>
      </c>
      <c r="AB377" s="23" t="s">
        <v>2334</v>
      </c>
      <c r="AC377" s="23" t="s">
        <v>2062</v>
      </c>
      <c r="AD377" s="118">
        <v>0</v>
      </c>
      <c r="AE377" s="118">
        <v>3</v>
      </c>
      <c r="AF377" s="29" t="s">
        <v>2667</v>
      </c>
      <c r="AG377" s="23" t="s">
        <v>792</v>
      </c>
      <c r="AH377" s="39">
        <v>44162</v>
      </c>
    </row>
    <row r="378" spans="1:34" ht="48">
      <c r="A378" s="62" t="s">
        <v>2063</v>
      </c>
      <c r="B378" s="23" t="s">
        <v>2064</v>
      </c>
      <c r="C378" s="140">
        <v>44147</v>
      </c>
      <c r="D378" s="23" t="s">
        <v>729</v>
      </c>
      <c r="E378" s="23" t="s">
        <v>752</v>
      </c>
      <c r="F378" s="23" t="s">
        <v>2166</v>
      </c>
      <c r="G378" s="23" t="s">
        <v>2197</v>
      </c>
      <c r="P378" s="23" t="s">
        <v>2116</v>
      </c>
      <c r="Q378" s="140">
        <v>44169</v>
      </c>
      <c r="S378" s="23" t="s">
        <v>300</v>
      </c>
      <c r="T378" s="23" t="s">
        <v>305</v>
      </c>
      <c r="U378" s="23" t="s">
        <v>305</v>
      </c>
      <c r="V378" s="23" t="s">
        <v>298</v>
      </c>
      <c r="W378" s="23" t="s">
        <v>406</v>
      </c>
      <c r="Y378" s="37">
        <v>2654</v>
      </c>
      <c r="AB378" s="23" t="s">
        <v>2065</v>
      </c>
      <c r="AC378" s="23" t="s">
        <v>2066</v>
      </c>
      <c r="AD378" s="118">
        <v>0</v>
      </c>
      <c r="AE378" s="118">
        <v>1</v>
      </c>
      <c r="AF378" s="29" t="s">
        <v>2214</v>
      </c>
      <c r="AG378" s="23" t="s">
        <v>659</v>
      </c>
      <c r="AH378" s="39">
        <v>44163</v>
      </c>
    </row>
    <row r="379" spans="1:34" ht="48">
      <c r="A379" s="62" t="s">
        <v>2067</v>
      </c>
      <c r="B379" s="23" t="s">
        <v>2068</v>
      </c>
      <c r="C379" s="140">
        <v>44163</v>
      </c>
      <c r="D379" s="23" t="s">
        <v>729</v>
      </c>
      <c r="E379" s="23" t="s">
        <v>636</v>
      </c>
      <c r="F379" s="23" t="s">
        <v>1723</v>
      </c>
      <c r="G379" s="23" t="s">
        <v>1724</v>
      </c>
      <c r="H379" s="23" t="s">
        <v>1724</v>
      </c>
      <c r="Q379" s="140">
        <v>44166</v>
      </c>
      <c r="S379" s="23" t="s">
        <v>300</v>
      </c>
      <c r="T379" s="23" t="s">
        <v>363</v>
      </c>
      <c r="U379" s="23" t="s">
        <v>363</v>
      </c>
      <c r="V379" s="23" t="s">
        <v>298</v>
      </c>
      <c r="W379" s="23" t="s">
        <v>1716</v>
      </c>
      <c r="Y379" s="37">
        <v>5664</v>
      </c>
      <c r="AB379" s="23" t="s">
        <v>2069</v>
      </c>
      <c r="AC379" s="23" t="s">
        <v>1718</v>
      </c>
      <c r="AD379" s="118">
        <v>0</v>
      </c>
      <c r="AE379" s="118">
        <v>1</v>
      </c>
      <c r="AF379" s="29" t="s">
        <v>2098</v>
      </c>
      <c r="AG379" s="23" t="s">
        <v>1585</v>
      </c>
      <c r="AH379" s="39">
        <v>44165</v>
      </c>
    </row>
    <row r="380" spans="1:34" ht="48">
      <c r="A380" s="62" t="s">
        <v>2070</v>
      </c>
      <c r="B380" s="23" t="s">
        <v>2079</v>
      </c>
      <c r="C380" s="140">
        <v>44165</v>
      </c>
      <c r="D380" s="23" t="s">
        <v>729</v>
      </c>
      <c r="E380" s="23" t="s">
        <v>636</v>
      </c>
      <c r="F380" s="23" t="s">
        <v>1723</v>
      </c>
      <c r="G380" s="23" t="s">
        <v>1724</v>
      </c>
      <c r="Q380" s="140">
        <v>44168</v>
      </c>
      <c r="S380" s="23" t="s">
        <v>300</v>
      </c>
      <c r="T380" s="23" t="s">
        <v>363</v>
      </c>
      <c r="U380" s="23" t="s">
        <v>363</v>
      </c>
      <c r="V380" s="23" t="s">
        <v>298</v>
      </c>
      <c r="W380" s="23" t="s">
        <v>2080</v>
      </c>
      <c r="Y380" s="37">
        <v>15040</v>
      </c>
      <c r="AB380" s="23" t="s">
        <v>2081</v>
      </c>
      <c r="AC380" s="23" t="s">
        <v>2082</v>
      </c>
      <c r="AD380" s="118">
        <v>0</v>
      </c>
      <c r="AE380" s="118">
        <v>1</v>
      </c>
      <c r="AF380" s="29" t="s">
        <v>2215</v>
      </c>
      <c r="AG380" s="23" t="s">
        <v>1585</v>
      </c>
      <c r="AH380" s="39">
        <v>44166</v>
      </c>
    </row>
    <row r="381" spans="1:34" ht="48">
      <c r="A381" s="62" t="s">
        <v>2071</v>
      </c>
      <c r="B381" s="23" t="s">
        <v>2077</v>
      </c>
      <c r="C381" s="140">
        <v>44163</v>
      </c>
      <c r="D381" s="23" t="s">
        <v>729</v>
      </c>
      <c r="E381" s="23" t="s">
        <v>636</v>
      </c>
      <c r="F381" s="23" t="s">
        <v>1723</v>
      </c>
      <c r="G381" s="23" t="s">
        <v>1724</v>
      </c>
      <c r="Q381" s="140">
        <v>44168</v>
      </c>
      <c r="S381" s="23" t="s">
        <v>300</v>
      </c>
      <c r="T381" s="23" t="s">
        <v>363</v>
      </c>
      <c r="U381" s="23" t="s">
        <v>363</v>
      </c>
      <c r="V381" s="23" t="s">
        <v>298</v>
      </c>
      <c r="W381" s="23" t="s">
        <v>915</v>
      </c>
      <c r="Y381" s="37">
        <v>26486</v>
      </c>
      <c r="AB381" s="23" t="s">
        <v>2078</v>
      </c>
      <c r="AC381" s="23" t="s">
        <v>1575</v>
      </c>
      <c r="AD381" s="118">
        <v>1</v>
      </c>
      <c r="AE381" s="118">
        <v>2</v>
      </c>
      <c r="AF381" s="29" t="s">
        <v>2216</v>
      </c>
      <c r="AG381" s="23" t="s">
        <v>1845</v>
      </c>
      <c r="AH381" s="39">
        <v>44166</v>
      </c>
    </row>
    <row r="382" spans="1:34">
      <c r="A382" s="67" t="s">
        <v>2072</v>
      </c>
      <c r="B382" s="23">
        <v>206242334</v>
      </c>
      <c r="C382" s="140">
        <v>44162</v>
      </c>
      <c r="W382" s="23" t="s">
        <v>2083</v>
      </c>
      <c r="Y382" s="37">
        <v>8176</v>
      </c>
      <c r="AB382" s="23" t="s">
        <v>2084</v>
      </c>
      <c r="AC382" s="23" t="s">
        <v>2085</v>
      </c>
      <c r="AD382" s="118"/>
      <c r="AE382" s="118"/>
      <c r="AG382" s="23" t="s">
        <v>2086</v>
      </c>
      <c r="AH382" s="39">
        <v>44166</v>
      </c>
    </row>
    <row r="383" spans="1:34">
      <c r="A383" s="67" t="s">
        <v>2073</v>
      </c>
      <c r="B383" s="23" t="s">
        <v>2087</v>
      </c>
      <c r="C383" s="140">
        <v>44163</v>
      </c>
      <c r="W383" s="23" t="s">
        <v>995</v>
      </c>
      <c r="Y383" s="37">
        <v>16625</v>
      </c>
      <c r="AB383" s="23" t="s">
        <v>2088</v>
      </c>
      <c r="AC383" s="23" t="s">
        <v>2089</v>
      </c>
      <c r="AD383" s="118"/>
      <c r="AE383" s="118"/>
      <c r="AG383" s="23" t="s">
        <v>1845</v>
      </c>
      <c r="AH383" s="39">
        <v>44166</v>
      </c>
    </row>
    <row r="384" spans="1:34" ht="48">
      <c r="A384" s="62" t="s">
        <v>2074</v>
      </c>
      <c r="B384" s="23">
        <v>206450262</v>
      </c>
      <c r="C384" s="140">
        <v>44162</v>
      </c>
      <c r="D384" s="23" t="s">
        <v>729</v>
      </c>
      <c r="E384" s="23" t="s">
        <v>636</v>
      </c>
      <c r="F384" s="23" t="s">
        <v>1723</v>
      </c>
      <c r="G384" s="23" t="s">
        <v>1724</v>
      </c>
      <c r="Q384" s="140">
        <v>44168</v>
      </c>
      <c r="S384" s="23" t="s">
        <v>300</v>
      </c>
      <c r="T384" s="23" t="s">
        <v>363</v>
      </c>
      <c r="U384" s="23" t="s">
        <v>363</v>
      </c>
      <c r="V384" s="23" t="s">
        <v>298</v>
      </c>
      <c r="W384" s="23" t="s">
        <v>995</v>
      </c>
      <c r="Y384" s="37">
        <v>25900</v>
      </c>
      <c r="AB384" s="23" t="s">
        <v>2090</v>
      </c>
      <c r="AC384" s="23" t="s">
        <v>1647</v>
      </c>
      <c r="AD384" s="118">
        <v>1</v>
      </c>
      <c r="AE384" s="118">
        <v>2</v>
      </c>
      <c r="AF384" s="29" t="s">
        <v>2217</v>
      </c>
      <c r="AG384" s="23" t="s">
        <v>1845</v>
      </c>
      <c r="AH384" s="39">
        <v>44166</v>
      </c>
    </row>
    <row r="385" spans="1:44">
      <c r="A385" s="67" t="s">
        <v>2075</v>
      </c>
      <c r="B385" s="23" t="s">
        <v>2091</v>
      </c>
      <c r="C385" s="140">
        <v>44163</v>
      </c>
      <c r="W385" s="23" t="s">
        <v>1139</v>
      </c>
      <c r="Y385" s="37">
        <v>26000</v>
      </c>
      <c r="AB385" s="23" t="s">
        <v>2092</v>
      </c>
      <c r="AC385" s="23" t="s">
        <v>1473</v>
      </c>
      <c r="AD385" s="118"/>
      <c r="AE385" s="118"/>
      <c r="AG385" s="23" t="s">
        <v>2045</v>
      </c>
      <c r="AH385" s="39">
        <v>44166</v>
      </c>
    </row>
    <row r="386" spans="1:44">
      <c r="A386" s="67" t="s">
        <v>2076</v>
      </c>
      <c r="B386" s="23" t="s">
        <v>2093</v>
      </c>
      <c r="C386" s="140">
        <v>44163</v>
      </c>
      <c r="W386" s="23" t="s">
        <v>915</v>
      </c>
      <c r="Y386" s="37">
        <v>18040</v>
      </c>
      <c r="AB386" s="23" t="s">
        <v>2094</v>
      </c>
      <c r="AC386" s="23" t="s">
        <v>2095</v>
      </c>
      <c r="AD386" s="118"/>
      <c r="AE386" s="118"/>
      <c r="AG386" s="23" t="s">
        <v>1196</v>
      </c>
      <c r="AH386" s="39">
        <v>44166</v>
      </c>
    </row>
    <row r="387" spans="1:44" ht="48">
      <c r="A387" s="62" t="s">
        <v>2100</v>
      </c>
      <c r="B387" s="23" t="s">
        <v>2102</v>
      </c>
      <c r="C387" s="140">
        <v>44166</v>
      </c>
      <c r="D387" s="23" t="s">
        <v>729</v>
      </c>
      <c r="E387" s="23" t="s">
        <v>636</v>
      </c>
      <c r="F387" s="23" t="s">
        <v>1723</v>
      </c>
      <c r="G387" s="23" t="s">
        <v>1724</v>
      </c>
      <c r="Q387" s="140">
        <v>44168</v>
      </c>
      <c r="S387" s="23" t="s">
        <v>300</v>
      </c>
      <c r="T387" s="23" t="s">
        <v>363</v>
      </c>
      <c r="U387" s="23" t="s">
        <v>363</v>
      </c>
      <c r="V387" s="23" t="s">
        <v>298</v>
      </c>
      <c r="W387" s="23" t="s">
        <v>2103</v>
      </c>
      <c r="Y387" s="37">
        <v>13200</v>
      </c>
      <c r="AB387" s="23" t="s">
        <v>2104</v>
      </c>
      <c r="AC387" s="23" t="s">
        <v>2105</v>
      </c>
      <c r="AD387" s="118">
        <v>0</v>
      </c>
      <c r="AE387" s="118">
        <v>2</v>
      </c>
      <c r="AF387" s="29" t="s">
        <v>2218</v>
      </c>
      <c r="AG387" s="23" t="s">
        <v>1585</v>
      </c>
      <c r="AH387" s="39">
        <v>44167</v>
      </c>
    </row>
    <row r="388" spans="1:44">
      <c r="A388" s="67" t="s">
        <v>2101</v>
      </c>
      <c r="B388" s="23" t="s">
        <v>2106</v>
      </c>
      <c r="C388" s="140">
        <v>44156</v>
      </c>
      <c r="W388" s="23" t="s">
        <v>444</v>
      </c>
      <c r="Y388" s="37">
        <v>26250</v>
      </c>
      <c r="AB388" s="23" t="s">
        <v>2107</v>
      </c>
      <c r="AC388" s="23" t="s">
        <v>2108</v>
      </c>
      <c r="AD388" s="118"/>
      <c r="AE388" s="118"/>
      <c r="AG388" s="23" t="s">
        <v>637</v>
      </c>
      <c r="AH388" s="39">
        <v>44167</v>
      </c>
    </row>
    <row r="389" spans="1:44" ht="112">
      <c r="A389" s="107" t="s">
        <v>2109</v>
      </c>
      <c r="B389" s="23" t="s">
        <v>2110</v>
      </c>
      <c r="C389" s="140">
        <v>44152</v>
      </c>
      <c r="D389" s="23" t="s">
        <v>729</v>
      </c>
      <c r="E389" s="23" t="s">
        <v>752</v>
      </c>
      <c r="F389" s="23" t="s">
        <v>2111</v>
      </c>
      <c r="G389" s="23" t="s">
        <v>1989</v>
      </c>
      <c r="H389" s="23" t="s">
        <v>2126</v>
      </c>
      <c r="I389" s="23" t="s">
        <v>2126</v>
      </c>
      <c r="J389" s="140">
        <v>44143</v>
      </c>
      <c r="S389" s="23" t="s">
        <v>300</v>
      </c>
      <c r="T389" s="23" t="s">
        <v>12031</v>
      </c>
      <c r="U389" s="23" t="s">
        <v>12031</v>
      </c>
      <c r="V389" s="23" t="s">
        <v>299</v>
      </c>
      <c r="W389" s="23" t="s">
        <v>2112</v>
      </c>
      <c r="Y389" s="37">
        <v>14360</v>
      </c>
      <c r="AB389" s="19" t="s">
        <v>2113</v>
      </c>
      <c r="AC389" s="23" t="s">
        <v>2114</v>
      </c>
      <c r="AD389" s="118">
        <v>0</v>
      </c>
      <c r="AE389" s="118">
        <v>4</v>
      </c>
      <c r="AF389" s="29" t="s">
        <v>2809</v>
      </c>
      <c r="AG389" s="23" t="s">
        <v>2115</v>
      </c>
      <c r="AH389" s="39">
        <v>44168</v>
      </c>
      <c r="AJ389" s="75">
        <v>44173</v>
      </c>
      <c r="AL389" s="53">
        <f>AJ389+180</f>
        <v>44353</v>
      </c>
      <c r="AN389" s="53"/>
      <c r="AO389" s="53"/>
      <c r="AP389" s="53"/>
      <c r="AQ389" s="53"/>
      <c r="AR389" s="53"/>
    </row>
    <row r="390" spans="1:44" ht="96">
      <c r="A390" s="62" t="s">
        <v>2117</v>
      </c>
      <c r="B390" s="23" t="s">
        <v>2118</v>
      </c>
      <c r="C390" s="140">
        <v>44121</v>
      </c>
      <c r="D390" s="23" t="s">
        <v>729</v>
      </c>
      <c r="E390" s="23" t="s">
        <v>752</v>
      </c>
      <c r="F390" s="19" t="s">
        <v>2119</v>
      </c>
      <c r="G390" s="23" t="s">
        <v>2128</v>
      </c>
      <c r="P390" s="23" t="s">
        <v>2120</v>
      </c>
      <c r="Q390" s="140">
        <v>44167</v>
      </c>
      <c r="S390" s="23" t="s">
        <v>2121</v>
      </c>
      <c r="T390" s="23" t="s">
        <v>12031</v>
      </c>
      <c r="U390" s="23" t="s">
        <v>12031</v>
      </c>
      <c r="V390" s="23" t="s">
        <v>298</v>
      </c>
      <c r="W390" s="19" t="s">
        <v>2122</v>
      </c>
      <c r="Y390" s="37">
        <v>6000</v>
      </c>
      <c r="AB390" s="23" t="s">
        <v>2123</v>
      </c>
      <c r="AC390" s="23" t="s">
        <v>2124</v>
      </c>
      <c r="AD390" s="118">
        <v>0</v>
      </c>
      <c r="AE390" s="118">
        <v>1</v>
      </c>
      <c r="AF390" s="29" t="s">
        <v>2783</v>
      </c>
      <c r="AG390" s="23" t="s">
        <v>2125</v>
      </c>
      <c r="AH390" s="39">
        <v>44168</v>
      </c>
    </row>
    <row r="391" spans="1:44" ht="112">
      <c r="A391" s="70" t="s">
        <v>2129</v>
      </c>
      <c r="B391" s="23" t="s">
        <v>2130</v>
      </c>
      <c r="C391" s="140">
        <v>44168</v>
      </c>
      <c r="D391" s="23" t="s">
        <v>729</v>
      </c>
      <c r="E391" s="23" t="s">
        <v>752</v>
      </c>
      <c r="F391" s="23" t="s">
        <v>57</v>
      </c>
      <c r="G391" s="23" t="s">
        <v>2131</v>
      </c>
      <c r="H391" s="23" t="s">
        <v>2132</v>
      </c>
      <c r="I391" s="23" t="s">
        <v>2132</v>
      </c>
      <c r="J391" s="140">
        <v>44166</v>
      </c>
      <c r="K391" s="23" t="s">
        <v>3321</v>
      </c>
      <c r="L391" s="140">
        <v>44208</v>
      </c>
      <c r="P391" s="23" t="s">
        <v>2133</v>
      </c>
      <c r="Q391" s="140">
        <v>44170</v>
      </c>
      <c r="S391" s="23" t="s">
        <v>184</v>
      </c>
      <c r="T391" s="23" t="s">
        <v>302</v>
      </c>
      <c r="U391" s="23" t="s">
        <v>302</v>
      </c>
      <c r="V391" s="23" t="s">
        <v>233</v>
      </c>
      <c r="W391" s="19" t="s">
        <v>284</v>
      </c>
      <c r="X391" s="37">
        <v>8717</v>
      </c>
      <c r="Y391" s="37">
        <v>9017</v>
      </c>
      <c r="Z391" s="23">
        <v>12756.98</v>
      </c>
      <c r="AA391" s="23">
        <v>11722.37</v>
      </c>
      <c r="AB391" s="23" t="s">
        <v>1685</v>
      </c>
      <c r="AC391" s="23" t="s">
        <v>286</v>
      </c>
      <c r="AD391" s="118">
        <v>0</v>
      </c>
      <c r="AE391" s="118">
        <v>1</v>
      </c>
      <c r="AF391" s="29" t="s">
        <v>2303</v>
      </c>
      <c r="AG391" s="23" t="s">
        <v>787</v>
      </c>
      <c r="AH391" s="39">
        <v>44169</v>
      </c>
      <c r="AJ391" s="75" t="s">
        <v>5368</v>
      </c>
      <c r="AL391" s="23" t="s">
        <v>5369</v>
      </c>
      <c r="AM391" s="102">
        <v>44173</v>
      </c>
    </row>
    <row r="392" spans="1:44" ht="48">
      <c r="A392" s="62" t="s">
        <v>2134</v>
      </c>
      <c r="B392" s="23" t="s">
        <v>2141</v>
      </c>
      <c r="C392" s="140">
        <v>44167</v>
      </c>
      <c r="D392" s="23" t="s">
        <v>729</v>
      </c>
      <c r="E392" s="23" t="s">
        <v>636</v>
      </c>
      <c r="F392" s="23" t="s">
        <v>1723</v>
      </c>
      <c r="G392" s="23" t="s">
        <v>1724</v>
      </c>
      <c r="Q392" s="140">
        <v>44169</v>
      </c>
      <c r="S392" s="23" t="s">
        <v>300</v>
      </c>
      <c r="T392" s="23" t="s">
        <v>363</v>
      </c>
      <c r="U392" s="23" t="s">
        <v>363</v>
      </c>
      <c r="V392" s="23" t="s">
        <v>298</v>
      </c>
      <c r="W392" s="23" t="s">
        <v>682</v>
      </c>
      <c r="Y392" s="37">
        <v>5750</v>
      </c>
      <c r="AB392" s="23" t="s">
        <v>2142</v>
      </c>
      <c r="AC392" s="23" t="s">
        <v>1013</v>
      </c>
      <c r="AD392" s="118">
        <v>0</v>
      </c>
      <c r="AE392" s="118">
        <v>3</v>
      </c>
      <c r="AF392" s="29" t="s">
        <v>2219</v>
      </c>
      <c r="AG392" s="23" t="s">
        <v>637</v>
      </c>
      <c r="AH392" s="39">
        <v>44168</v>
      </c>
    </row>
    <row r="393" spans="1:44">
      <c r="A393" s="67" t="s">
        <v>2135</v>
      </c>
      <c r="B393" s="23" t="s">
        <v>2143</v>
      </c>
      <c r="C393" s="140">
        <v>44167</v>
      </c>
      <c r="F393" s="23" t="s">
        <v>1723</v>
      </c>
      <c r="G393" s="23" t="s">
        <v>1724</v>
      </c>
      <c r="W393" s="23" t="s">
        <v>1716</v>
      </c>
      <c r="Y393" s="37">
        <v>4720</v>
      </c>
      <c r="AB393" s="23" t="s">
        <v>2144</v>
      </c>
      <c r="AC393" s="23" t="s">
        <v>2145</v>
      </c>
      <c r="AD393" s="118"/>
      <c r="AE393" s="118"/>
      <c r="AG393" s="23" t="s">
        <v>637</v>
      </c>
      <c r="AH393" s="39">
        <v>44168</v>
      </c>
    </row>
    <row r="394" spans="1:44">
      <c r="A394" s="67" t="s">
        <v>2136</v>
      </c>
      <c r="B394" s="23" t="s">
        <v>2146</v>
      </c>
      <c r="C394" s="140">
        <v>44169</v>
      </c>
      <c r="F394" s="23" t="s">
        <v>1723</v>
      </c>
      <c r="G394" s="23" t="s">
        <v>1724</v>
      </c>
      <c r="W394" s="23" t="s">
        <v>2147</v>
      </c>
      <c r="Y394" s="37">
        <v>6800</v>
      </c>
      <c r="AB394" s="23" t="s">
        <v>2148</v>
      </c>
      <c r="AC394" s="23" t="s">
        <v>2149</v>
      </c>
      <c r="AD394" s="118"/>
      <c r="AE394" s="118"/>
      <c r="AG394" s="23" t="s">
        <v>1585</v>
      </c>
      <c r="AH394" s="39">
        <v>44168</v>
      </c>
    </row>
    <row r="395" spans="1:44" ht="64">
      <c r="A395" s="62" t="s">
        <v>2137</v>
      </c>
      <c r="B395" s="23">
        <v>206609651</v>
      </c>
      <c r="C395" s="140">
        <v>44165</v>
      </c>
      <c r="D395" s="23" t="s">
        <v>729</v>
      </c>
      <c r="E395" s="23" t="s">
        <v>636</v>
      </c>
      <c r="F395" s="23" t="s">
        <v>1723</v>
      </c>
      <c r="G395" s="23" t="s">
        <v>1724</v>
      </c>
      <c r="Q395" s="140">
        <v>44171</v>
      </c>
      <c r="S395" s="23" t="s">
        <v>300</v>
      </c>
      <c r="T395" s="23" t="s">
        <v>363</v>
      </c>
      <c r="U395" s="23" t="s">
        <v>363</v>
      </c>
      <c r="V395" s="23" t="s">
        <v>298</v>
      </c>
      <c r="W395" s="23" t="s">
        <v>444</v>
      </c>
      <c r="Y395" s="37">
        <v>30240</v>
      </c>
      <c r="AB395" s="19" t="s">
        <v>2150</v>
      </c>
      <c r="AC395" s="23" t="s">
        <v>2151</v>
      </c>
      <c r="AD395" s="118">
        <v>0</v>
      </c>
      <c r="AE395" s="118">
        <v>3</v>
      </c>
      <c r="AF395" s="29" t="s">
        <v>2220</v>
      </c>
      <c r="AG395" s="23" t="s">
        <v>1845</v>
      </c>
      <c r="AH395" s="39">
        <v>44168</v>
      </c>
    </row>
    <row r="396" spans="1:44">
      <c r="A396" s="67" t="s">
        <v>2138</v>
      </c>
      <c r="B396" s="23" t="s">
        <v>2152</v>
      </c>
      <c r="C396" s="140">
        <v>44165</v>
      </c>
      <c r="W396" s="23" t="s">
        <v>2008</v>
      </c>
      <c r="Y396" s="37">
        <v>3864</v>
      </c>
      <c r="AB396" s="23" t="s">
        <v>2153</v>
      </c>
      <c r="AC396" s="23" t="s">
        <v>2154</v>
      </c>
      <c r="AD396" s="118"/>
      <c r="AE396" s="118"/>
      <c r="AG396" s="23" t="s">
        <v>1921</v>
      </c>
      <c r="AH396" s="39">
        <v>44168</v>
      </c>
    </row>
    <row r="397" spans="1:44" ht="64">
      <c r="A397" s="62" t="s">
        <v>2139</v>
      </c>
      <c r="B397" s="23" t="s">
        <v>2155</v>
      </c>
      <c r="C397" s="140">
        <v>44166</v>
      </c>
      <c r="D397" s="23" t="s">
        <v>729</v>
      </c>
      <c r="E397" s="23" t="s">
        <v>636</v>
      </c>
      <c r="F397" s="23" t="s">
        <v>1723</v>
      </c>
      <c r="G397" s="23" t="s">
        <v>1724</v>
      </c>
      <c r="Q397" s="140">
        <v>44171</v>
      </c>
      <c r="S397" s="23" t="s">
        <v>300</v>
      </c>
      <c r="T397" s="23" t="s">
        <v>363</v>
      </c>
      <c r="U397" s="23" t="s">
        <v>363</v>
      </c>
      <c r="V397" s="23" t="s">
        <v>298</v>
      </c>
      <c r="W397" s="23" t="s">
        <v>1822</v>
      </c>
      <c r="Y397" s="37">
        <v>4160</v>
      </c>
      <c r="AB397" s="23" t="s">
        <v>2156</v>
      </c>
      <c r="AC397" s="23" t="s">
        <v>2157</v>
      </c>
      <c r="AD397" s="118">
        <v>0</v>
      </c>
      <c r="AE397" s="118">
        <v>2</v>
      </c>
      <c r="AF397" s="29" t="s">
        <v>2220</v>
      </c>
      <c r="AG397" s="23" t="s">
        <v>1640</v>
      </c>
      <c r="AH397" s="39">
        <v>44168</v>
      </c>
    </row>
    <row r="398" spans="1:44">
      <c r="A398" s="67" t="s">
        <v>2140</v>
      </c>
      <c r="B398" s="23" t="s">
        <v>2158</v>
      </c>
      <c r="C398" s="140">
        <v>44165</v>
      </c>
      <c r="W398" s="23" t="s">
        <v>2159</v>
      </c>
      <c r="Y398" s="37">
        <v>2418</v>
      </c>
      <c r="AB398" s="23" t="s">
        <v>2160</v>
      </c>
      <c r="AC398" s="23" t="s">
        <v>2161</v>
      </c>
      <c r="AD398" s="118"/>
      <c r="AE398" s="118"/>
      <c r="AG398" s="23" t="s">
        <v>1581</v>
      </c>
      <c r="AH398" s="39">
        <v>44168</v>
      </c>
    </row>
    <row r="399" spans="1:44" ht="48">
      <c r="A399" s="62" t="s">
        <v>2162</v>
      </c>
      <c r="B399" s="23" t="s">
        <v>2163</v>
      </c>
      <c r="C399" s="140">
        <v>44168</v>
      </c>
      <c r="D399" s="23" t="s">
        <v>729</v>
      </c>
      <c r="E399" s="23" t="s">
        <v>636</v>
      </c>
      <c r="F399" s="23" t="s">
        <v>1723</v>
      </c>
      <c r="G399" s="23" t="s">
        <v>1724</v>
      </c>
      <c r="Q399" s="140">
        <v>44170</v>
      </c>
      <c r="S399" s="23" t="s">
        <v>300</v>
      </c>
      <c r="T399" s="23" t="s">
        <v>363</v>
      </c>
      <c r="U399" s="23" t="s">
        <v>363</v>
      </c>
      <c r="V399" s="23" t="s">
        <v>298</v>
      </c>
      <c r="W399" s="23" t="s">
        <v>1716</v>
      </c>
      <c r="Y399" s="37">
        <v>5664</v>
      </c>
      <c r="AB399" s="23" t="s">
        <v>2164</v>
      </c>
      <c r="AC399" s="23" t="s">
        <v>1718</v>
      </c>
      <c r="AD399" s="118">
        <v>0</v>
      </c>
      <c r="AE399" s="118">
        <v>1</v>
      </c>
      <c r="AF399" s="29" t="s">
        <v>2221</v>
      </c>
      <c r="AG399" s="23" t="s">
        <v>1585</v>
      </c>
      <c r="AH399" s="39">
        <v>44172</v>
      </c>
    </row>
    <row r="400" spans="1:44" ht="48">
      <c r="A400" s="62" t="s">
        <v>2167</v>
      </c>
      <c r="B400" s="23" t="s">
        <v>2172</v>
      </c>
      <c r="C400" s="140">
        <v>44171</v>
      </c>
      <c r="D400" s="23" t="s">
        <v>729</v>
      </c>
      <c r="E400" s="23" t="s">
        <v>636</v>
      </c>
      <c r="F400" s="23" t="s">
        <v>1723</v>
      </c>
      <c r="G400" s="23" t="s">
        <v>1724</v>
      </c>
      <c r="Q400" s="140">
        <v>44173</v>
      </c>
      <c r="S400" s="23" t="s">
        <v>300</v>
      </c>
      <c r="T400" s="23" t="s">
        <v>363</v>
      </c>
      <c r="U400" s="23" t="s">
        <v>363</v>
      </c>
      <c r="V400" s="23" t="s">
        <v>298</v>
      </c>
      <c r="W400" s="23" t="s">
        <v>1716</v>
      </c>
      <c r="Y400" s="37">
        <v>5680</v>
      </c>
      <c r="AB400" s="23" t="s">
        <v>2173</v>
      </c>
      <c r="AC400" s="23" t="s">
        <v>1824</v>
      </c>
      <c r="AD400" s="118">
        <v>0</v>
      </c>
      <c r="AE400" s="118">
        <v>1</v>
      </c>
      <c r="AF400" s="29" t="s">
        <v>2224</v>
      </c>
      <c r="AG400" s="23" t="s">
        <v>1585</v>
      </c>
      <c r="AH400" s="39">
        <v>44172</v>
      </c>
    </row>
    <row r="401" spans="1:34" ht="64">
      <c r="A401" s="62" t="s">
        <v>2168</v>
      </c>
      <c r="B401" s="23">
        <v>206609651</v>
      </c>
      <c r="C401" s="140">
        <v>44165</v>
      </c>
      <c r="D401" s="23" t="s">
        <v>729</v>
      </c>
      <c r="E401" s="23" t="s">
        <v>636</v>
      </c>
      <c r="F401" s="23" t="s">
        <v>1723</v>
      </c>
      <c r="G401" s="23" t="s">
        <v>1724</v>
      </c>
      <c r="Q401" s="140">
        <v>44173</v>
      </c>
      <c r="S401" s="23" t="s">
        <v>300</v>
      </c>
      <c r="T401" s="23" t="s">
        <v>363</v>
      </c>
      <c r="U401" s="23" t="s">
        <v>363</v>
      </c>
      <c r="V401" s="23" t="s">
        <v>298</v>
      </c>
      <c r="W401" s="23" t="s">
        <v>908</v>
      </c>
      <c r="Y401" s="37">
        <v>52000</v>
      </c>
      <c r="AB401" s="19" t="s">
        <v>2150</v>
      </c>
      <c r="AC401" s="23" t="s">
        <v>1856</v>
      </c>
      <c r="AD401" s="118">
        <v>0</v>
      </c>
      <c r="AE401" s="118">
        <v>3</v>
      </c>
      <c r="AF401" s="29" t="s">
        <v>2223</v>
      </c>
      <c r="AG401" s="23" t="s">
        <v>1845</v>
      </c>
      <c r="AH401" s="39">
        <v>44172</v>
      </c>
    </row>
    <row r="402" spans="1:34">
      <c r="A402" s="67" t="s">
        <v>2169</v>
      </c>
      <c r="B402" s="23" t="s">
        <v>2152</v>
      </c>
      <c r="C402" s="140">
        <v>44165</v>
      </c>
      <c r="W402" s="23" t="s">
        <v>995</v>
      </c>
      <c r="Y402" s="37">
        <v>25900</v>
      </c>
      <c r="AB402" s="23" t="s">
        <v>2153</v>
      </c>
      <c r="AC402" s="23" t="s">
        <v>1647</v>
      </c>
      <c r="AD402" s="118"/>
      <c r="AE402" s="118"/>
      <c r="AG402" s="23" t="s">
        <v>1921</v>
      </c>
      <c r="AH402" s="39">
        <v>44172</v>
      </c>
    </row>
    <row r="403" spans="1:34" ht="48">
      <c r="A403" s="62" t="s">
        <v>2170</v>
      </c>
      <c r="B403" s="23" t="s">
        <v>2155</v>
      </c>
      <c r="C403" s="140">
        <v>44166</v>
      </c>
      <c r="D403" s="23" t="s">
        <v>729</v>
      </c>
      <c r="E403" s="23" t="s">
        <v>636</v>
      </c>
      <c r="F403" s="23" t="s">
        <v>1723</v>
      </c>
      <c r="G403" s="23" t="s">
        <v>1724</v>
      </c>
      <c r="Q403" s="140">
        <v>44173</v>
      </c>
      <c r="S403" s="23" t="s">
        <v>300</v>
      </c>
      <c r="T403" s="23" t="s">
        <v>363</v>
      </c>
      <c r="U403" s="23" t="s">
        <v>363</v>
      </c>
      <c r="V403" s="23" t="s">
        <v>298</v>
      </c>
      <c r="W403" s="23" t="s">
        <v>1822</v>
      </c>
      <c r="Y403" s="37">
        <v>5680</v>
      </c>
      <c r="AB403" s="23" t="s">
        <v>2156</v>
      </c>
      <c r="AC403" s="37" t="s">
        <v>1824</v>
      </c>
      <c r="AD403" s="118">
        <v>0</v>
      </c>
      <c r="AE403" s="118">
        <v>2</v>
      </c>
      <c r="AF403" s="29" t="s">
        <v>2222</v>
      </c>
      <c r="AG403" s="23" t="s">
        <v>1640</v>
      </c>
      <c r="AH403" s="39">
        <v>44172</v>
      </c>
    </row>
    <row r="404" spans="1:34">
      <c r="A404" s="67" t="s">
        <v>2171</v>
      </c>
      <c r="B404" s="23" t="s">
        <v>2158</v>
      </c>
      <c r="C404" s="140">
        <v>44165</v>
      </c>
      <c r="W404" s="23" t="s">
        <v>2159</v>
      </c>
      <c r="Y404" s="37">
        <v>3022.5</v>
      </c>
      <c r="AB404" s="23" t="s">
        <v>2160</v>
      </c>
      <c r="AC404" s="23" t="s">
        <v>479</v>
      </c>
      <c r="AD404" s="118"/>
      <c r="AE404" s="118"/>
      <c r="AG404" s="23" t="s">
        <v>1581</v>
      </c>
      <c r="AH404" s="39">
        <v>44172</v>
      </c>
    </row>
    <row r="405" spans="1:34" ht="64">
      <c r="A405" s="62" t="s">
        <v>2174</v>
      </c>
      <c r="B405" s="23" t="s">
        <v>2175</v>
      </c>
      <c r="C405" s="140">
        <v>44130</v>
      </c>
      <c r="D405" s="23" t="s">
        <v>729</v>
      </c>
      <c r="E405" s="23" t="s">
        <v>752</v>
      </c>
      <c r="F405" s="23" t="s">
        <v>2176</v>
      </c>
      <c r="G405" s="23" t="s">
        <v>12272</v>
      </c>
      <c r="P405" s="23" t="s">
        <v>2179</v>
      </c>
      <c r="Q405" s="140">
        <v>44173</v>
      </c>
      <c r="S405" s="23" t="s">
        <v>2121</v>
      </c>
      <c r="T405" s="23" t="s">
        <v>12031</v>
      </c>
      <c r="U405" s="23" t="s">
        <v>12031</v>
      </c>
      <c r="V405" s="23" t="s">
        <v>298</v>
      </c>
      <c r="W405" s="19" t="s">
        <v>2180</v>
      </c>
      <c r="Y405" s="37">
        <v>6000</v>
      </c>
      <c r="AB405" s="23" t="s">
        <v>2177</v>
      </c>
      <c r="AC405" s="23" t="s">
        <v>2124</v>
      </c>
      <c r="AD405" s="118">
        <v>0</v>
      </c>
      <c r="AE405" s="118">
        <v>1</v>
      </c>
      <c r="AF405" s="29" t="s">
        <v>2225</v>
      </c>
      <c r="AG405" s="23" t="s">
        <v>2178</v>
      </c>
      <c r="AH405" s="39">
        <v>44173</v>
      </c>
    </row>
    <row r="406" spans="1:34" ht="48">
      <c r="A406" s="62" t="s">
        <v>2181</v>
      </c>
      <c r="B406" s="23" t="s">
        <v>2186</v>
      </c>
      <c r="C406" s="140">
        <v>44159</v>
      </c>
      <c r="D406" s="23" t="s">
        <v>729</v>
      </c>
      <c r="E406" s="23" t="s">
        <v>636</v>
      </c>
      <c r="F406" s="23" t="s">
        <v>1723</v>
      </c>
      <c r="G406" s="23" t="s">
        <v>1724</v>
      </c>
      <c r="Q406" s="140">
        <v>44174</v>
      </c>
      <c r="S406" s="23" t="s">
        <v>300</v>
      </c>
      <c r="T406" s="23" t="s">
        <v>363</v>
      </c>
      <c r="U406" s="23" t="s">
        <v>363</v>
      </c>
      <c r="V406" s="23" t="s">
        <v>298</v>
      </c>
      <c r="W406" s="23" t="s">
        <v>1744</v>
      </c>
      <c r="Y406" s="37">
        <v>11993.4</v>
      </c>
      <c r="AB406" s="23" t="s">
        <v>2187</v>
      </c>
      <c r="AC406" s="23" t="s">
        <v>2188</v>
      </c>
      <c r="AD406" s="118">
        <v>1</v>
      </c>
      <c r="AE406" s="118">
        <v>1</v>
      </c>
      <c r="AF406" s="29" t="s">
        <v>2226</v>
      </c>
      <c r="AG406" s="23" t="s">
        <v>637</v>
      </c>
      <c r="AH406" s="39">
        <v>44174</v>
      </c>
    </row>
    <row r="407" spans="1:34">
      <c r="A407" s="67" t="s">
        <v>2182</v>
      </c>
      <c r="B407" s="23" t="s">
        <v>2189</v>
      </c>
      <c r="C407" s="140">
        <v>44170</v>
      </c>
      <c r="W407" s="23" t="s">
        <v>995</v>
      </c>
      <c r="Y407" s="37">
        <v>13125</v>
      </c>
      <c r="AB407" s="23" t="s">
        <v>2190</v>
      </c>
      <c r="AC407" s="23" t="s">
        <v>2191</v>
      </c>
      <c r="AD407" s="118"/>
      <c r="AE407" s="118"/>
      <c r="AF407" s="29"/>
      <c r="AG407" s="23" t="s">
        <v>1845</v>
      </c>
      <c r="AH407" s="39">
        <v>44174</v>
      </c>
    </row>
    <row r="408" spans="1:34" ht="48">
      <c r="A408" s="62" t="s">
        <v>2183</v>
      </c>
      <c r="B408" s="23">
        <v>206461627</v>
      </c>
      <c r="C408" s="140">
        <v>44167</v>
      </c>
      <c r="D408" s="23" t="s">
        <v>729</v>
      </c>
      <c r="E408" s="23" t="s">
        <v>636</v>
      </c>
      <c r="F408" s="23" t="s">
        <v>1723</v>
      </c>
      <c r="G408" s="23" t="s">
        <v>1724</v>
      </c>
      <c r="Q408" s="140">
        <v>44174</v>
      </c>
      <c r="S408" s="23" t="s">
        <v>300</v>
      </c>
      <c r="T408" s="23" t="s">
        <v>363</v>
      </c>
      <c r="U408" s="23" t="s">
        <v>363</v>
      </c>
      <c r="V408" s="23" t="s">
        <v>298</v>
      </c>
      <c r="W408" s="23" t="s">
        <v>1822</v>
      </c>
      <c r="Y408" s="37">
        <v>5664</v>
      </c>
      <c r="AB408" s="23" t="s">
        <v>2192</v>
      </c>
      <c r="AC408" s="23" t="s">
        <v>1718</v>
      </c>
      <c r="AD408" s="118">
        <v>0</v>
      </c>
      <c r="AE408" s="118">
        <v>3</v>
      </c>
      <c r="AF408" s="29" t="s">
        <v>2227</v>
      </c>
      <c r="AG408" s="23" t="s">
        <v>1640</v>
      </c>
      <c r="AH408" s="39">
        <v>44174</v>
      </c>
    </row>
    <row r="409" spans="1:34">
      <c r="A409" s="67" t="s">
        <v>2184</v>
      </c>
      <c r="B409" s="27" t="s">
        <v>2194</v>
      </c>
      <c r="C409" s="140">
        <v>44171</v>
      </c>
      <c r="W409" s="23" t="s">
        <v>995</v>
      </c>
      <c r="Y409" s="37">
        <v>25900</v>
      </c>
      <c r="AB409" s="23" t="s">
        <v>2193</v>
      </c>
      <c r="AC409" s="23" t="s">
        <v>1647</v>
      </c>
      <c r="AD409" s="118"/>
      <c r="AE409" s="118"/>
      <c r="AG409" s="23" t="s">
        <v>1845</v>
      </c>
      <c r="AH409" s="39">
        <v>44174</v>
      </c>
    </row>
    <row r="410" spans="1:34">
      <c r="A410" s="67" t="s">
        <v>2185</v>
      </c>
      <c r="B410" s="23" t="s">
        <v>2195</v>
      </c>
      <c r="C410" s="140">
        <v>44168</v>
      </c>
      <c r="W410" s="23" t="s">
        <v>915</v>
      </c>
      <c r="Y410" s="37">
        <v>26486</v>
      </c>
      <c r="AB410" s="23" t="s">
        <v>2196</v>
      </c>
      <c r="AC410" s="23" t="s">
        <v>1575</v>
      </c>
      <c r="AD410" s="118"/>
      <c r="AE410" s="118"/>
      <c r="AG410" s="23" t="s">
        <v>1921</v>
      </c>
      <c r="AH410" s="39">
        <v>44174</v>
      </c>
    </row>
    <row r="411" spans="1:34" ht="365">
      <c r="A411" s="107" t="s">
        <v>2198</v>
      </c>
      <c r="B411" s="23" t="s">
        <v>2199</v>
      </c>
      <c r="C411" s="140">
        <v>44161</v>
      </c>
      <c r="D411" s="23" t="s">
        <v>729</v>
      </c>
      <c r="E411" s="23" t="s">
        <v>752</v>
      </c>
      <c r="F411" s="23" t="s">
        <v>2200</v>
      </c>
      <c r="G411" s="23" t="s">
        <v>2131</v>
      </c>
      <c r="H411" s="23" t="s">
        <v>2201</v>
      </c>
      <c r="I411" s="23" t="s">
        <v>2201</v>
      </c>
      <c r="J411" s="140">
        <v>44124</v>
      </c>
      <c r="Q411" s="140">
        <v>44175</v>
      </c>
      <c r="S411" s="23" t="s">
        <v>300</v>
      </c>
      <c r="T411" s="23" t="s">
        <v>305</v>
      </c>
      <c r="U411" s="23" t="s">
        <v>305</v>
      </c>
      <c r="V411" s="23" t="s">
        <v>299</v>
      </c>
      <c r="W411" s="23" t="s">
        <v>2202</v>
      </c>
      <c r="Y411" s="37">
        <v>95274</v>
      </c>
      <c r="AB411" s="19" t="s">
        <v>2203</v>
      </c>
      <c r="AC411" s="23" t="s">
        <v>2204</v>
      </c>
      <c r="AD411" s="118">
        <v>0</v>
      </c>
      <c r="AE411" s="118">
        <v>23</v>
      </c>
      <c r="AF411" s="29" t="s">
        <v>2745</v>
      </c>
      <c r="AG411" s="23" t="s">
        <v>1553</v>
      </c>
      <c r="AH411" s="49">
        <v>44174</v>
      </c>
    </row>
    <row r="412" spans="1:34" ht="48">
      <c r="A412" s="62" t="s">
        <v>2205</v>
      </c>
      <c r="B412" s="23" t="s">
        <v>2206</v>
      </c>
      <c r="C412" s="140">
        <v>44174</v>
      </c>
      <c r="D412" s="23" t="s">
        <v>729</v>
      </c>
      <c r="E412" s="23" t="s">
        <v>636</v>
      </c>
      <c r="F412" s="23" t="s">
        <v>1723</v>
      </c>
      <c r="G412" s="23" t="s">
        <v>1724</v>
      </c>
      <c r="Q412" s="140">
        <v>44176</v>
      </c>
      <c r="S412" s="23" t="s">
        <v>300</v>
      </c>
      <c r="T412" s="23" t="s">
        <v>363</v>
      </c>
      <c r="U412" s="23" t="s">
        <v>363</v>
      </c>
      <c r="V412" s="23" t="s">
        <v>298</v>
      </c>
      <c r="W412" s="23" t="s">
        <v>1716</v>
      </c>
      <c r="Y412" s="37">
        <v>5696</v>
      </c>
      <c r="AB412" s="23" t="s">
        <v>2207</v>
      </c>
      <c r="AC412" s="23" t="s">
        <v>1779</v>
      </c>
      <c r="AD412" s="118">
        <v>0</v>
      </c>
      <c r="AE412" s="118">
        <v>1</v>
      </c>
      <c r="AF412" s="29" t="s">
        <v>2228</v>
      </c>
      <c r="AG412" s="23" t="s">
        <v>1585</v>
      </c>
      <c r="AH412" s="39">
        <v>44175</v>
      </c>
    </row>
    <row r="413" spans="1:34" ht="48">
      <c r="A413" s="62" t="s">
        <v>2208</v>
      </c>
      <c r="B413" s="23" t="s">
        <v>2209</v>
      </c>
      <c r="C413" s="140">
        <v>44148</v>
      </c>
      <c r="D413" s="23" t="s">
        <v>729</v>
      </c>
      <c r="E413" s="23" t="s">
        <v>636</v>
      </c>
      <c r="F413" s="23" t="s">
        <v>2210</v>
      </c>
      <c r="G413" s="23" t="s">
        <v>1724</v>
      </c>
      <c r="Q413" s="140">
        <v>44176</v>
      </c>
      <c r="S413" s="23" t="s">
        <v>300</v>
      </c>
      <c r="T413" s="23" t="s">
        <v>363</v>
      </c>
      <c r="U413" s="23" t="s">
        <v>363</v>
      </c>
      <c r="V413" s="23" t="s">
        <v>298</v>
      </c>
      <c r="W413" s="23" t="s">
        <v>2211</v>
      </c>
      <c r="Y413" s="37">
        <v>3779</v>
      </c>
      <c r="AB413" s="23" t="s">
        <v>2213</v>
      </c>
      <c r="AC413" s="23" t="s">
        <v>2212</v>
      </c>
      <c r="AD413" s="118">
        <v>0</v>
      </c>
      <c r="AE413" s="118">
        <v>1</v>
      </c>
      <c r="AF413" s="29" t="s">
        <v>2283</v>
      </c>
      <c r="AG413" s="23" t="s">
        <v>1581</v>
      </c>
      <c r="AH413" s="39">
        <v>44176</v>
      </c>
    </row>
    <row r="414" spans="1:34" ht="48">
      <c r="A414" s="62" t="s">
        <v>2229</v>
      </c>
      <c r="B414" s="23" t="s">
        <v>2230</v>
      </c>
      <c r="C414" s="141" t="s">
        <v>2232</v>
      </c>
      <c r="D414" s="23" t="s">
        <v>729</v>
      </c>
      <c r="E414" s="23" t="s">
        <v>636</v>
      </c>
      <c r="F414" s="23" t="s">
        <v>1723</v>
      </c>
      <c r="G414" s="23" t="s">
        <v>1724</v>
      </c>
      <c r="Q414" s="140">
        <v>44179</v>
      </c>
      <c r="S414" s="23" t="s">
        <v>300</v>
      </c>
      <c r="T414" s="23" t="s">
        <v>363</v>
      </c>
      <c r="U414" s="23" t="s">
        <v>363</v>
      </c>
      <c r="V414" s="23" t="s">
        <v>298</v>
      </c>
      <c r="W414" s="23" t="s">
        <v>2103</v>
      </c>
      <c r="Y414" s="37">
        <v>13200</v>
      </c>
      <c r="AB414" s="23" t="s">
        <v>2231</v>
      </c>
      <c r="AC414" s="23" t="s">
        <v>2105</v>
      </c>
      <c r="AD414" s="118">
        <v>0</v>
      </c>
      <c r="AE414" s="118">
        <v>1</v>
      </c>
      <c r="AF414" s="29" t="s">
        <v>2284</v>
      </c>
      <c r="AG414" s="23" t="s">
        <v>1585</v>
      </c>
      <c r="AH414" s="39">
        <v>44177</v>
      </c>
    </row>
    <row r="415" spans="1:34" ht="64">
      <c r="A415" s="62" t="s">
        <v>2233</v>
      </c>
      <c r="B415" s="23" t="s">
        <v>2234</v>
      </c>
      <c r="C415" s="140">
        <v>44146</v>
      </c>
      <c r="D415" s="23" t="s">
        <v>729</v>
      </c>
      <c r="E415" s="23" t="s">
        <v>752</v>
      </c>
      <c r="F415" s="23" t="s">
        <v>2926</v>
      </c>
      <c r="G415" s="23" t="s">
        <v>2165</v>
      </c>
      <c r="P415" s="23" t="s">
        <v>2235</v>
      </c>
      <c r="Q415" s="140">
        <v>44180</v>
      </c>
      <c r="S415" s="23" t="s">
        <v>2236</v>
      </c>
      <c r="T415" s="23" t="s">
        <v>12031</v>
      </c>
      <c r="U415" s="23" t="s">
        <v>12031</v>
      </c>
      <c r="V415" s="23" t="s">
        <v>298</v>
      </c>
      <c r="W415" s="19" t="s">
        <v>2260</v>
      </c>
      <c r="Y415" s="37">
        <v>5000</v>
      </c>
      <c r="AB415" s="23" t="s">
        <v>2237</v>
      </c>
      <c r="AC415" s="23" t="s">
        <v>123</v>
      </c>
      <c r="AD415" s="118">
        <v>0</v>
      </c>
      <c r="AE415" s="118">
        <v>1</v>
      </c>
      <c r="AF415" s="29" t="s">
        <v>2290</v>
      </c>
      <c r="AG415" s="23" t="s">
        <v>2238</v>
      </c>
      <c r="AH415" s="39">
        <v>44179</v>
      </c>
    </row>
    <row r="416" spans="1:34" ht="48">
      <c r="A416" s="62" t="s">
        <v>2239</v>
      </c>
      <c r="B416" s="23" t="s">
        <v>2244</v>
      </c>
      <c r="C416" s="140">
        <v>44169</v>
      </c>
      <c r="D416" s="23" t="s">
        <v>729</v>
      </c>
      <c r="E416" s="23" t="s">
        <v>636</v>
      </c>
      <c r="F416" s="23" t="s">
        <v>1723</v>
      </c>
      <c r="G416" s="23" t="s">
        <v>1724</v>
      </c>
      <c r="Q416" s="140">
        <v>44180</v>
      </c>
      <c r="S416" s="23" t="s">
        <v>300</v>
      </c>
      <c r="T416" s="23" t="s">
        <v>363</v>
      </c>
      <c r="U416" s="23" t="s">
        <v>363</v>
      </c>
      <c r="V416" s="23" t="s">
        <v>298</v>
      </c>
      <c r="W416" s="23" t="s">
        <v>2245</v>
      </c>
      <c r="Y416" s="37">
        <v>10641.6</v>
      </c>
      <c r="AB416" s="23" t="s">
        <v>2246</v>
      </c>
      <c r="AC416" s="23" t="s">
        <v>2247</v>
      </c>
      <c r="AD416" s="118">
        <v>0</v>
      </c>
      <c r="AE416" s="118">
        <v>3</v>
      </c>
      <c r="AF416" s="29" t="s">
        <v>2285</v>
      </c>
      <c r="AG416" s="23" t="s">
        <v>637</v>
      </c>
      <c r="AH416" s="39">
        <v>44179</v>
      </c>
    </row>
    <row r="417" spans="1:44">
      <c r="A417" s="67" t="s">
        <v>2240</v>
      </c>
      <c r="B417" s="23" t="s">
        <v>2248</v>
      </c>
      <c r="C417" s="140">
        <v>44170</v>
      </c>
      <c r="W417" s="23" t="s">
        <v>2249</v>
      </c>
      <c r="Y417" s="37">
        <v>11591.4</v>
      </c>
      <c r="AB417" s="23" t="s">
        <v>2250</v>
      </c>
      <c r="AC417" s="23" t="s">
        <v>2251</v>
      </c>
      <c r="AD417" s="118"/>
      <c r="AE417" s="118"/>
      <c r="AG417" s="23" t="s">
        <v>637</v>
      </c>
      <c r="AH417" s="39">
        <v>44179</v>
      </c>
    </row>
    <row r="418" spans="1:44">
      <c r="A418" s="67" t="s">
        <v>2241</v>
      </c>
      <c r="B418" s="23" t="s">
        <v>2252</v>
      </c>
      <c r="C418" s="140">
        <v>44172</v>
      </c>
      <c r="W418" s="23" t="s">
        <v>995</v>
      </c>
      <c r="Y418" s="37">
        <v>25900</v>
      </c>
      <c r="AB418" s="23" t="s">
        <v>2253</v>
      </c>
      <c r="AC418" s="23" t="s">
        <v>1647</v>
      </c>
      <c r="AD418" s="118"/>
      <c r="AE418" s="118"/>
      <c r="AG418" s="23" t="s">
        <v>1845</v>
      </c>
      <c r="AH418" s="39">
        <v>44179</v>
      </c>
    </row>
    <row r="419" spans="1:44" ht="48">
      <c r="A419" s="62" t="s">
        <v>2242</v>
      </c>
      <c r="B419" s="23" t="s">
        <v>2254</v>
      </c>
      <c r="C419" s="140">
        <v>44172</v>
      </c>
      <c r="D419" s="23" t="s">
        <v>729</v>
      </c>
      <c r="E419" s="23" t="s">
        <v>636</v>
      </c>
      <c r="F419" s="23" t="s">
        <v>1723</v>
      </c>
      <c r="G419" s="23" t="s">
        <v>1724</v>
      </c>
      <c r="Q419" s="140">
        <v>44180</v>
      </c>
      <c r="S419" s="23" t="s">
        <v>300</v>
      </c>
      <c r="T419" s="23" t="s">
        <v>363</v>
      </c>
      <c r="U419" s="23" t="s">
        <v>363</v>
      </c>
      <c r="V419" s="23" t="s">
        <v>298</v>
      </c>
      <c r="W419" s="23" t="s">
        <v>915</v>
      </c>
      <c r="Y419" s="37">
        <v>26486</v>
      </c>
      <c r="AB419" s="23" t="s">
        <v>2255</v>
      </c>
      <c r="AC419" s="23" t="s">
        <v>1575</v>
      </c>
      <c r="AD419" s="118">
        <v>0</v>
      </c>
      <c r="AE419" s="118">
        <v>2</v>
      </c>
      <c r="AF419" s="29" t="s">
        <v>2286</v>
      </c>
      <c r="AG419" s="23" t="s">
        <v>2256</v>
      </c>
      <c r="AH419" s="39">
        <v>44179</v>
      </c>
    </row>
    <row r="420" spans="1:44">
      <c r="A420" s="67" t="s">
        <v>2243</v>
      </c>
      <c r="B420" s="23" t="s">
        <v>2257</v>
      </c>
      <c r="C420" s="140">
        <v>44176</v>
      </c>
      <c r="W420" s="23" t="s">
        <v>2008</v>
      </c>
      <c r="Y420" s="37">
        <v>5624</v>
      </c>
      <c r="AB420" s="23" t="s">
        <v>2258</v>
      </c>
      <c r="AC420" s="23" t="s">
        <v>2259</v>
      </c>
      <c r="AD420" s="118"/>
      <c r="AE420" s="118"/>
      <c r="AG420" s="23" t="s">
        <v>2011</v>
      </c>
      <c r="AH420" s="39">
        <v>44179</v>
      </c>
    </row>
    <row r="421" spans="1:44" ht="48">
      <c r="A421" s="62" t="s">
        <v>2261</v>
      </c>
      <c r="B421" s="23" t="s">
        <v>2262</v>
      </c>
      <c r="C421" s="140">
        <v>44179</v>
      </c>
      <c r="D421" s="23" t="s">
        <v>729</v>
      </c>
      <c r="E421" s="23" t="s">
        <v>636</v>
      </c>
      <c r="F421" s="23" t="s">
        <v>1723</v>
      </c>
      <c r="G421" s="23" t="s">
        <v>1724</v>
      </c>
      <c r="Q421" s="140">
        <v>44181</v>
      </c>
      <c r="S421" s="23" t="s">
        <v>300</v>
      </c>
      <c r="T421" s="23" t="s">
        <v>363</v>
      </c>
      <c r="U421" s="23" t="s">
        <v>363</v>
      </c>
      <c r="V421" s="23" t="s">
        <v>298</v>
      </c>
      <c r="W421" s="23" t="s">
        <v>1716</v>
      </c>
      <c r="Y421" s="37">
        <v>5408</v>
      </c>
      <c r="AB421" s="23" t="s">
        <v>2263</v>
      </c>
      <c r="AC421" s="23" t="s">
        <v>2264</v>
      </c>
      <c r="AD421" s="118">
        <v>0</v>
      </c>
      <c r="AE421" s="118">
        <v>1</v>
      </c>
      <c r="AF421" s="29" t="s">
        <v>2287</v>
      </c>
      <c r="AG421" s="23" t="s">
        <v>1585</v>
      </c>
      <c r="AH421" s="39">
        <v>44180</v>
      </c>
    </row>
    <row r="422" spans="1:44" ht="48">
      <c r="A422" s="62" t="s">
        <v>2265</v>
      </c>
      <c r="B422" s="27" t="s">
        <v>2266</v>
      </c>
      <c r="C422" s="140">
        <v>44174</v>
      </c>
      <c r="D422" s="23" t="s">
        <v>729</v>
      </c>
      <c r="E422" s="23" t="s">
        <v>636</v>
      </c>
      <c r="F422" s="23" t="s">
        <v>1723</v>
      </c>
      <c r="G422" s="23" t="s">
        <v>1724</v>
      </c>
      <c r="Q422" s="140">
        <v>44183</v>
      </c>
      <c r="S422" s="23" t="s">
        <v>300</v>
      </c>
      <c r="T422" s="23" t="s">
        <v>363</v>
      </c>
      <c r="U422" s="23" t="s">
        <v>363</v>
      </c>
      <c r="V422" s="23" t="s">
        <v>298</v>
      </c>
      <c r="W422" s="23" t="s">
        <v>1918</v>
      </c>
      <c r="Y422" s="37">
        <v>13720</v>
      </c>
      <c r="AB422" s="23" t="s">
        <v>2267</v>
      </c>
      <c r="AC422" s="23" t="s">
        <v>2268</v>
      </c>
      <c r="AD422" s="118">
        <v>0</v>
      </c>
      <c r="AE422" s="118">
        <v>2</v>
      </c>
      <c r="AF422" s="29" t="s">
        <v>2288</v>
      </c>
      <c r="AG422" s="23" t="s">
        <v>1845</v>
      </c>
      <c r="AH422" s="39">
        <v>44183</v>
      </c>
    </row>
    <row r="423" spans="1:44">
      <c r="A423" s="67" t="s">
        <v>2269</v>
      </c>
      <c r="B423" s="23" t="s">
        <v>2270</v>
      </c>
      <c r="C423" s="140">
        <v>44176</v>
      </c>
      <c r="W423" s="23" t="s">
        <v>915</v>
      </c>
      <c r="Y423" s="37">
        <v>26486</v>
      </c>
      <c r="AB423" s="23" t="s">
        <v>2271</v>
      </c>
      <c r="AC423" s="23" t="s">
        <v>1575</v>
      </c>
      <c r="AD423" s="118"/>
      <c r="AE423" s="118"/>
      <c r="AG423" s="23" t="s">
        <v>1845</v>
      </c>
      <c r="AH423" s="39">
        <v>44183</v>
      </c>
    </row>
    <row r="424" spans="1:44" ht="48">
      <c r="A424" s="62" t="s">
        <v>2272</v>
      </c>
      <c r="B424" s="27" t="s">
        <v>2273</v>
      </c>
      <c r="C424" s="140">
        <v>44181</v>
      </c>
      <c r="D424" s="23" t="s">
        <v>729</v>
      </c>
      <c r="E424" s="23" t="s">
        <v>636</v>
      </c>
      <c r="F424" s="23" t="s">
        <v>1723</v>
      </c>
      <c r="G424" s="23" t="s">
        <v>1724</v>
      </c>
      <c r="Q424" s="140">
        <v>44183</v>
      </c>
      <c r="S424" s="23" t="s">
        <v>300</v>
      </c>
      <c r="T424" s="23" t="s">
        <v>363</v>
      </c>
      <c r="U424" s="23" t="s">
        <v>363</v>
      </c>
      <c r="V424" s="23" t="s">
        <v>298</v>
      </c>
      <c r="W424" s="23" t="s">
        <v>1716</v>
      </c>
      <c r="Y424" s="37">
        <v>5664</v>
      </c>
      <c r="AB424" s="23" t="s">
        <v>2274</v>
      </c>
      <c r="AC424" s="23" t="s">
        <v>1718</v>
      </c>
      <c r="AD424" s="118">
        <v>0</v>
      </c>
      <c r="AE424" s="118">
        <v>1</v>
      </c>
      <c r="AF424" s="29" t="s">
        <v>2289</v>
      </c>
      <c r="AG424" s="23" t="s">
        <v>637</v>
      </c>
      <c r="AH424" s="39">
        <v>44183</v>
      </c>
    </row>
    <row r="425" spans="1:44" ht="48">
      <c r="A425" s="62" t="s">
        <v>2275</v>
      </c>
      <c r="B425" s="23" t="s">
        <v>2276</v>
      </c>
      <c r="C425" s="140">
        <v>44182</v>
      </c>
      <c r="D425" s="23" t="s">
        <v>729</v>
      </c>
      <c r="E425" s="23" t="s">
        <v>636</v>
      </c>
      <c r="F425" s="23" t="s">
        <v>1723</v>
      </c>
      <c r="G425" s="23" t="s">
        <v>1724</v>
      </c>
      <c r="Q425" s="140">
        <v>44186</v>
      </c>
      <c r="S425" s="23" t="s">
        <v>300</v>
      </c>
      <c r="T425" s="23" t="s">
        <v>363</v>
      </c>
      <c r="U425" s="23" t="s">
        <v>363</v>
      </c>
      <c r="V425" s="23" t="s">
        <v>298</v>
      </c>
      <c r="W425" s="23" t="s">
        <v>2103</v>
      </c>
      <c r="Y425" s="37">
        <v>13200</v>
      </c>
      <c r="AB425" s="23" t="s">
        <v>2277</v>
      </c>
      <c r="AC425" s="23" t="s">
        <v>2105</v>
      </c>
      <c r="AD425" s="118">
        <v>0</v>
      </c>
      <c r="AE425" s="118">
        <v>2</v>
      </c>
      <c r="AF425" s="29" t="s">
        <v>2296</v>
      </c>
      <c r="AG425" s="23" t="s">
        <v>1585</v>
      </c>
      <c r="AH425" s="39">
        <v>44186</v>
      </c>
    </row>
    <row r="426" spans="1:44">
      <c r="A426" s="69" t="s">
        <v>2278</v>
      </c>
      <c r="B426" s="23" t="s">
        <v>2279</v>
      </c>
      <c r="C426" s="140">
        <v>44183</v>
      </c>
      <c r="W426" s="23" t="s">
        <v>2280</v>
      </c>
      <c r="Y426" s="37">
        <v>9690</v>
      </c>
      <c r="AB426" s="23" t="s">
        <v>2281</v>
      </c>
      <c r="AC426" s="23" t="s">
        <v>2282</v>
      </c>
      <c r="AD426" s="118"/>
      <c r="AE426" s="118"/>
      <c r="AG426" s="23" t="s">
        <v>1585</v>
      </c>
      <c r="AH426" s="39">
        <v>44186</v>
      </c>
    </row>
    <row r="427" spans="1:44" ht="48">
      <c r="A427" s="63" t="s">
        <v>2293</v>
      </c>
      <c r="B427" s="23" t="s">
        <v>2294</v>
      </c>
      <c r="C427" s="140">
        <v>44183</v>
      </c>
      <c r="D427" s="23" t="s">
        <v>729</v>
      </c>
      <c r="E427" s="23" t="s">
        <v>636</v>
      </c>
      <c r="F427" s="23" t="s">
        <v>1723</v>
      </c>
      <c r="G427" s="23" t="s">
        <v>1724</v>
      </c>
      <c r="Q427" s="140">
        <v>44186</v>
      </c>
      <c r="S427" s="23" t="s">
        <v>300</v>
      </c>
      <c r="T427" s="23" t="s">
        <v>363</v>
      </c>
      <c r="U427" s="23" t="s">
        <v>363</v>
      </c>
      <c r="V427" s="23" t="s">
        <v>298</v>
      </c>
      <c r="W427" s="23" t="s">
        <v>1865</v>
      </c>
      <c r="Y427" s="37">
        <v>5624</v>
      </c>
      <c r="AB427" s="23" t="s">
        <v>2295</v>
      </c>
      <c r="AC427" s="23" t="s">
        <v>2259</v>
      </c>
      <c r="AD427" s="118">
        <v>0</v>
      </c>
      <c r="AE427" s="118">
        <v>1</v>
      </c>
      <c r="AF427" s="29" t="s">
        <v>2369</v>
      </c>
      <c r="AG427" s="23" t="s">
        <v>1585</v>
      </c>
      <c r="AH427" s="39">
        <v>44187</v>
      </c>
    </row>
    <row r="428" spans="1:44" ht="96">
      <c r="A428" s="63" t="s">
        <v>2298</v>
      </c>
      <c r="B428" s="23" t="s">
        <v>2297</v>
      </c>
      <c r="C428" s="140">
        <v>44180</v>
      </c>
      <c r="D428" s="23" t="s">
        <v>729</v>
      </c>
      <c r="E428" s="23" t="s">
        <v>752</v>
      </c>
      <c r="F428" s="23" t="s">
        <v>57</v>
      </c>
      <c r="G428" s="23" t="s">
        <v>2131</v>
      </c>
      <c r="H428" s="23" t="s">
        <v>2299</v>
      </c>
      <c r="I428" s="23" t="s">
        <v>2299</v>
      </c>
      <c r="J428" s="140">
        <v>44174</v>
      </c>
      <c r="K428" s="23" t="s">
        <v>2300</v>
      </c>
      <c r="L428" s="140">
        <v>44182</v>
      </c>
      <c r="P428" s="23" t="s">
        <v>2301</v>
      </c>
      <c r="Q428" s="140">
        <v>44188</v>
      </c>
      <c r="S428" s="23" t="s">
        <v>183</v>
      </c>
      <c r="T428" s="23" t="s">
        <v>305</v>
      </c>
      <c r="U428" s="23" t="s">
        <v>305</v>
      </c>
      <c r="V428" s="23" t="s">
        <v>233</v>
      </c>
      <c r="W428" s="23" t="s">
        <v>112</v>
      </c>
      <c r="X428" s="23">
        <v>32727.1</v>
      </c>
      <c r="Y428" s="37">
        <v>32935.9</v>
      </c>
      <c r="Z428" s="23">
        <v>28472.58</v>
      </c>
      <c r="AA428" s="23">
        <v>27276.58</v>
      </c>
      <c r="AB428" s="23" t="s">
        <v>2302</v>
      </c>
      <c r="AC428" s="23" t="s">
        <v>791</v>
      </c>
      <c r="AD428" s="118">
        <v>0</v>
      </c>
      <c r="AE428" s="118">
        <v>2</v>
      </c>
      <c r="AF428" s="29" t="s">
        <v>2667</v>
      </c>
      <c r="AG428" s="23" t="s">
        <v>792</v>
      </c>
      <c r="AH428" s="39">
        <v>44187</v>
      </c>
    </row>
    <row r="429" spans="1:44" ht="48">
      <c r="A429" s="63" t="s">
        <v>2304</v>
      </c>
      <c r="B429" s="23" t="s">
        <v>2308</v>
      </c>
      <c r="C429" s="140">
        <v>44170</v>
      </c>
      <c r="D429" s="23" t="s">
        <v>729</v>
      </c>
      <c r="E429" s="23" t="s">
        <v>636</v>
      </c>
      <c r="F429" s="23" t="s">
        <v>1723</v>
      </c>
      <c r="G429" s="23" t="s">
        <v>1724</v>
      </c>
      <c r="Q429" s="140">
        <v>44188</v>
      </c>
      <c r="S429" s="23" t="s">
        <v>300</v>
      </c>
      <c r="T429" s="23" t="s">
        <v>363</v>
      </c>
      <c r="U429" s="23" t="s">
        <v>363</v>
      </c>
      <c r="V429" s="23" t="s">
        <v>298</v>
      </c>
      <c r="W429" s="23" t="s">
        <v>2306</v>
      </c>
      <c r="Y429" s="37">
        <v>10764.4</v>
      </c>
      <c r="AB429" s="23" t="s">
        <v>2309</v>
      </c>
      <c r="AC429" s="23" t="s">
        <v>2311</v>
      </c>
      <c r="AD429" s="118">
        <v>0</v>
      </c>
      <c r="AE429" s="118">
        <v>2</v>
      </c>
      <c r="AF429" s="29" t="s">
        <v>2370</v>
      </c>
      <c r="AG429" s="23" t="s">
        <v>637</v>
      </c>
      <c r="AH429" s="39">
        <v>44188</v>
      </c>
    </row>
    <row r="430" spans="1:44">
      <c r="A430" s="69" t="s">
        <v>2307</v>
      </c>
      <c r="B430" s="23" t="s">
        <v>2305</v>
      </c>
      <c r="C430" s="140">
        <v>44170</v>
      </c>
      <c r="F430" s="23" t="s">
        <v>1723</v>
      </c>
      <c r="W430" s="23" t="s">
        <v>2306</v>
      </c>
      <c r="Y430" s="37">
        <v>12103.1</v>
      </c>
      <c r="AB430" s="23" t="s">
        <v>2310</v>
      </c>
      <c r="AC430" s="23" t="s">
        <v>573</v>
      </c>
      <c r="AD430" s="118"/>
      <c r="AE430" s="118"/>
      <c r="AG430" s="23" t="s">
        <v>637</v>
      </c>
      <c r="AH430" s="39">
        <v>44188</v>
      </c>
    </row>
    <row r="431" spans="1:44" ht="160">
      <c r="A431" s="108" t="s">
        <v>2312</v>
      </c>
      <c r="B431" s="23" t="s">
        <v>2313</v>
      </c>
      <c r="C431" s="140">
        <v>44182</v>
      </c>
      <c r="D431" s="23" t="s">
        <v>729</v>
      </c>
      <c r="E431" s="23" t="s">
        <v>752</v>
      </c>
      <c r="F431" s="23" t="s">
        <v>2314</v>
      </c>
      <c r="G431" s="23" t="s">
        <v>5538</v>
      </c>
      <c r="H431" s="23" t="s">
        <v>2315</v>
      </c>
      <c r="I431" s="23" t="s">
        <v>2315</v>
      </c>
      <c r="J431" s="140">
        <v>44176</v>
      </c>
      <c r="Q431" s="140">
        <v>44188</v>
      </c>
      <c r="S431" s="23" t="s">
        <v>300</v>
      </c>
      <c r="T431" s="23" t="s">
        <v>12031</v>
      </c>
      <c r="U431" s="23" t="s">
        <v>12031</v>
      </c>
      <c r="V431" s="23" t="s">
        <v>299</v>
      </c>
      <c r="W431" s="23" t="s">
        <v>2316</v>
      </c>
      <c r="Y431" s="37">
        <v>44805</v>
      </c>
      <c r="AB431" s="19" t="s">
        <v>2317</v>
      </c>
      <c r="AC431" s="23" t="s">
        <v>2318</v>
      </c>
      <c r="AD431" s="118">
        <v>0</v>
      </c>
      <c r="AE431" s="118">
        <v>30</v>
      </c>
      <c r="AF431" s="29" t="s">
        <v>2668</v>
      </c>
      <c r="AG431" s="23" t="s">
        <v>2319</v>
      </c>
      <c r="AH431" s="39">
        <v>44188</v>
      </c>
      <c r="AJ431" s="75">
        <v>44195</v>
      </c>
      <c r="AL431" s="53" t="s">
        <v>2845</v>
      </c>
      <c r="AN431" s="53"/>
      <c r="AO431" s="53"/>
      <c r="AP431" s="53"/>
      <c r="AQ431" s="53"/>
      <c r="AR431" s="53"/>
    </row>
    <row r="432" spans="1:44" ht="48">
      <c r="A432" s="63" t="s">
        <v>2320</v>
      </c>
      <c r="B432" s="23" t="s">
        <v>2321</v>
      </c>
      <c r="C432" s="140">
        <v>44188</v>
      </c>
      <c r="D432" s="23" t="s">
        <v>729</v>
      </c>
      <c r="E432" s="23" t="s">
        <v>636</v>
      </c>
      <c r="F432" s="23" t="s">
        <v>1723</v>
      </c>
      <c r="G432" s="23" t="s">
        <v>1724</v>
      </c>
      <c r="Q432" s="140">
        <v>44190</v>
      </c>
      <c r="S432" s="23" t="s">
        <v>300</v>
      </c>
      <c r="T432" s="23" t="s">
        <v>363</v>
      </c>
      <c r="U432" s="23" t="s">
        <v>363</v>
      </c>
      <c r="V432" s="23" t="s">
        <v>298</v>
      </c>
      <c r="W432" s="23" t="s">
        <v>2322</v>
      </c>
      <c r="Y432" s="37">
        <v>6000</v>
      </c>
      <c r="AB432" s="23" t="s">
        <v>2323</v>
      </c>
      <c r="AC432" s="23" t="s">
        <v>2324</v>
      </c>
      <c r="AD432" s="118">
        <v>0</v>
      </c>
      <c r="AE432" s="118">
        <v>1</v>
      </c>
      <c r="AF432" s="29" t="s">
        <v>2371</v>
      </c>
      <c r="AG432" s="23" t="s">
        <v>1585</v>
      </c>
      <c r="AH432" s="39">
        <v>44190</v>
      </c>
    </row>
    <row r="433" spans="1:44" ht="48">
      <c r="A433" s="63" t="s">
        <v>2325</v>
      </c>
      <c r="B433" s="23" t="s">
        <v>2326</v>
      </c>
      <c r="C433" s="140">
        <v>44146</v>
      </c>
      <c r="D433" s="23" t="s">
        <v>729</v>
      </c>
      <c r="E433" s="23" t="s">
        <v>752</v>
      </c>
      <c r="F433" s="23" t="s">
        <v>2176</v>
      </c>
      <c r="G433" s="23" t="s">
        <v>12272</v>
      </c>
      <c r="P433" s="23" t="s">
        <v>2179</v>
      </c>
      <c r="Q433" s="140">
        <v>44191</v>
      </c>
      <c r="S433" s="23" t="s">
        <v>2121</v>
      </c>
      <c r="T433" s="23" t="s">
        <v>12031</v>
      </c>
      <c r="U433" s="23" t="s">
        <v>12031</v>
      </c>
      <c r="V433" s="23" t="s">
        <v>298</v>
      </c>
      <c r="W433" s="19" t="s">
        <v>2327</v>
      </c>
      <c r="Y433" s="37">
        <v>7208.5</v>
      </c>
      <c r="AB433" s="23" t="s">
        <v>2329</v>
      </c>
      <c r="AC433" s="23" t="s">
        <v>154</v>
      </c>
      <c r="AD433" s="118">
        <v>0</v>
      </c>
      <c r="AE433" s="118">
        <v>1</v>
      </c>
      <c r="AF433" s="29" t="s">
        <v>2375</v>
      </c>
      <c r="AG433" s="23" t="s">
        <v>2328</v>
      </c>
      <c r="AH433" s="39">
        <v>43855</v>
      </c>
    </row>
    <row r="434" spans="1:44" ht="48">
      <c r="A434" s="63" t="s">
        <v>2331</v>
      </c>
      <c r="B434" s="23" t="s">
        <v>2330</v>
      </c>
      <c r="C434" s="140">
        <v>44189</v>
      </c>
      <c r="D434" s="23" t="s">
        <v>729</v>
      </c>
      <c r="E434" s="23" t="s">
        <v>636</v>
      </c>
      <c r="F434" s="23" t="s">
        <v>1723</v>
      </c>
      <c r="G434" s="23" t="s">
        <v>1724</v>
      </c>
      <c r="Q434" s="140">
        <v>44192</v>
      </c>
      <c r="S434" s="23" t="s">
        <v>300</v>
      </c>
      <c r="T434" s="23" t="s">
        <v>363</v>
      </c>
      <c r="U434" s="23" t="s">
        <v>363</v>
      </c>
      <c r="V434" s="23" t="s">
        <v>298</v>
      </c>
      <c r="W434" s="23" t="s">
        <v>2103</v>
      </c>
      <c r="Y434" s="37">
        <v>13100</v>
      </c>
      <c r="AB434" s="23" t="s">
        <v>2332</v>
      </c>
      <c r="AC434" s="23" t="s">
        <v>2333</v>
      </c>
      <c r="AD434" s="118">
        <v>0</v>
      </c>
      <c r="AE434" s="118">
        <v>1</v>
      </c>
      <c r="AF434" s="29" t="s">
        <v>2372</v>
      </c>
      <c r="AG434" s="23" t="s">
        <v>1585</v>
      </c>
      <c r="AH434" s="39">
        <v>43855</v>
      </c>
    </row>
    <row r="435" spans="1:44" ht="48">
      <c r="A435" s="63" t="s">
        <v>2335</v>
      </c>
      <c r="B435" s="23" t="s">
        <v>2338</v>
      </c>
      <c r="C435" s="140">
        <v>44190</v>
      </c>
      <c r="D435" s="23" t="s">
        <v>729</v>
      </c>
      <c r="E435" s="23" t="s">
        <v>636</v>
      </c>
      <c r="F435" s="23" t="s">
        <v>1723</v>
      </c>
      <c r="G435" s="23" t="s">
        <v>1724</v>
      </c>
      <c r="Q435" s="140">
        <v>44194</v>
      </c>
      <c r="S435" s="23" t="s">
        <v>300</v>
      </c>
      <c r="T435" s="23" t="s">
        <v>363</v>
      </c>
      <c r="U435" s="23" t="s">
        <v>363</v>
      </c>
      <c r="V435" s="23" t="s">
        <v>298</v>
      </c>
      <c r="W435" s="23" t="s">
        <v>2339</v>
      </c>
      <c r="Y435" s="37">
        <v>4800</v>
      </c>
      <c r="AB435" s="23" t="s">
        <v>2340</v>
      </c>
      <c r="AC435" s="23" t="s">
        <v>2341</v>
      </c>
      <c r="AD435" s="118">
        <v>0</v>
      </c>
      <c r="AE435" s="118">
        <v>4</v>
      </c>
      <c r="AF435" s="29" t="s">
        <v>2373</v>
      </c>
      <c r="AG435" s="23" t="s">
        <v>1585</v>
      </c>
      <c r="AH435" s="39">
        <v>44194</v>
      </c>
    </row>
    <row r="436" spans="1:44" ht="96">
      <c r="A436" s="69" t="s">
        <v>2336</v>
      </c>
      <c r="B436" s="23" t="s">
        <v>2342</v>
      </c>
      <c r="C436" s="140">
        <v>44192</v>
      </c>
      <c r="F436" s="23" t="s">
        <v>1723</v>
      </c>
      <c r="W436" s="23" t="s">
        <v>915</v>
      </c>
      <c r="Y436" s="37">
        <v>52972</v>
      </c>
      <c r="AB436" s="19" t="s">
        <v>2343</v>
      </c>
      <c r="AC436" s="23" t="s">
        <v>2344</v>
      </c>
      <c r="AD436" s="118"/>
      <c r="AE436" s="118"/>
      <c r="AG436" s="23" t="s">
        <v>1845</v>
      </c>
      <c r="AH436" s="39">
        <v>44194</v>
      </c>
    </row>
    <row r="437" spans="1:44">
      <c r="A437" s="69" t="s">
        <v>2337</v>
      </c>
      <c r="B437" s="23" t="s">
        <v>2345</v>
      </c>
      <c r="C437" s="140">
        <v>44192</v>
      </c>
      <c r="F437" s="23" t="s">
        <v>1723</v>
      </c>
      <c r="W437" s="23" t="s">
        <v>2008</v>
      </c>
      <c r="Y437" s="37">
        <v>5624</v>
      </c>
      <c r="AB437" s="23" t="s">
        <v>2346</v>
      </c>
      <c r="AC437" s="23" t="s">
        <v>2259</v>
      </c>
      <c r="AD437" s="118"/>
      <c r="AE437" s="118"/>
      <c r="AG437" s="23" t="s">
        <v>2347</v>
      </c>
      <c r="AH437" s="39">
        <v>44194</v>
      </c>
    </row>
    <row r="438" spans="1:44" ht="48">
      <c r="A438" s="63" t="s">
        <v>2348</v>
      </c>
      <c r="B438" s="23" t="s">
        <v>2349</v>
      </c>
      <c r="C438" s="140">
        <v>44182</v>
      </c>
      <c r="D438" s="23" t="s">
        <v>729</v>
      </c>
      <c r="E438" s="23" t="s">
        <v>636</v>
      </c>
      <c r="F438" s="23" t="s">
        <v>1723</v>
      </c>
      <c r="G438" s="23" t="s">
        <v>1724</v>
      </c>
      <c r="Q438" s="140">
        <v>44196</v>
      </c>
      <c r="S438" s="23" t="s">
        <v>300</v>
      </c>
      <c r="T438" s="23" t="s">
        <v>363</v>
      </c>
      <c r="U438" s="23" t="s">
        <v>363</v>
      </c>
      <c r="V438" s="23" t="s">
        <v>298</v>
      </c>
      <c r="W438" s="23" t="s">
        <v>444</v>
      </c>
      <c r="Y438" s="37">
        <v>25830</v>
      </c>
      <c r="AB438" s="23" t="s">
        <v>2350</v>
      </c>
      <c r="AC438" s="23" t="s">
        <v>2351</v>
      </c>
      <c r="AD438" s="118">
        <v>0</v>
      </c>
      <c r="AE438" s="118">
        <v>4</v>
      </c>
      <c r="AF438" s="29" t="s">
        <v>2374</v>
      </c>
      <c r="AG438" s="23" t="s">
        <v>2352</v>
      </c>
      <c r="AH438" s="39">
        <v>44196</v>
      </c>
    </row>
    <row r="439" spans="1:44">
      <c r="A439" s="69" t="s">
        <v>2353</v>
      </c>
      <c r="B439" s="23" t="s">
        <v>2354</v>
      </c>
      <c r="C439" s="140">
        <v>44190</v>
      </c>
      <c r="D439" s="23" t="s">
        <v>2355</v>
      </c>
      <c r="F439" s="23" t="s">
        <v>1723</v>
      </c>
      <c r="W439" s="23" t="s">
        <v>2245</v>
      </c>
      <c r="Y439" s="37">
        <v>11482.8</v>
      </c>
      <c r="AB439" s="23" t="s">
        <v>2356</v>
      </c>
      <c r="AC439" s="23" t="s">
        <v>2357</v>
      </c>
      <c r="AD439" s="118"/>
      <c r="AE439" s="118"/>
      <c r="AG439" s="23" t="s">
        <v>637</v>
      </c>
      <c r="AH439" s="39">
        <v>44196</v>
      </c>
    </row>
    <row r="440" spans="1:44" ht="96">
      <c r="A440" s="69" t="s">
        <v>2358</v>
      </c>
      <c r="B440" s="23" t="s">
        <v>2359</v>
      </c>
      <c r="C440" s="140">
        <v>44190</v>
      </c>
      <c r="F440" s="23" t="s">
        <v>1723</v>
      </c>
      <c r="W440" s="23" t="s">
        <v>2245</v>
      </c>
      <c r="Y440" s="37">
        <v>15436</v>
      </c>
      <c r="AB440" s="19" t="s">
        <v>2360</v>
      </c>
      <c r="AC440" s="23" t="s">
        <v>2361</v>
      </c>
      <c r="AD440" s="118"/>
      <c r="AE440" s="118"/>
      <c r="AG440" s="23" t="s">
        <v>637</v>
      </c>
      <c r="AH440" s="39">
        <v>44196</v>
      </c>
    </row>
    <row r="441" spans="1:44" ht="32">
      <c r="A441" s="63" t="s">
        <v>2362</v>
      </c>
      <c r="B441" s="23">
        <v>205361889</v>
      </c>
      <c r="C441" s="140">
        <v>44145</v>
      </c>
      <c r="D441" s="23" t="s">
        <v>729</v>
      </c>
      <c r="E441" s="23" t="s">
        <v>636</v>
      </c>
      <c r="F441" s="23" t="s">
        <v>2969</v>
      </c>
      <c r="G441" s="23" t="s">
        <v>1724</v>
      </c>
      <c r="P441" s="23" t="s">
        <v>2363</v>
      </c>
      <c r="Q441" s="140">
        <v>44198</v>
      </c>
      <c r="S441" s="23" t="s">
        <v>2364</v>
      </c>
      <c r="T441" s="23" t="s">
        <v>12031</v>
      </c>
      <c r="U441" s="23" t="s">
        <v>12031</v>
      </c>
      <c r="V441" s="23" t="s">
        <v>298</v>
      </c>
      <c r="W441" s="23" t="s">
        <v>2366</v>
      </c>
      <c r="Y441" s="37">
        <v>6922</v>
      </c>
      <c r="AB441" s="23" t="s">
        <v>2367</v>
      </c>
      <c r="AC441" s="23" t="s">
        <v>1493</v>
      </c>
      <c r="AD441" s="118">
        <v>0</v>
      </c>
      <c r="AE441" s="118">
        <v>1</v>
      </c>
      <c r="AF441" s="29" t="s">
        <v>2528</v>
      </c>
      <c r="AG441" s="23" t="s">
        <v>2365</v>
      </c>
      <c r="AH441" s="39">
        <v>44200</v>
      </c>
    </row>
    <row r="442" spans="1:44" ht="32">
      <c r="A442" s="108" t="s">
        <v>2368</v>
      </c>
      <c r="B442" s="23" t="s">
        <v>2421</v>
      </c>
      <c r="C442" s="140">
        <v>44182</v>
      </c>
      <c r="D442" s="23" t="s">
        <v>729</v>
      </c>
      <c r="E442" s="23" t="s">
        <v>752</v>
      </c>
      <c r="F442" s="23" t="s">
        <v>2111</v>
      </c>
      <c r="G442" s="23" t="s">
        <v>1989</v>
      </c>
      <c r="H442" s="23">
        <v>20201217</v>
      </c>
      <c r="I442" s="23">
        <v>20201217</v>
      </c>
      <c r="J442" s="140">
        <v>44182</v>
      </c>
      <c r="S442" s="23" t="s">
        <v>300</v>
      </c>
      <c r="T442" s="23" t="s">
        <v>12031</v>
      </c>
      <c r="U442" s="23" t="s">
        <v>12031</v>
      </c>
      <c r="V442" s="23" t="s">
        <v>299</v>
      </c>
      <c r="W442" s="23" t="s">
        <v>2422</v>
      </c>
      <c r="X442" s="37">
        <v>15605</v>
      </c>
      <c r="Y442" s="37">
        <v>15605</v>
      </c>
      <c r="AB442" s="23" t="s">
        <v>2423</v>
      </c>
      <c r="AC442" s="23" t="s">
        <v>2424</v>
      </c>
      <c r="AD442" s="118">
        <v>0</v>
      </c>
      <c r="AE442" s="118">
        <v>4</v>
      </c>
      <c r="AF442" s="29" t="s">
        <v>2808</v>
      </c>
      <c r="AH442" s="39">
        <v>44200</v>
      </c>
      <c r="AJ442" s="75">
        <v>44208</v>
      </c>
      <c r="AL442" s="53">
        <f>AJ442+180</f>
        <v>44388</v>
      </c>
      <c r="AN442" s="53"/>
      <c r="AO442" s="53"/>
      <c r="AP442" s="53"/>
      <c r="AQ442" s="53"/>
      <c r="AR442" s="53"/>
    </row>
    <row r="443" spans="1:44" ht="32">
      <c r="A443" s="63" t="s">
        <v>2376</v>
      </c>
      <c r="B443" s="23" t="s">
        <v>2377</v>
      </c>
      <c r="C443" s="140">
        <v>44193</v>
      </c>
      <c r="D443" s="23" t="s">
        <v>729</v>
      </c>
      <c r="E443" s="23" t="s">
        <v>636</v>
      </c>
      <c r="F443" s="23" t="s">
        <v>1723</v>
      </c>
      <c r="G443" s="23" t="s">
        <v>1724</v>
      </c>
      <c r="Q443" s="140">
        <v>44200</v>
      </c>
      <c r="S443" s="23" t="s">
        <v>300</v>
      </c>
      <c r="T443" s="23" t="s">
        <v>363</v>
      </c>
      <c r="U443" s="23" t="s">
        <v>363</v>
      </c>
      <c r="V443" s="23" t="s">
        <v>298</v>
      </c>
      <c r="W443" s="23" t="s">
        <v>1716</v>
      </c>
      <c r="Y443" s="37">
        <v>5680</v>
      </c>
      <c r="AB443" s="23" t="s">
        <v>2378</v>
      </c>
      <c r="AC443" s="23" t="s">
        <v>1824</v>
      </c>
      <c r="AD443" s="118">
        <v>0</v>
      </c>
      <c r="AE443" s="118">
        <v>2</v>
      </c>
      <c r="AF443" s="29" t="s">
        <v>2529</v>
      </c>
      <c r="AG443" s="23" t="s">
        <v>1585</v>
      </c>
      <c r="AH443" s="39">
        <v>44200</v>
      </c>
    </row>
    <row r="444" spans="1:44">
      <c r="A444" s="69" t="s">
        <v>2379</v>
      </c>
      <c r="B444" s="23" t="s">
        <v>2380</v>
      </c>
      <c r="C444" s="140">
        <v>44193</v>
      </c>
      <c r="F444" s="23" t="s">
        <v>1723</v>
      </c>
      <c r="W444" s="23" t="s">
        <v>1716</v>
      </c>
      <c r="Y444" s="37">
        <v>5664</v>
      </c>
      <c r="AB444" s="23" t="s">
        <v>2381</v>
      </c>
      <c r="AC444" s="23" t="s">
        <v>1718</v>
      </c>
      <c r="AD444" s="118"/>
      <c r="AE444" s="118"/>
      <c r="AG444" s="23" t="s">
        <v>1585</v>
      </c>
      <c r="AH444" s="39">
        <v>44200</v>
      </c>
    </row>
    <row r="445" spans="1:44" ht="32">
      <c r="A445" s="63" t="s">
        <v>2382</v>
      </c>
      <c r="B445" s="23" t="s">
        <v>2383</v>
      </c>
      <c r="C445" s="140">
        <v>44193</v>
      </c>
      <c r="D445" s="23" t="s">
        <v>729</v>
      </c>
      <c r="E445" s="23" t="s">
        <v>636</v>
      </c>
      <c r="F445" s="23" t="s">
        <v>1723</v>
      </c>
      <c r="G445" s="23" t="s">
        <v>1724</v>
      </c>
      <c r="Q445" s="140">
        <v>44201</v>
      </c>
      <c r="S445" s="23" t="s">
        <v>300</v>
      </c>
      <c r="T445" s="23" t="s">
        <v>363</v>
      </c>
      <c r="U445" s="23" t="s">
        <v>363</v>
      </c>
      <c r="V445" s="23" t="s">
        <v>298</v>
      </c>
      <c r="W445" s="23" t="s">
        <v>1716</v>
      </c>
      <c r="Y445" s="37">
        <v>5696</v>
      </c>
      <c r="AB445" s="23" t="s">
        <v>2384</v>
      </c>
      <c r="AC445" s="23" t="s">
        <v>1779</v>
      </c>
      <c r="AD445" s="118">
        <v>0</v>
      </c>
      <c r="AE445" s="118">
        <v>2</v>
      </c>
      <c r="AF445" s="29" t="s">
        <v>2530</v>
      </c>
      <c r="AG445" s="23" t="s">
        <v>1585</v>
      </c>
      <c r="AH445" s="39">
        <v>44200</v>
      </c>
    </row>
    <row r="446" spans="1:44">
      <c r="A446" s="69" t="s">
        <v>2385</v>
      </c>
      <c r="B446" s="23" t="s">
        <v>2386</v>
      </c>
      <c r="C446" s="140">
        <v>44193</v>
      </c>
      <c r="F446" s="23" t="s">
        <v>1723</v>
      </c>
      <c r="W446" s="23" t="s">
        <v>2103</v>
      </c>
      <c r="Y446" s="37">
        <v>13100</v>
      </c>
      <c r="AB446" s="23" t="s">
        <v>2387</v>
      </c>
      <c r="AC446" s="23" t="s">
        <v>2333</v>
      </c>
      <c r="AD446" s="118"/>
      <c r="AE446" s="118"/>
      <c r="AG446" s="23" t="s">
        <v>1585</v>
      </c>
      <c r="AH446" s="39">
        <v>44200</v>
      </c>
    </row>
    <row r="447" spans="1:44">
      <c r="A447" s="108" t="s">
        <v>2388</v>
      </c>
      <c r="B447" s="23" t="s">
        <v>2425</v>
      </c>
      <c r="C447" s="140">
        <v>44197</v>
      </c>
      <c r="D447" s="23" t="s">
        <v>729</v>
      </c>
      <c r="E447" s="23" t="s">
        <v>752</v>
      </c>
      <c r="F447" s="23" t="s">
        <v>2944</v>
      </c>
      <c r="G447" s="23" t="s">
        <v>1989</v>
      </c>
      <c r="H447" s="23" t="s">
        <v>2426</v>
      </c>
      <c r="I447" s="23" t="s">
        <v>2426</v>
      </c>
      <c r="J447" s="140">
        <v>44194</v>
      </c>
      <c r="S447" s="23" t="s">
        <v>2427</v>
      </c>
      <c r="T447" s="23" t="s">
        <v>12031</v>
      </c>
      <c r="U447" s="23" t="s">
        <v>12031</v>
      </c>
      <c r="V447" s="23" t="s">
        <v>299</v>
      </c>
      <c r="W447" s="23" t="s">
        <v>2428</v>
      </c>
      <c r="Y447" s="37">
        <v>5460</v>
      </c>
      <c r="AB447" s="23" t="s">
        <v>97</v>
      </c>
      <c r="AC447" s="23" t="s">
        <v>123</v>
      </c>
      <c r="AD447" s="118">
        <v>0</v>
      </c>
      <c r="AE447" s="118">
        <v>1</v>
      </c>
      <c r="AF447" s="27" t="s">
        <v>2670</v>
      </c>
      <c r="AG447" s="23" t="s">
        <v>2429</v>
      </c>
      <c r="AH447" s="39">
        <v>44200</v>
      </c>
      <c r="AJ447" s="75">
        <v>44207</v>
      </c>
      <c r="AL447" s="53">
        <f>AJ447+180</f>
        <v>44387</v>
      </c>
      <c r="AN447" s="53"/>
      <c r="AO447" s="53"/>
      <c r="AP447" s="53"/>
      <c r="AQ447" s="53"/>
      <c r="AR447" s="53"/>
    </row>
    <row r="448" spans="1:44" ht="32">
      <c r="A448" s="63" t="s">
        <v>2399</v>
      </c>
      <c r="B448" s="23" t="s">
        <v>2393</v>
      </c>
      <c r="C448" s="140">
        <v>44195</v>
      </c>
      <c r="D448" s="23" t="s">
        <v>729</v>
      </c>
      <c r="E448" s="23" t="s">
        <v>636</v>
      </c>
      <c r="F448" s="23" t="s">
        <v>1723</v>
      </c>
      <c r="G448" s="23" t="s">
        <v>1724</v>
      </c>
      <c r="Q448" s="140">
        <v>44202</v>
      </c>
      <c r="S448" s="23" t="s">
        <v>300</v>
      </c>
      <c r="T448" s="23" t="s">
        <v>363</v>
      </c>
      <c r="U448" s="23" t="s">
        <v>363</v>
      </c>
      <c r="V448" s="23" t="s">
        <v>298</v>
      </c>
      <c r="W448" s="23" t="s">
        <v>1716</v>
      </c>
      <c r="Y448" s="37">
        <v>5696</v>
      </c>
      <c r="AB448" s="23" t="s">
        <v>2405</v>
      </c>
      <c r="AC448" s="23" t="s">
        <v>1779</v>
      </c>
      <c r="AD448" s="118">
        <v>0</v>
      </c>
      <c r="AE448" s="118">
        <v>3</v>
      </c>
      <c r="AF448" s="29" t="s">
        <v>2531</v>
      </c>
      <c r="AG448" s="23" t="s">
        <v>1640</v>
      </c>
      <c r="AH448" s="39">
        <v>44202</v>
      </c>
    </row>
    <row r="449" spans="1:34">
      <c r="A449" s="69" t="s">
        <v>2400</v>
      </c>
      <c r="B449" s="23" t="s">
        <v>2394</v>
      </c>
      <c r="C449" s="140">
        <v>44198</v>
      </c>
      <c r="F449" s="23" t="s">
        <v>1723</v>
      </c>
      <c r="W449" s="23" t="s">
        <v>995</v>
      </c>
      <c r="Y449" s="37">
        <v>25900</v>
      </c>
      <c r="AB449" s="23" t="s">
        <v>2406</v>
      </c>
      <c r="AC449" s="23" t="s">
        <v>2395</v>
      </c>
      <c r="AD449" s="118"/>
      <c r="AE449" s="118"/>
      <c r="AG449" s="23" t="s">
        <v>1845</v>
      </c>
      <c r="AH449" s="39">
        <v>44202</v>
      </c>
    </row>
    <row r="450" spans="1:34">
      <c r="A450" s="69" t="s">
        <v>2401</v>
      </c>
      <c r="B450" s="23" t="s">
        <v>2390</v>
      </c>
      <c r="C450" s="140">
        <v>44193</v>
      </c>
      <c r="F450" s="23" t="s">
        <v>1723</v>
      </c>
      <c r="W450" s="23" t="s">
        <v>915</v>
      </c>
      <c r="Y450" s="37">
        <v>26486</v>
      </c>
      <c r="AB450" s="23" t="s">
        <v>2407</v>
      </c>
      <c r="AC450" s="23" t="s">
        <v>1575</v>
      </c>
      <c r="AD450" s="118"/>
      <c r="AE450" s="118"/>
      <c r="AG450" s="23" t="s">
        <v>1921</v>
      </c>
      <c r="AH450" s="39">
        <v>44202</v>
      </c>
    </row>
    <row r="451" spans="1:34" ht="32">
      <c r="A451" s="63" t="s">
        <v>2402</v>
      </c>
      <c r="B451" s="27" t="s">
        <v>2391</v>
      </c>
      <c r="C451" s="140">
        <v>44195</v>
      </c>
      <c r="D451" s="23" t="s">
        <v>729</v>
      </c>
      <c r="E451" s="23" t="s">
        <v>636</v>
      </c>
      <c r="F451" s="23" t="s">
        <v>1723</v>
      </c>
      <c r="G451" s="23" t="s">
        <v>1724</v>
      </c>
      <c r="Q451" s="140">
        <v>44202</v>
      </c>
      <c r="S451" s="23" t="s">
        <v>300</v>
      </c>
      <c r="T451" s="23" t="s">
        <v>363</v>
      </c>
      <c r="U451" s="23" t="s">
        <v>363</v>
      </c>
      <c r="V451" s="23" t="s">
        <v>298</v>
      </c>
      <c r="W451" s="23" t="s">
        <v>1822</v>
      </c>
      <c r="Y451" s="37">
        <v>5664</v>
      </c>
      <c r="AB451" s="23" t="s">
        <v>2408</v>
      </c>
      <c r="AC451" s="23" t="s">
        <v>1718</v>
      </c>
      <c r="AD451" s="118">
        <v>2</v>
      </c>
      <c r="AE451" s="118">
        <v>1</v>
      </c>
      <c r="AF451" s="29" t="s">
        <v>2532</v>
      </c>
      <c r="AG451" s="23" t="s">
        <v>1640</v>
      </c>
      <c r="AH451" s="39">
        <v>44202</v>
      </c>
    </row>
    <row r="452" spans="1:34">
      <c r="A452" s="69" t="s">
        <v>2403</v>
      </c>
      <c r="B452" s="23" t="s">
        <v>2389</v>
      </c>
      <c r="C452" s="140">
        <v>44198</v>
      </c>
      <c r="F452" s="23" t="s">
        <v>1723</v>
      </c>
      <c r="W452" s="23" t="s">
        <v>995</v>
      </c>
      <c r="Y452" s="37">
        <v>16450</v>
      </c>
      <c r="AB452" s="23" t="s">
        <v>2409</v>
      </c>
      <c r="AC452" s="23" t="s">
        <v>2392</v>
      </c>
      <c r="AD452" s="118"/>
      <c r="AE452" s="118"/>
      <c r="AG452" s="23" t="s">
        <v>1845</v>
      </c>
      <c r="AH452" s="39">
        <v>44202</v>
      </c>
    </row>
    <row r="453" spans="1:34">
      <c r="A453" s="69" t="s">
        <v>2404</v>
      </c>
      <c r="B453" s="23" t="s">
        <v>2396</v>
      </c>
      <c r="C453" s="140">
        <v>44198</v>
      </c>
      <c r="F453" s="23" t="s">
        <v>1723</v>
      </c>
      <c r="W453" s="23" t="s">
        <v>2397</v>
      </c>
      <c r="Y453" s="37">
        <v>5422.1</v>
      </c>
      <c r="AB453" s="23" t="s">
        <v>2410</v>
      </c>
      <c r="AC453" s="23" t="s">
        <v>2398</v>
      </c>
      <c r="AD453" s="118"/>
      <c r="AE453" s="118"/>
      <c r="AG453" s="23" t="s">
        <v>1845</v>
      </c>
      <c r="AH453" s="39">
        <v>44202</v>
      </c>
    </row>
    <row r="454" spans="1:34" ht="32">
      <c r="A454" s="63" t="s">
        <v>2411</v>
      </c>
      <c r="B454" s="23" t="s">
        <v>2412</v>
      </c>
      <c r="C454" s="140">
        <v>44171</v>
      </c>
      <c r="D454" s="23" t="s">
        <v>729</v>
      </c>
      <c r="E454" s="23" t="s">
        <v>752</v>
      </c>
      <c r="F454" s="23" t="s">
        <v>2969</v>
      </c>
      <c r="G454" s="23" t="s">
        <v>1724</v>
      </c>
      <c r="P454" s="23" t="s">
        <v>2413</v>
      </c>
      <c r="Q454" s="140">
        <v>44206</v>
      </c>
      <c r="S454" s="23" t="s">
        <v>2121</v>
      </c>
      <c r="T454" s="23" t="s">
        <v>12031</v>
      </c>
      <c r="U454" s="23" t="s">
        <v>12031</v>
      </c>
      <c r="V454" s="23" t="s">
        <v>298</v>
      </c>
      <c r="W454" s="23" t="s">
        <v>2414</v>
      </c>
      <c r="Y454" s="37">
        <v>2500</v>
      </c>
      <c r="AB454" s="23" t="s">
        <v>2415</v>
      </c>
      <c r="AC454" s="23" t="s">
        <v>131</v>
      </c>
      <c r="AD454" s="118">
        <v>2</v>
      </c>
      <c r="AE454" s="118">
        <v>0</v>
      </c>
      <c r="AF454" s="29" t="s">
        <v>2533</v>
      </c>
      <c r="AG454" s="23" t="s">
        <v>2416</v>
      </c>
      <c r="AH454" s="39">
        <v>44202</v>
      </c>
    </row>
    <row r="455" spans="1:34" ht="16">
      <c r="A455" s="69" t="s">
        <v>2417</v>
      </c>
      <c r="B455" s="51" t="s">
        <v>2418</v>
      </c>
      <c r="C455" s="140">
        <v>44171</v>
      </c>
      <c r="F455" s="23" t="s">
        <v>2969</v>
      </c>
      <c r="W455" s="23" t="s">
        <v>2419</v>
      </c>
      <c r="Y455" s="37">
        <v>2500</v>
      </c>
      <c r="AB455" s="23" t="s">
        <v>2420</v>
      </c>
      <c r="AC455" s="23" t="s">
        <v>131</v>
      </c>
      <c r="AD455" s="118"/>
      <c r="AE455" s="118"/>
      <c r="AG455" s="23" t="s">
        <v>2416</v>
      </c>
      <c r="AH455" s="39">
        <v>44202</v>
      </c>
    </row>
    <row r="456" spans="1:34" ht="80">
      <c r="A456" s="63" t="s">
        <v>2430</v>
      </c>
      <c r="B456" s="27" t="s">
        <v>2436</v>
      </c>
      <c r="C456" s="140">
        <v>44195</v>
      </c>
      <c r="D456" s="23" t="s">
        <v>729</v>
      </c>
      <c r="E456" s="23" t="s">
        <v>636</v>
      </c>
      <c r="F456" s="23" t="s">
        <v>1723</v>
      </c>
      <c r="G456" s="23" t="s">
        <v>1724</v>
      </c>
      <c r="Q456" s="140">
        <v>44203</v>
      </c>
      <c r="S456" s="23" t="s">
        <v>300</v>
      </c>
      <c r="T456" s="23" t="s">
        <v>363</v>
      </c>
      <c r="U456" s="23" t="s">
        <v>363</v>
      </c>
      <c r="V456" s="23" t="s">
        <v>298</v>
      </c>
      <c r="W456" s="23" t="s">
        <v>1716</v>
      </c>
      <c r="Y456" s="37">
        <v>5664</v>
      </c>
      <c r="AB456" s="23" t="s">
        <v>2437</v>
      </c>
      <c r="AC456" s="23" t="s">
        <v>1718</v>
      </c>
      <c r="AD456" s="118">
        <v>0</v>
      </c>
      <c r="AE456" s="118">
        <v>3</v>
      </c>
      <c r="AF456" s="29" t="s">
        <v>2782</v>
      </c>
      <c r="AG456" s="23" t="s">
        <v>1585</v>
      </c>
      <c r="AH456" s="39">
        <v>44203</v>
      </c>
    </row>
    <row r="457" spans="1:34">
      <c r="A457" s="69" t="s">
        <v>2431</v>
      </c>
      <c r="B457" s="23" t="s">
        <v>2438</v>
      </c>
      <c r="C457" s="140">
        <v>44198</v>
      </c>
      <c r="F457" s="23" t="s">
        <v>1723</v>
      </c>
      <c r="W457" s="23" t="s">
        <v>1716</v>
      </c>
      <c r="Y457" s="37">
        <v>5664</v>
      </c>
      <c r="AB457" s="23" t="s">
        <v>2439</v>
      </c>
      <c r="AC457" s="23" t="s">
        <v>1718</v>
      </c>
      <c r="AD457" s="118"/>
      <c r="AE457" s="118"/>
      <c r="AG457" s="23" t="s">
        <v>1640</v>
      </c>
      <c r="AH457" s="39">
        <v>44203</v>
      </c>
    </row>
    <row r="458" spans="1:34">
      <c r="A458" s="69" t="s">
        <v>2432</v>
      </c>
      <c r="B458" s="27" t="s">
        <v>2440</v>
      </c>
      <c r="C458" s="140">
        <v>44200</v>
      </c>
      <c r="F458" s="23" t="s">
        <v>1723</v>
      </c>
      <c r="W458" s="23" t="s">
        <v>995</v>
      </c>
      <c r="Y458" s="37">
        <v>25900</v>
      </c>
      <c r="AB458" s="23" t="s">
        <v>2441</v>
      </c>
      <c r="AC458" s="23" t="s">
        <v>2395</v>
      </c>
      <c r="AD458" s="118"/>
      <c r="AE458" s="118"/>
      <c r="AG458" s="23" t="s">
        <v>1845</v>
      </c>
      <c r="AH458" s="39">
        <v>44203</v>
      </c>
    </row>
    <row r="459" spans="1:34" ht="32">
      <c r="A459" s="63" t="s">
        <v>2433</v>
      </c>
      <c r="B459" s="23" t="s">
        <v>2442</v>
      </c>
      <c r="C459" s="140">
        <v>44195</v>
      </c>
      <c r="D459" s="23" t="s">
        <v>729</v>
      </c>
      <c r="E459" s="23" t="s">
        <v>636</v>
      </c>
      <c r="F459" s="23" t="s">
        <v>1723</v>
      </c>
      <c r="G459" s="23" t="s">
        <v>1724</v>
      </c>
      <c r="Q459" s="140">
        <v>44203</v>
      </c>
      <c r="S459" s="23" t="s">
        <v>300</v>
      </c>
      <c r="T459" s="23" t="s">
        <v>363</v>
      </c>
      <c r="U459" s="23" t="s">
        <v>363</v>
      </c>
      <c r="V459" s="23" t="s">
        <v>298</v>
      </c>
      <c r="W459" s="23" t="s">
        <v>2008</v>
      </c>
      <c r="Y459" s="37">
        <v>5700</v>
      </c>
      <c r="AB459" s="23" t="s">
        <v>2443</v>
      </c>
      <c r="AC459" s="23" t="s">
        <v>2444</v>
      </c>
      <c r="AD459" s="118">
        <v>0</v>
      </c>
      <c r="AE459" s="118">
        <v>3</v>
      </c>
      <c r="AF459" s="29" t="s">
        <v>2534</v>
      </c>
      <c r="AG459" s="23" t="s">
        <v>2011</v>
      </c>
      <c r="AH459" s="39">
        <v>44203</v>
      </c>
    </row>
    <row r="460" spans="1:34">
      <c r="A460" s="69" t="s">
        <v>2434</v>
      </c>
      <c r="B460" s="23" t="s">
        <v>2445</v>
      </c>
      <c r="C460" s="140">
        <v>44196</v>
      </c>
      <c r="F460" s="23" t="s">
        <v>1723</v>
      </c>
      <c r="W460" s="23" t="s">
        <v>915</v>
      </c>
      <c r="Y460" s="37">
        <v>26486</v>
      </c>
      <c r="AB460" s="23" t="s">
        <v>2446</v>
      </c>
      <c r="AC460" s="23" t="s">
        <v>1575</v>
      </c>
      <c r="AD460" s="118"/>
      <c r="AE460" s="118"/>
      <c r="AG460" s="23" t="s">
        <v>1921</v>
      </c>
      <c r="AH460" s="39">
        <v>44203</v>
      </c>
    </row>
    <row r="461" spans="1:34">
      <c r="A461" s="69" t="s">
        <v>2435</v>
      </c>
      <c r="B461" s="23" t="s">
        <v>2447</v>
      </c>
      <c r="C461" s="140">
        <v>44199</v>
      </c>
      <c r="F461" s="23" t="s">
        <v>1723</v>
      </c>
      <c r="W461" s="23" t="s">
        <v>2448</v>
      </c>
      <c r="Y461" s="37">
        <v>6812</v>
      </c>
      <c r="AB461" s="23" t="s">
        <v>2449</v>
      </c>
      <c r="AC461" s="23" t="s">
        <v>2450</v>
      </c>
      <c r="AD461" s="118"/>
      <c r="AE461" s="118"/>
      <c r="AG461" s="23" t="s">
        <v>1921</v>
      </c>
      <c r="AH461" s="39">
        <v>44203</v>
      </c>
    </row>
    <row r="462" spans="1:34" ht="32">
      <c r="A462" s="63" t="s">
        <v>2451</v>
      </c>
      <c r="B462" s="23" t="s">
        <v>2447</v>
      </c>
      <c r="C462" s="140">
        <v>44202</v>
      </c>
      <c r="D462" s="23" t="s">
        <v>729</v>
      </c>
      <c r="E462" s="23" t="s">
        <v>636</v>
      </c>
      <c r="F462" s="23" t="s">
        <v>1723</v>
      </c>
      <c r="G462" s="23" t="s">
        <v>1724</v>
      </c>
      <c r="Q462" s="140">
        <v>44204</v>
      </c>
      <c r="S462" s="23" t="s">
        <v>300</v>
      </c>
      <c r="T462" s="23" t="s">
        <v>363</v>
      </c>
      <c r="U462" s="23" t="s">
        <v>363</v>
      </c>
      <c r="V462" s="23" t="s">
        <v>298</v>
      </c>
      <c r="W462" s="23" t="s">
        <v>2452</v>
      </c>
      <c r="Y462" s="37">
        <v>3250</v>
      </c>
      <c r="AB462" s="23" t="s">
        <v>2453</v>
      </c>
      <c r="AC462" s="23" t="s">
        <v>2454</v>
      </c>
      <c r="AD462" s="118">
        <v>0</v>
      </c>
      <c r="AE462" s="118">
        <v>3</v>
      </c>
      <c r="AF462" s="29" t="s">
        <v>2535</v>
      </c>
      <c r="AG462" s="23" t="s">
        <v>1585</v>
      </c>
      <c r="AH462" s="39">
        <v>44203</v>
      </c>
    </row>
    <row r="463" spans="1:34">
      <c r="A463" s="69" t="s">
        <v>2455</v>
      </c>
      <c r="B463" s="23" t="s">
        <v>2456</v>
      </c>
      <c r="C463" s="140">
        <v>44202</v>
      </c>
      <c r="F463" s="23" t="s">
        <v>1723</v>
      </c>
      <c r="W463" s="23" t="s">
        <v>1865</v>
      </c>
      <c r="Y463" s="37">
        <v>5624</v>
      </c>
      <c r="AB463" s="23" t="s">
        <v>2457</v>
      </c>
      <c r="AC463" s="23" t="s">
        <v>2259</v>
      </c>
      <c r="AD463" s="118"/>
      <c r="AE463" s="118"/>
      <c r="AG463" s="23" t="s">
        <v>1585</v>
      </c>
      <c r="AH463" s="39">
        <v>44203</v>
      </c>
    </row>
    <row r="464" spans="1:34">
      <c r="A464" s="69" t="s">
        <v>2458</v>
      </c>
      <c r="B464" s="23" t="s">
        <v>2459</v>
      </c>
      <c r="C464" s="140">
        <v>44203</v>
      </c>
      <c r="F464" s="23" t="s">
        <v>1723</v>
      </c>
      <c r="W464" s="23" t="s">
        <v>1716</v>
      </c>
      <c r="Y464" s="37">
        <v>5680</v>
      </c>
      <c r="AB464" s="23" t="s">
        <v>2460</v>
      </c>
      <c r="AC464" s="23" t="s">
        <v>1824</v>
      </c>
      <c r="AD464" s="118"/>
      <c r="AE464" s="118"/>
      <c r="AG464" s="23" t="s">
        <v>1585</v>
      </c>
      <c r="AH464" s="39">
        <v>44203</v>
      </c>
    </row>
    <row r="465" spans="1:44" ht="32">
      <c r="A465" s="63" t="s">
        <v>2463</v>
      </c>
      <c r="B465" s="23" t="s">
        <v>2461</v>
      </c>
      <c r="C465" s="140">
        <v>44202</v>
      </c>
      <c r="D465" s="23" t="s">
        <v>729</v>
      </c>
      <c r="E465" s="23" t="s">
        <v>636</v>
      </c>
      <c r="F465" s="23" t="s">
        <v>1723</v>
      </c>
      <c r="G465" s="23" t="s">
        <v>1724</v>
      </c>
      <c r="Q465" s="140">
        <v>44204</v>
      </c>
      <c r="S465" s="23" t="s">
        <v>300</v>
      </c>
      <c r="T465" s="23" t="s">
        <v>363</v>
      </c>
      <c r="U465" s="23" t="s">
        <v>363</v>
      </c>
      <c r="V465" s="23" t="s">
        <v>298</v>
      </c>
      <c r="W465" s="23" t="s">
        <v>1865</v>
      </c>
      <c r="Y465" s="37">
        <v>5624</v>
      </c>
      <c r="AB465" s="23" t="s">
        <v>2462</v>
      </c>
      <c r="AC465" s="23" t="s">
        <v>2259</v>
      </c>
      <c r="AD465" s="118">
        <v>0</v>
      </c>
      <c r="AE465" s="118">
        <v>1</v>
      </c>
      <c r="AF465" s="29" t="s">
        <v>2536</v>
      </c>
      <c r="AG465" s="23" t="s">
        <v>1585</v>
      </c>
      <c r="AH465" s="39">
        <v>44203</v>
      </c>
    </row>
    <row r="466" spans="1:44" ht="96">
      <c r="A466" s="108" t="s">
        <v>2464</v>
      </c>
      <c r="B466" s="27">
        <v>710107</v>
      </c>
      <c r="C466" s="140">
        <v>44189</v>
      </c>
      <c r="D466" s="23" t="s">
        <v>729</v>
      </c>
      <c r="E466" s="23" t="s">
        <v>752</v>
      </c>
      <c r="F466" s="23" t="s">
        <v>2944</v>
      </c>
      <c r="G466" s="23" t="s">
        <v>1989</v>
      </c>
      <c r="H466" s="23" t="s">
        <v>2512</v>
      </c>
      <c r="I466" s="23" t="s">
        <v>2512</v>
      </c>
      <c r="J466" s="140">
        <v>44173</v>
      </c>
      <c r="S466" s="23" t="s">
        <v>1694</v>
      </c>
      <c r="T466" s="23" t="s">
        <v>12031</v>
      </c>
      <c r="U466" s="23" t="s">
        <v>12031</v>
      </c>
      <c r="V466" s="23" t="s">
        <v>299</v>
      </c>
      <c r="W466" s="23" t="s">
        <v>2513</v>
      </c>
      <c r="Y466" s="37">
        <v>4000</v>
      </c>
      <c r="AB466" s="23" t="s">
        <v>97</v>
      </c>
      <c r="AC466" s="23" t="s">
        <v>123</v>
      </c>
      <c r="AD466" s="118">
        <v>0</v>
      </c>
      <c r="AE466" s="118" t="s">
        <v>97</v>
      </c>
      <c r="AF466" s="29" t="s">
        <v>2810</v>
      </c>
      <c r="AG466" s="23" t="s">
        <v>2514</v>
      </c>
      <c r="AH466" s="39">
        <v>44203</v>
      </c>
      <c r="AJ466" s="75">
        <v>44211</v>
      </c>
      <c r="AL466" s="53" t="s">
        <v>2845</v>
      </c>
      <c r="AN466" s="53"/>
      <c r="AO466" s="53"/>
      <c r="AP466" s="53"/>
      <c r="AQ466" s="53"/>
      <c r="AR466" s="53"/>
    </row>
    <row r="467" spans="1:44">
      <c r="A467" s="63" t="s">
        <v>2465</v>
      </c>
      <c r="B467" s="23">
        <v>597241</v>
      </c>
      <c r="C467" s="140">
        <v>44189</v>
      </c>
      <c r="F467" s="23" t="s">
        <v>2944</v>
      </c>
      <c r="W467" s="23" t="s">
        <v>2515</v>
      </c>
      <c r="Y467" s="37">
        <v>4000</v>
      </c>
      <c r="AB467" s="23" t="s">
        <v>97</v>
      </c>
      <c r="AC467" s="23" t="s">
        <v>123</v>
      </c>
      <c r="AD467" s="118"/>
      <c r="AE467" s="118"/>
      <c r="AG467" s="23" t="s">
        <v>2514</v>
      </c>
      <c r="AH467" s="39">
        <v>44203</v>
      </c>
      <c r="AJ467" s="75">
        <v>44211</v>
      </c>
      <c r="AL467" s="53">
        <f>AJ467+180</f>
        <v>44391</v>
      </c>
      <c r="AN467" s="53"/>
      <c r="AO467" s="53"/>
      <c r="AP467" s="53"/>
      <c r="AQ467" s="53"/>
      <c r="AR467" s="53"/>
    </row>
    <row r="468" spans="1:44">
      <c r="A468" s="63" t="s">
        <v>2466</v>
      </c>
      <c r="B468" s="23">
        <v>579263</v>
      </c>
      <c r="C468" s="140">
        <v>44189</v>
      </c>
      <c r="F468" s="23" t="s">
        <v>2944</v>
      </c>
      <c r="W468" s="23" t="s">
        <v>2515</v>
      </c>
      <c r="Y468" s="37">
        <v>4000</v>
      </c>
      <c r="AB468" s="23" t="s">
        <v>97</v>
      </c>
      <c r="AC468" s="23" t="s">
        <v>123</v>
      </c>
      <c r="AD468" s="118"/>
      <c r="AE468" s="118"/>
      <c r="AG468" s="23" t="s">
        <v>2514</v>
      </c>
      <c r="AH468" s="39">
        <v>44203</v>
      </c>
      <c r="AJ468" s="75">
        <v>44211</v>
      </c>
      <c r="AL468" s="53">
        <f>AJ468+180</f>
        <v>44391</v>
      </c>
      <c r="AN468" s="53"/>
      <c r="AO468" s="53"/>
      <c r="AP468" s="53"/>
      <c r="AQ468" s="53"/>
      <c r="AR468" s="53"/>
    </row>
    <row r="469" spans="1:44" ht="32">
      <c r="A469" s="63" t="s">
        <v>2467</v>
      </c>
      <c r="B469" s="27" t="s">
        <v>2516</v>
      </c>
      <c r="C469" s="140">
        <v>44189</v>
      </c>
      <c r="F469" s="23" t="s">
        <v>2944</v>
      </c>
      <c r="W469" s="19" t="s">
        <v>2517</v>
      </c>
      <c r="Y469" s="37">
        <v>4000</v>
      </c>
      <c r="AB469" s="23" t="s">
        <v>97</v>
      </c>
      <c r="AC469" s="23" t="s">
        <v>123</v>
      </c>
      <c r="AD469" s="118"/>
      <c r="AE469" s="118"/>
      <c r="AG469" s="23" t="s">
        <v>2514</v>
      </c>
      <c r="AH469" s="39">
        <v>44203</v>
      </c>
      <c r="AJ469" s="75">
        <v>44211</v>
      </c>
      <c r="AL469" s="53">
        <f>AJ469+180</f>
        <v>44391</v>
      </c>
      <c r="AN469" s="53"/>
      <c r="AO469" s="53"/>
      <c r="AP469" s="53"/>
      <c r="AQ469" s="53"/>
      <c r="AR469" s="53"/>
    </row>
    <row r="470" spans="1:44">
      <c r="A470" s="63" t="s">
        <v>2468</v>
      </c>
      <c r="B470" s="23">
        <v>21739</v>
      </c>
      <c r="C470" s="140">
        <v>44189</v>
      </c>
      <c r="F470" s="23" t="s">
        <v>2944</v>
      </c>
      <c r="W470" s="23" t="s">
        <v>2518</v>
      </c>
      <c r="Y470" s="37">
        <v>4000</v>
      </c>
      <c r="AB470" s="23" t="s">
        <v>97</v>
      </c>
      <c r="AC470" s="23" t="s">
        <v>123</v>
      </c>
      <c r="AD470" s="118"/>
      <c r="AE470" s="118"/>
      <c r="AG470" s="23" t="s">
        <v>2514</v>
      </c>
      <c r="AH470" s="39">
        <v>44203</v>
      </c>
      <c r="AJ470" s="75">
        <v>44211</v>
      </c>
      <c r="AL470" s="53">
        <f>AJ470+180</f>
        <v>44391</v>
      </c>
      <c r="AN470" s="53"/>
      <c r="AO470" s="53"/>
      <c r="AP470" s="53"/>
      <c r="AQ470" s="53"/>
      <c r="AR470" s="53"/>
    </row>
    <row r="471" spans="1:44">
      <c r="A471" s="63" t="s">
        <v>2469</v>
      </c>
      <c r="B471" s="23">
        <v>403910</v>
      </c>
      <c r="C471" s="140">
        <v>44204</v>
      </c>
      <c r="F471" s="23" t="s">
        <v>2944</v>
      </c>
      <c r="W471" s="23" t="s">
        <v>2515</v>
      </c>
      <c r="Y471" s="37">
        <v>2000</v>
      </c>
      <c r="AB471" s="23" t="s">
        <v>97</v>
      </c>
      <c r="AC471" s="23" t="s">
        <v>2519</v>
      </c>
      <c r="AD471" s="118"/>
      <c r="AE471" s="118"/>
      <c r="AG471" s="23" t="s">
        <v>2514</v>
      </c>
      <c r="AH471" s="39">
        <v>44203</v>
      </c>
      <c r="AJ471" s="75">
        <v>44211</v>
      </c>
      <c r="AL471" s="53">
        <f>AJ471+180</f>
        <v>44391</v>
      </c>
      <c r="AN471" s="53"/>
      <c r="AO471" s="53"/>
      <c r="AP471" s="53"/>
      <c r="AQ471" s="53"/>
      <c r="AR471" s="53"/>
    </row>
    <row r="472" spans="1:44" ht="80">
      <c r="A472" s="63" t="s">
        <v>2470</v>
      </c>
      <c r="B472" s="27" t="s">
        <v>2477</v>
      </c>
      <c r="C472" s="140">
        <v>44202</v>
      </c>
      <c r="D472" s="23" t="s">
        <v>729</v>
      </c>
      <c r="E472" s="23" t="s">
        <v>636</v>
      </c>
      <c r="F472" s="23" t="s">
        <v>1723</v>
      </c>
      <c r="G472" s="23" t="s">
        <v>1724</v>
      </c>
      <c r="Q472" s="140">
        <v>44208</v>
      </c>
      <c r="S472" s="23" t="s">
        <v>300</v>
      </c>
      <c r="T472" s="23" t="s">
        <v>363</v>
      </c>
      <c r="U472" s="23" t="s">
        <v>363</v>
      </c>
      <c r="V472" s="23" t="s">
        <v>298</v>
      </c>
      <c r="W472" s="23" t="s">
        <v>995</v>
      </c>
      <c r="Y472" s="37">
        <v>25900</v>
      </c>
      <c r="AB472" s="23" t="s">
        <v>2478</v>
      </c>
      <c r="AC472" s="23" t="s">
        <v>2395</v>
      </c>
      <c r="AD472" s="118">
        <v>0</v>
      </c>
      <c r="AE472" s="118">
        <v>4</v>
      </c>
      <c r="AF472" s="29" t="s">
        <v>2781</v>
      </c>
      <c r="AG472" s="23" t="s">
        <v>1845</v>
      </c>
      <c r="AH472" s="39">
        <v>44208</v>
      </c>
    </row>
    <row r="473" spans="1:44">
      <c r="A473" s="63" t="s">
        <v>2471</v>
      </c>
      <c r="B473" s="23" t="s">
        <v>2479</v>
      </c>
      <c r="C473" s="140">
        <v>44203</v>
      </c>
      <c r="F473" s="23" t="s">
        <v>1723</v>
      </c>
      <c r="W473" s="23" t="s">
        <v>915</v>
      </c>
      <c r="Y473" s="37">
        <v>26486</v>
      </c>
      <c r="AB473" s="23" t="s">
        <v>2480</v>
      </c>
      <c r="AC473" s="23" t="s">
        <v>1575</v>
      </c>
      <c r="AD473" s="118"/>
      <c r="AE473" s="118"/>
      <c r="AG473" s="23" t="s">
        <v>1921</v>
      </c>
      <c r="AH473" s="39">
        <v>44208</v>
      </c>
    </row>
    <row r="474" spans="1:44">
      <c r="A474" s="63" t="s">
        <v>2472</v>
      </c>
      <c r="B474" s="23" t="s">
        <v>2481</v>
      </c>
      <c r="C474" s="140">
        <v>44204</v>
      </c>
      <c r="F474" s="23" t="s">
        <v>1723</v>
      </c>
      <c r="W474" s="23" t="s">
        <v>2452</v>
      </c>
      <c r="Y474" s="37">
        <v>3237</v>
      </c>
      <c r="AB474" s="23" t="s">
        <v>2482</v>
      </c>
      <c r="AC474" s="23" t="s">
        <v>2483</v>
      </c>
      <c r="AD474" s="118"/>
      <c r="AE474" s="118"/>
      <c r="AG474" s="23" t="s">
        <v>1585</v>
      </c>
      <c r="AH474" s="39">
        <v>44208</v>
      </c>
    </row>
    <row r="475" spans="1:44">
      <c r="A475" s="63" t="s">
        <v>2473</v>
      </c>
      <c r="B475" s="23" t="s">
        <v>2484</v>
      </c>
      <c r="C475" s="140">
        <v>44205</v>
      </c>
      <c r="F475" s="23" t="s">
        <v>1723</v>
      </c>
      <c r="W475" s="23" t="s">
        <v>1716</v>
      </c>
      <c r="Y475" s="37">
        <v>5664</v>
      </c>
      <c r="AB475" s="23" t="s">
        <v>2485</v>
      </c>
      <c r="AC475" s="23" t="s">
        <v>1718</v>
      </c>
      <c r="AD475" s="118"/>
      <c r="AE475" s="118"/>
      <c r="AF475" s="29"/>
      <c r="AG475" s="23" t="s">
        <v>1585</v>
      </c>
      <c r="AH475" s="39">
        <v>44208</v>
      </c>
    </row>
    <row r="476" spans="1:44" ht="32">
      <c r="A476" s="63" t="s">
        <v>2474</v>
      </c>
      <c r="B476" s="27" t="s">
        <v>2486</v>
      </c>
      <c r="C476" s="140">
        <v>44204</v>
      </c>
      <c r="D476" s="23" t="s">
        <v>729</v>
      </c>
      <c r="E476" s="23" t="s">
        <v>636</v>
      </c>
      <c r="F476" s="23" t="s">
        <v>1723</v>
      </c>
      <c r="G476" s="23" t="s">
        <v>1724</v>
      </c>
      <c r="Q476" s="140">
        <v>44208</v>
      </c>
      <c r="S476" s="23" t="s">
        <v>300</v>
      </c>
      <c r="T476" s="23" t="s">
        <v>363</v>
      </c>
      <c r="U476" s="23" t="s">
        <v>363</v>
      </c>
      <c r="V476" s="23" t="s">
        <v>298</v>
      </c>
      <c r="W476" s="23" t="s">
        <v>995</v>
      </c>
      <c r="Y476" s="37">
        <v>26250</v>
      </c>
      <c r="AB476" s="23" t="s">
        <v>2487</v>
      </c>
      <c r="AC476" s="23" t="s">
        <v>2488</v>
      </c>
      <c r="AD476" s="118">
        <v>0</v>
      </c>
      <c r="AE476" s="118">
        <v>3</v>
      </c>
      <c r="AF476" s="29" t="s">
        <v>2537</v>
      </c>
      <c r="AG476" s="23" t="s">
        <v>2489</v>
      </c>
      <c r="AH476" s="39">
        <v>44208</v>
      </c>
    </row>
    <row r="477" spans="1:44">
      <c r="A477" s="63" t="s">
        <v>2475</v>
      </c>
      <c r="B477" s="27" t="s">
        <v>2490</v>
      </c>
      <c r="C477" s="140">
        <v>44204</v>
      </c>
      <c r="F477" s="23" t="s">
        <v>1723</v>
      </c>
      <c r="W477" s="23" t="s">
        <v>1716</v>
      </c>
      <c r="Y477" s="37">
        <v>5670</v>
      </c>
      <c r="AB477" s="23" t="s">
        <v>2491</v>
      </c>
      <c r="AC477" s="23" t="s">
        <v>2492</v>
      </c>
      <c r="AD477" s="118"/>
      <c r="AE477" s="118"/>
      <c r="AG477" s="23" t="s">
        <v>637</v>
      </c>
      <c r="AH477" s="39">
        <v>44208</v>
      </c>
    </row>
    <row r="478" spans="1:44">
      <c r="A478" s="63" t="s">
        <v>2476</v>
      </c>
      <c r="B478" s="27" t="s">
        <v>2493</v>
      </c>
      <c r="C478" s="140">
        <v>44204</v>
      </c>
      <c r="F478" s="23" t="s">
        <v>1723</v>
      </c>
      <c r="W478" s="23" t="s">
        <v>1716</v>
      </c>
      <c r="Y478" s="37">
        <v>5670</v>
      </c>
      <c r="AB478" s="23" t="s">
        <v>2494</v>
      </c>
      <c r="AC478" s="23" t="s">
        <v>2492</v>
      </c>
      <c r="AD478" s="118"/>
      <c r="AE478" s="118"/>
      <c r="AG478" s="23" t="s">
        <v>637</v>
      </c>
      <c r="AH478" s="39">
        <v>44208</v>
      </c>
    </row>
    <row r="479" spans="1:44" ht="32">
      <c r="A479" s="63" t="s">
        <v>2495</v>
      </c>
      <c r="B479" s="23" t="s">
        <v>2496</v>
      </c>
      <c r="C479" s="140">
        <v>44206</v>
      </c>
      <c r="D479" s="23" t="s">
        <v>729</v>
      </c>
      <c r="E479" s="23" t="s">
        <v>636</v>
      </c>
      <c r="F479" s="23" t="s">
        <v>1723</v>
      </c>
      <c r="G479" s="23" t="s">
        <v>1724</v>
      </c>
      <c r="Q479" s="140">
        <v>44209</v>
      </c>
      <c r="S479" s="23" t="s">
        <v>300</v>
      </c>
      <c r="T479" s="23" t="s">
        <v>363</v>
      </c>
      <c r="U479" s="23" t="s">
        <v>363</v>
      </c>
      <c r="V479" s="23" t="s">
        <v>298</v>
      </c>
      <c r="W479" s="23" t="s">
        <v>995</v>
      </c>
      <c r="Y479" s="37" t="s">
        <v>2497</v>
      </c>
      <c r="AB479" s="23" t="s">
        <v>2498</v>
      </c>
      <c r="AC479" s="23" t="s">
        <v>2499</v>
      </c>
      <c r="AD479" s="118">
        <v>0</v>
      </c>
      <c r="AE479" s="118">
        <v>2</v>
      </c>
      <c r="AF479" s="29" t="s">
        <v>2538</v>
      </c>
      <c r="AG479" s="23" t="s">
        <v>2489</v>
      </c>
      <c r="AH479" s="39">
        <v>44208</v>
      </c>
    </row>
    <row r="480" spans="1:44">
      <c r="A480" s="63" t="s">
        <v>2500</v>
      </c>
      <c r="B480" s="23" t="s">
        <v>2501</v>
      </c>
      <c r="C480" s="140">
        <v>44207</v>
      </c>
      <c r="F480" s="23" t="s">
        <v>1723</v>
      </c>
      <c r="W480" s="23" t="s">
        <v>2103</v>
      </c>
      <c r="Y480" s="37">
        <v>13200</v>
      </c>
      <c r="AB480" s="23" t="s">
        <v>2502</v>
      </c>
      <c r="AC480" s="23" t="s">
        <v>2105</v>
      </c>
      <c r="AD480" s="118"/>
      <c r="AE480" s="118"/>
      <c r="AG480" s="23" t="s">
        <v>1585</v>
      </c>
      <c r="AH480" s="39">
        <v>44208</v>
      </c>
    </row>
    <row r="481" spans="1:34" ht="32">
      <c r="A481" s="63" t="s">
        <v>2503</v>
      </c>
      <c r="B481" s="23" t="s">
        <v>2504</v>
      </c>
      <c r="C481" s="140">
        <v>44205</v>
      </c>
      <c r="D481" s="23" t="s">
        <v>729</v>
      </c>
      <c r="E481" s="23" t="s">
        <v>636</v>
      </c>
      <c r="F481" s="23" t="s">
        <v>1723</v>
      </c>
      <c r="G481" s="23" t="s">
        <v>1724</v>
      </c>
      <c r="Q481" s="140">
        <v>44209</v>
      </c>
      <c r="S481" s="23" t="s">
        <v>300</v>
      </c>
      <c r="T481" s="23" t="s">
        <v>363</v>
      </c>
      <c r="U481" s="23" t="s">
        <v>363</v>
      </c>
      <c r="V481" s="23" t="s">
        <v>298</v>
      </c>
      <c r="W481" s="23" t="s">
        <v>2505</v>
      </c>
      <c r="Y481" s="37">
        <v>23800</v>
      </c>
      <c r="AB481" s="23" t="s">
        <v>2506</v>
      </c>
      <c r="AC481" s="23" t="s">
        <v>2507</v>
      </c>
      <c r="AD481" s="118">
        <v>0</v>
      </c>
      <c r="AE481" s="118">
        <v>1</v>
      </c>
      <c r="AF481" s="29" t="s">
        <v>2539</v>
      </c>
      <c r="AG481" s="23" t="s">
        <v>1585</v>
      </c>
      <c r="AH481" s="39">
        <v>44209</v>
      </c>
    </row>
    <row r="482" spans="1:34" ht="80">
      <c r="A482" s="70" t="s">
        <v>2508</v>
      </c>
      <c r="B482" s="23" t="s">
        <v>2520</v>
      </c>
      <c r="C482" s="140">
        <v>44197</v>
      </c>
      <c r="D482" s="23" t="s">
        <v>729</v>
      </c>
      <c r="E482" s="23" t="s">
        <v>752</v>
      </c>
      <c r="F482" s="23" t="s">
        <v>2521</v>
      </c>
      <c r="G482" s="23" t="s">
        <v>2522</v>
      </c>
      <c r="H482" s="23" t="s">
        <v>2523</v>
      </c>
      <c r="I482" s="23" t="s">
        <v>2523</v>
      </c>
      <c r="J482" s="140">
        <v>44193</v>
      </c>
      <c r="S482" s="23" t="s">
        <v>2524</v>
      </c>
      <c r="T482" s="23" t="s">
        <v>305</v>
      </c>
      <c r="U482" s="23" t="s">
        <v>305</v>
      </c>
      <c r="W482" s="19" t="s">
        <v>2525</v>
      </c>
      <c r="X482" s="23">
        <v>796</v>
      </c>
      <c r="Y482" s="37">
        <v>984</v>
      </c>
      <c r="AB482" s="23" t="s">
        <v>2526</v>
      </c>
      <c r="AC482" s="23" t="s">
        <v>123</v>
      </c>
      <c r="AD482" s="118">
        <v>1</v>
      </c>
      <c r="AE482" s="118">
        <v>0</v>
      </c>
      <c r="AF482" s="29" t="s">
        <v>2843</v>
      </c>
      <c r="AG482" s="23" t="s">
        <v>2527</v>
      </c>
      <c r="AH482" s="39">
        <v>44209</v>
      </c>
    </row>
    <row r="483" spans="1:34" ht="32">
      <c r="A483" s="63" t="s">
        <v>2509</v>
      </c>
      <c r="B483" s="23" t="s">
        <v>2510</v>
      </c>
      <c r="C483" s="140">
        <v>44208</v>
      </c>
      <c r="D483" s="23" t="s">
        <v>729</v>
      </c>
      <c r="E483" s="23" t="s">
        <v>636</v>
      </c>
      <c r="F483" s="23" t="s">
        <v>1723</v>
      </c>
      <c r="G483" s="23" t="s">
        <v>1724</v>
      </c>
      <c r="Q483" s="140">
        <v>44209</v>
      </c>
      <c r="S483" s="23" t="s">
        <v>300</v>
      </c>
      <c r="T483" s="23" t="s">
        <v>363</v>
      </c>
      <c r="U483" s="23" t="s">
        <v>363</v>
      </c>
      <c r="V483" s="23" t="s">
        <v>298</v>
      </c>
      <c r="W483" s="23" t="s">
        <v>2103</v>
      </c>
      <c r="Y483" s="37">
        <v>13100</v>
      </c>
      <c r="AB483" s="23" t="s">
        <v>2511</v>
      </c>
      <c r="AC483" s="23" t="s">
        <v>2333</v>
      </c>
      <c r="AD483" s="118">
        <v>0</v>
      </c>
      <c r="AE483" s="118">
        <v>1</v>
      </c>
      <c r="AF483" s="29" t="s">
        <v>2759</v>
      </c>
      <c r="AG483" s="23" t="s">
        <v>1585</v>
      </c>
      <c r="AH483" s="39">
        <v>44209</v>
      </c>
    </row>
    <row r="484" spans="1:34" ht="32">
      <c r="A484" s="63" t="s">
        <v>2543</v>
      </c>
      <c r="B484" s="23" t="s">
        <v>2545</v>
      </c>
      <c r="C484" s="140">
        <v>44209</v>
      </c>
      <c r="D484" s="23" t="s">
        <v>729</v>
      </c>
      <c r="E484" s="23" t="s">
        <v>636</v>
      </c>
      <c r="F484" s="23" t="s">
        <v>1723</v>
      </c>
      <c r="G484" s="23" t="s">
        <v>1724</v>
      </c>
      <c r="Q484" s="140">
        <v>44211</v>
      </c>
      <c r="S484" s="23" t="s">
        <v>300</v>
      </c>
      <c r="T484" s="23" t="s">
        <v>363</v>
      </c>
      <c r="U484" s="23" t="s">
        <v>363</v>
      </c>
      <c r="V484" s="23" t="s">
        <v>298</v>
      </c>
      <c r="W484" s="23" t="s">
        <v>2103</v>
      </c>
      <c r="Y484" s="37">
        <v>12400</v>
      </c>
      <c r="AB484" s="23" t="s">
        <v>2546</v>
      </c>
      <c r="AC484" s="23" t="s">
        <v>2547</v>
      </c>
      <c r="AD484" s="118">
        <v>0</v>
      </c>
      <c r="AE484" s="118">
        <v>2</v>
      </c>
      <c r="AF484" s="29" t="s">
        <v>2760</v>
      </c>
      <c r="AG484" s="23" t="s">
        <v>1585</v>
      </c>
      <c r="AH484" s="39">
        <v>44211</v>
      </c>
    </row>
    <row r="485" spans="1:34">
      <c r="A485" s="63" t="s">
        <v>2544</v>
      </c>
      <c r="B485" s="23" t="s">
        <v>2548</v>
      </c>
      <c r="C485" s="140">
        <v>44209</v>
      </c>
      <c r="F485" s="23" t="s">
        <v>1723</v>
      </c>
      <c r="W485" s="23" t="s">
        <v>1716</v>
      </c>
      <c r="Y485" s="37">
        <v>5664</v>
      </c>
      <c r="AB485" s="23" t="s">
        <v>2549</v>
      </c>
      <c r="AC485" s="23" t="s">
        <v>1718</v>
      </c>
      <c r="AD485" s="118"/>
      <c r="AE485" s="118"/>
      <c r="AG485" s="23" t="s">
        <v>1585</v>
      </c>
      <c r="AH485" s="39">
        <v>44211</v>
      </c>
    </row>
    <row r="486" spans="1:34" ht="32">
      <c r="A486" s="63" t="s">
        <v>2550</v>
      </c>
      <c r="B486" s="23" t="s">
        <v>2552</v>
      </c>
      <c r="C486" s="140">
        <v>44211</v>
      </c>
      <c r="D486" s="23" t="s">
        <v>729</v>
      </c>
      <c r="E486" s="23" t="s">
        <v>636</v>
      </c>
      <c r="F486" s="23" t="s">
        <v>1723</v>
      </c>
      <c r="G486" s="23" t="s">
        <v>1724</v>
      </c>
      <c r="Q486" s="140">
        <v>44212</v>
      </c>
      <c r="S486" s="23" t="s">
        <v>300</v>
      </c>
      <c r="T486" s="23" t="s">
        <v>363</v>
      </c>
      <c r="U486" s="23" t="s">
        <v>363</v>
      </c>
      <c r="V486" s="23" t="s">
        <v>298</v>
      </c>
      <c r="W486" s="23" t="s">
        <v>2280</v>
      </c>
      <c r="Y486" s="37">
        <v>8930</v>
      </c>
      <c r="AB486" s="23" t="s">
        <v>2553</v>
      </c>
      <c r="AC486" s="23" t="s">
        <v>1029</v>
      </c>
      <c r="AD486" s="118">
        <v>1</v>
      </c>
      <c r="AE486" s="118">
        <v>1</v>
      </c>
      <c r="AF486" s="29" t="s">
        <v>2761</v>
      </c>
      <c r="AG486" s="23" t="s">
        <v>1585</v>
      </c>
      <c r="AH486" s="39">
        <v>44211</v>
      </c>
    </row>
    <row r="487" spans="1:34">
      <c r="A487" s="63" t="s">
        <v>2551</v>
      </c>
      <c r="B487" s="23" t="s">
        <v>2554</v>
      </c>
      <c r="C487" s="140">
        <v>44207</v>
      </c>
      <c r="F487" s="23" t="s">
        <v>1723</v>
      </c>
      <c r="W487" s="23" t="s">
        <v>995</v>
      </c>
      <c r="Y487" s="37">
        <v>16450</v>
      </c>
      <c r="AB487" s="23" t="s">
        <v>2555</v>
      </c>
      <c r="AC487" s="23" t="s">
        <v>2556</v>
      </c>
      <c r="AD487" s="118"/>
      <c r="AE487" s="118"/>
      <c r="AG487" s="23" t="s">
        <v>1845</v>
      </c>
      <c r="AH487" s="39">
        <v>44211</v>
      </c>
    </row>
    <row r="488" spans="1:34" ht="32">
      <c r="A488" s="63" t="s">
        <v>2557</v>
      </c>
      <c r="B488" s="23" t="s">
        <v>2564</v>
      </c>
      <c r="C488" s="140">
        <v>44207</v>
      </c>
      <c r="D488" s="23" t="s">
        <v>729</v>
      </c>
      <c r="E488" s="23" t="s">
        <v>636</v>
      </c>
      <c r="F488" s="23" t="s">
        <v>1723</v>
      </c>
      <c r="G488" s="23" t="s">
        <v>1724</v>
      </c>
      <c r="Q488" s="140">
        <v>44214</v>
      </c>
      <c r="S488" s="23" t="s">
        <v>300</v>
      </c>
      <c r="T488" s="23" t="s">
        <v>363</v>
      </c>
      <c r="U488" s="23" t="s">
        <v>363</v>
      </c>
      <c r="V488" s="23" t="s">
        <v>298</v>
      </c>
      <c r="W488" s="23" t="s">
        <v>1822</v>
      </c>
      <c r="Y488" s="37">
        <v>5664</v>
      </c>
      <c r="AB488" s="23" t="s">
        <v>2565</v>
      </c>
      <c r="AC488" s="23" t="s">
        <v>1718</v>
      </c>
      <c r="AD488" s="118">
        <v>0</v>
      </c>
      <c r="AE488" s="118">
        <v>4</v>
      </c>
      <c r="AF488" s="29" t="s">
        <v>2762</v>
      </c>
      <c r="AG488" s="23" t="s">
        <v>1640</v>
      </c>
      <c r="AH488" s="39">
        <v>44214</v>
      </c>
    </row>
    <row r="489" spans="1:34" ht="96">
      <c r="A489" s="63" t="s">
        <v>2558</v>
      </c>
      <c r="B489" s="23" t="s">
        <v>2566</v>
      </c>
      <c r="C489" s="140">
        <v>44208</v>
      </c>
      <c r="F489" s="23" t="s">
        <v>1723</v>
      </c>
      <c r="W489" s="23" t="s">
        <v>1822</v>
      </c>
      <c r="Y489" s="37">
        <v>11328</v>
      </c>
      <c r="AB489" s="19" t="s">
        <v>2567</v>
      </c>
      <c r="AC489" s="23" t="s">
        <v>2568</v>
      </c>
      <c r="AD489" s="118"/>
      <c r="AE489" s="118"/>
      <c r="AG489" s="23" t="s">
        <v>1640</v>
      </c>
      <c r="AH489" s="39">
        <v>44214</v>
      </c>
    </row>
    <row r="490" spans="1:34">
      <c r="A490" s="63" t="s">
        <v>2559</v>
      </c>
      <c r="B490" s="23" t="s">
        <v>2569</v>
      </c>
      <c r="C490" s="140">
        <v>44209</v>
      </c>
      <c r="F490" s="23" t="s">
        <v>1723</v>
      </c>
      <c r="W490" s="23" t="s">
        <v>915</v>
      </c>
      <c r="Y490" s="37">
        <v>26486</v>
      </c>
      <c r="AB490" s="23" t="s">
        <v>2570</v>
      </c>
      <c r="AC490" s="23" t="s">
        <v>1575</v>
      </c>
      <c r="AD490" s="118"/>
      <c r="AE490" s="118"/>
      <c r="AG490" s="23" t="s">
        <v>1921</v>
      </c>
      <c r="AH490" s="39">
        <v>44214</v>
      </c>
    </row>
    <row r="491" spans="1:34" ht="96">
      <c r="A491" s="63" t="s">
        <v>2560</v>
      </c>
      <c r="B491" s="27" t="s">
        <v>2571</v>
      </c>
      <c r="C491" s="140">
        <v>44208</v>
      </c>
      <c r="D491" s="23" t="s">
        <v>729</v>
      </c>
      <c r="E491" s="23" t="s">
        <v>636</v>
      </c>
      <c r="F491" s="23" t="s">
        <v>1723</v>
      </c>
      <c r="G491" s="23" t="s">
        <v>1724</v>
      </c>
      <c r="Q491" s="140">
        <v>44214</v>
      </c>
      <c r="S491" s="23" t="s">
        <v>300</v>
      </c>
      <c r="T491" s="23" t="s">
        <v>363</v>
      </c>
      <c r="U491" s="23" t="s">
        <v>363</v>
      </c>
      <c r="V491" s="23" t="s">
        <v>298</v>
      </c>
      <c r="W491" s="23" t="s">
        <v>995</v>
      </c>
      <c r="Y491" s="37">
        <v>51800</v>
      </c>
      <c r="AB491" s="19" t="s">
        <v>2572</v>
      </c>
      <c r="AC491" s="23" t="s">
        <v>2573</v>
      </c>
      <c r="AD491" s="118">
        <v>0</v>
      </c>
      <c r="AE491" s="118">
        <v>3</v>
      </c>
      <c r="AF491" s="29" t="s">
        <v>2763</v>
      </c>
      <c r="AG491" s="23" t="s">
        <v>1845</v>
      </c>
      <c r="AH491" s="39">
        <v>44214</v>
      </c>
    </row>
    <row r="492" spans="1:34">
      <c r="A492" s="63" t="s">
        <v>2561</v>
      </c>
      <c r="B492" s="23" t="s">
        <v>2574</v>
      </c>
      <c r="C492" s="140">
        <v>44208</v>
      </c>
      <c r="F492" s="23" t="s">
        <v>1723</v>
      </c>
      <c r="W492" s="23" t="s">
        <v>1139</v>
      </c>
      <c r="Y492" s="37">
        <v>25000</v>
      </c>
      <c r="AB492" s="23" t="s">
        <v>2575</v>
      </c>
      <c r="AC492" s="23" t="s">
        <v>1473</v>
      </c>
      <c r="AD492" s="118"/>
      <c r="AE492" s="118"/>
      <c r="AG492" s="23" t="s">
        <v>1845</v>
      </c>
      <c r="AH492" s="39">
        <v>44214</v>
      </c>
    </row>
    <row r="493" spans="1:34" ht="32">
      <c r="A493" s="63" t="s">
        <v>2562</v>
      </c>
      <c r="B493" s="23" t="s">
        <v>2576</v>
      </c>
      <c r="C493" s="140">
        <v>44212</v>
      </c>
      <c r="D493" s="23" t="s">
        <v>729</v>
      </c>
      <c r="E493" s="23" t="s">
        <v>636</v>
      </c>
      <c r="F493" s="23" t="s">
        <v>1723</v>
      </c>
      <c r="G493" s="23" t="s">
        <v>1724</v>
      </c>
      <c r="Q493" s="140">
        <v>44214</v>
      </c>
      <c r="S493" s="23" t="s">
        <v>300</v>
      </c>
      <c r="T493" s="23" t="s">
        <v>363</v>
      </c>
      <c r="U493" s="23" t="s">
        <v>363</v>
      </c>
      <c r="V493" s="23" t="s">
        <v>298</v>
      </c>
      <c r="W493" s="23" t="s">
        <v>2577</v>
      </c>
      <c r="Y493" s="37">
        <v>5664</v>
      </c>
      <c r="AB493" s="23" t="s">
        <v>2578</v>
      </c>
      <c r="AC493" s="23" t="s">
        <v>2579</v>
      </c>
      <c r="AD493" s="118">
        <v>0</v>
      </c>
      <c r="AE493" s="118">
        <v>2</v>
      </c>
      <c r="AF493" s="29" t="s">
        <v>2764</v>
      </c>
      <c r="AG493" s="23" t="s">
        <v>1585</v>
      </c>
      <c r="AH493" s="39">
        <v>44214</v>
      </c>
    </row>
    <row r="494" spans="1:34">
      <c r="A494" s="63" t="s">
        <v>2563</v>
      </c>
      <c r="B494" s="23" t="s">
        <v>2580</v>
      </c>
      <c r="C494" s="140">
        <v>44212</v>
      </c>
      <c r="F494" s="23" t="s">
        <v>1723</v>
      </c>
      <c r="W494" s="23" t="s">
        <v>2280</v>
      </c>
      <c r="Y494" s="37">
        <v>9690</v>
      </c>
      <c r="AB494" s="23" t="s">
        <v>2581</v>
      </c>
      <c r="AC494" s="23" t="s">
        <v>2282</v>
      </c>
      <c r="AD494" s="118"/>
      <c r="AE494" s="118"/>
      <c r="AG494" s="23" t="s">
        <v>1585</v>
      </c>
      <c r="AH494" s="39">
        <v>44214</v>
      </c>
    </row>
    <row r="495" spans="1:34" ht="48">
      <c r="A495" s="72" t="s">
        <v>2582</v>
      </c>
      <c r="B495" s="23">
        <v>205675926</v>
      </c>
      <c r="C495" s="140">
        <v>44155</v>
      </c>
      <c r="D495" s="23" t="s">
        <v>729</v>
      </c>
      <c r="E495" s="23" t="s">
        <v>636</v>
      </c>
      <c r="F495" s="23" t="s">
        <v>2969</v>
      </c>
      <c r="G495" s="23" t="s">
        <v>1724</v>
      </c>
      <c r="P495" s="23" t="s">
        <v>2586</v>
      </c>
      <c r="Q495" s="140">
        <v>44213</v>
      </c>
      <c r="S495" s="23" t="s">
        <v>319</v>
      </c>
      <c r="T495" s="23" t="s">
        <v>12031</v>
      </c>
      <c r="U495" s="23" t="s">
        <v>12031</v>
      </c>
      <c r="V495" s="23" t="s">
        <v>298</v>
      </c>
      <c r="W495" s="19" t="s">
        <v>2587</v>
      </c>
      <c r="Y495" s="37">
        <v>4630</v>
      </c>
      <c r="AB495" s="23" t="s">
        <v>2583</v>
      </c>
      <c r="AC495" s="23" t="s">
        <v>2584</v>
      </c>
      <c r="AD495" s="118">
        <v>0</v>
      </c>
      <c r="AE495" s="118">
        <v>1</v>
      </c>
      <c r="AF495" s="29" t="s">
        <v>2765</v>
      </c>
      <c r="AG495" s="23" t="s">
        <v>2585</v>
      </c>
      <c r="AH495" s="39">
        <v>44214</v>
      </c>
    </row>
    <row r="496" spans="1:34" ht="32">
      <c r="A496" s="63" t="s">
        <v>2588</v>
      </c>
      <c r="B496" s="23" t="s">
        <v>2589</v>
      </c>
      <c r="C496" s="140">
        <v>44213</v>
      </c>
      <c r="D496" s="23" t="s">
        <v>729</v>
      </c>
      <c r="E496" s="23" t="s">
        <v>636</v>
      </c>
      <c r="F496" s="23" t="s">
        <v>1723</v>
      </c>
      <c r="G496" s="23" t="s">
        <v>1724</v>
      </c>
      <c r="Q496" s="140">
        <v>44215</v>
      </c>
      <c r="S496" s="23" t="s">
        <v>300</v>
      </c>
      <c r="T496" s="23" t="s">
        <v>363</v>
      </c>
      <c r="U496" s="23" t="s">
        <v>363</v>
      </c>
      <c r="V496" s="23" t="s">
        <v>298</v>
      </c>
      <c r="W496" s="23" t="s">
        <v>2103</v>
      </c>
      <c r="Y496" s="37">
        <v>13200</v>
      </c>
      <c r="AB496" s="23" t="s">
        <v>2590</v>
      </c>
      <c r="AC496" s="23" t="s">
        <v>2105</v>
      </c>
      <c r="AD496" s="118">
        <v>0</v>
      </c>
      <c r="AE496" s="118">
        <v>1</v>
      </c>
      <c r="AF496" s="29" t="s">
        <v>2766</v>
      </c>
      <c r="AG496" s="23" t="s">
        <v>1585</v>
      </c>
      <c r="AH496" s="39">
        <v>44215</v>
      </c>
    </row>
    <row r="497" spans="1:39">
      <c r="A497" s="72" t="s">
        <v>2591</v>
      </c>
      <c r="B497" s="23" t="s">
        <v>2592</v>
      </c>
      <c r="C497" s="140">
        <v>44212</v>
      </c>
      <c r="D497" s="23" t="s">
        <v>729</v>
      </c>
      <c r="E497" s="23" t="s">
        <v>752</v>
      </c>
      <c r="F497" s="23" t="s">
        <v>57</v>
      </c>
      <c r="G497" s="23" t="s">
        <v>2131</v>
      </c>
      <c r="H497" s="23" t="s">
        <v>2593</v>
      </c>
      <c r="I497" s="23" t="s">
        <v>2593</v>
      </c>
      <c r="J497" s="140">
        <v>44205</v>
      </c>
      <c r="P497" s="23" t="s">
        <v>2594</v>
      </c>
      <c r="Q497" s="140">
        <v>44214</v>
      </c>
      <c r="S497" s="23" t="s">
        <v>184</v>
      </c>
      <c r="T497" s="23" t="s">
        <v>302</v>
      </c>
      <c r="U497" s="23" t="s">
        <v>302</v>
      </c>
      <c r="V497" s="23" t="s">
        <v>233</v>
      </c>
      <c r="W497" s="23" t="s">
        <v>2595</v>
      </c>
      <c r="X497" s="23">
        <v>9580</v>
      </c>
      <c r="Y497" s="37">
        <v>9723</v>
      </c>
      <c r="Z497" s="23">
        <v>23531.5</v>
      </c>
      <c r="AA497" s="23">
        <v>22053.16</v>
      </c>
      <c r="AB497" s="23" t="s">
        <v>1688</v>
      </c>
      <c r="AC497" s="23" t="s">
        <v>799</v>
      </c>
      <c r="AD497" s="118">
        <v>0</v>
      </c>
      <c r="AE497" s="118">
        <v>1</v>
      </c>
      <c r="AF497" s="29"/>
      <c r="AG497" s="23" t="s">
        <v>787</v>
      </c>
      <c r="AH497" s="39">
        <v>44216</v>
      </c>
      <c r="AJ497" s="75" t="s">
        <v>5349</v>
      </c>
      <c r="AL497" s="23" t="s">
        <v>5350</v>
      </c>
      <c r="AM497" s="102">
        <v>44218</v>
      </c>
    </row>
    <row r="498" spans="1:39">
      <c r="A498" s="71" t="s">
        <v>2596</v>
      </c>
      <c r="B498" s="23" t="s">
        <v>2846</v>
      </c>
      <c r="C498" s="140">
        <v>44214</v>
      </c>
      <c r="D498" s="23" t="s">
        <v>729</v>
      </c>
      <c r="E498" s="23" t="s">
        <v>2598</v>
      </c>
      <c r="F498" s="23" t="s">
        <v>2926</v>
      </c>
      <c r="G498" s="23" t="s">
        <v>2165</v>
      </c>
      <c r="H498" s="23" t="s">
        <v>2599</v>
      </c>
      <c r="I498" s="23" t="s">
        <v>2599</v>
      </c>
      <c r="J498" s="140">
        <v>44206</v>
      </c>
      <c r="S498" s="23" t="s">
        <v>2600</v>
      </c>
      <c r="T498" s="23" t="s">
        <v>303</v>
      </c>
      <c r="U498" s="23" t="s">
        <v>303</v>
      </c>
      <c r="V498" s="23" t="s">
        <v>299</v>
      </c>
      <c r="W498" s="23" t="s">
        <v>129</v>
      </c>
      <c r="Y498" s="37">
        <v>2660</v>
      </c>
      <c r="AB498" s="23" t="s">
        <v>97</v>
      </c>
      <c r="AC498" s="23" t="s">
        <v>131</v>
      </c>
      <c r="AD498" s="118">
        <v>0</v>
      </c>
      <c r="AE498" s="118">
        <v>0</v>
      </c>
      <c r="AF498" s="27" t="s">
        <v>2669</v>
      </c>
      <c r="AH498" s="39">
        <v>44216</v>
      </c>
      <c r="AL498" s="23" t="s">
        <v>2845</v>
      </c>
    </row>
    <row r="499" spans="1:39">
      <c r="A499" s="72" t="s">
        <v>2597</v>
      </c>
      <c r="B499" s="23" t="s">
        <v>2601</v>
      </c>
      <c r="C499" s="140">
        <v>44187</v>
      </c>
      <c r="D499" s="23" t="s">
        <v>729</v>
      </c>
      <c r="E499" s="23" t="s">
        <v>752</v>
      </c>
      <c r="F499" s="23" t="s">
        <v>2944</v>
      </c>
      <c r="G499" s="23" t="s">
        <v>1989</v>
      </c>
      <c r="H499" s="23" t="s">
        <v>2602</v>
      </c>
      <c r="I499" s="23" t="s">
        <v>2602</v>
      </c>
      <c r="J499" s="140">
        <v>44180</v>
      </c>
      <c r="S499" s="23" t="s">
        <v>2603</v>
      </c>
      <c r="T499" s="23" t="s">
        <v>12031</v>
      </c>
      <c r="U499" s="23" t="s">
        <v>12031</v>
      </c>
      <c r="V499" s="23" t="s">
        <v>299</v>
      </c>
      <c r="W499" s="23" t="s">
        <v>2604</v>
      </c>
      <c r="Y499" s="37" t="s">
        <v>2605</v>
      </c>
      <c r="AB499" s="23" t="s">
        <v>2606</v>
      </c>
      <c r="AC499" s="23" t="s">
        <v>131</v>
      </c>
      <c r="AD499" s="118">
        <v>0</v>
      </c>
      <c r="AE499" s="118">
        <v>1</v>
      </c>
      <c r="AF499" s="27" t="s">
        <v>2811</v>
      </c>
      <c r="AH499" s="39">
        <v>44216</v>
      </c>
    </row>
    <row r="500" spans="1:39" ht="32">
      <c r="A500" s="63" t="s">
        <v>2607</v>
      </c>
      <c r="B500" s="27" t="s">
        <v>2614</v>
      </c>
      <c r="C500" s="140">
        <v>44214</v>
      </c>
      <c r="D500" s="23" t="s">
        <v>729</v>
      </c>
      <c r="E500" s="23" t="s">
        <v>636</v>
      </c>
      <c r="F500" s="23" t="s">
        <v>1723</v>
      </c>
      <c r="G500" s="23" t="s">
        <v>1724</v>
      </c>
      <c r="Q500" s="140">
        <v>44218</v>
      </c>
      <c r="S500" s="23" t="s">
        <v>300</v>
      </c>
      <c r="T500" s="23" t="s">
        <v>363</v>
      </c>
      <c r="U500" s="23" t="s">
        <v>363</v>
      </c>
      <c r="V500" s="23" t="s">
        <v>298</v>
      </c>
      <c r="W500" s="23" t="s">
        <v>915</v>
      </c>
      <c r="Y500" s="37">
        <v>26486</v>
      </c>
      <c r="AB500" s="23" t="s">
        <v>2627</v>
      </c>
      <c r="AC500" s="23" t="s">
        <v>1575</v>
      </c>
      <c r="AD500" s="118">
        <v>1</v>
      </c>
      <c r="AE500" s="118">
        <v>2</v>
      </c>
      <c r="AF500" s="29" t="s">
        <v>2767</v>
      </c>
      <c r="AG500" s="23" t="s">
        <v>1921</v>
      </c>
      <c r="AH500" s="39">
        <v>44217</v>
      </c>
    </row>
    <row r="501" spans="1:39">
      <c r="A501" s="63" t="s">
        <v>2608</v>
      </c>
      <c r="B501" s="23" t="s">
        <v>2615</v>
      </c>
      <c r="C501" s="140">
        <v>44211</v>
      </c>
      <c r="F501" s="23" t="s">
        <v>1723</v>
      </c>
      <c r="W501" s="23" t="s">
        <v>1822</v>
      </c>
      <c r="Y501" s="37">
        <v>5664</v>
      </c>
      <c r="AB501" s="23" t="s">
        <v>2628</v>
      </c>
      <c r="AC501" s="23" t="s">
        <v>1718</v>
      </c>
      <c r="AD501" s="118"/>
      <c r="AE501" s="118"/>
      <c r="AG501" s="23" t="s">
        <v>1640</v>
      </c>
      <c r="AH501" s="39">
        <v>44217</v>
      </c>
    </row>
    <row r="502" spans="1:39">
      <c r="A502" s="63" t="s">
        <v>2609</v>
      </c>
      <c r="B502" s="23" t="s">
        <v>2616</v>
      </c>
      <c r="C502" s="140">
        <v>44211</v>
      </c>
      <c r="F502" s="23" t="s">
        <v>1723</v>
      </c>
      <c r="W502" s="23" t="s">
        <v>2397</v>
      </c>
      <c r="Y502" s="37">
        <v>5422.1</v>
      </c>
      <c r="AB502" s="23" t="s">
        <v>2629</v>
      </c>
      <c r="AC502" s="23" t="s">
        <v>2398</v>
      </c>
      <c r="AD502" s="118"/>
      <c r="AE502" s="118"/>
      <c r="AG502" s="23" t="s">
        <v>1845</v>
      </c>
      <c r="AH502" s="39">
        <v>44217</v>
      </c>
    </row>
    <row r="503" spans="1:39" ht="32">
      <c r="A503" s="63" t="s">
        <v>2610</v>
      </c>
      <c r="B503" s="23" t="s">
        <v>2617</v>
      </c>
      <c r="C503" s="140">
        <v>44212</v>
      </c>
      <c r="D503" s="23" t="s">
        <v>729</v>
      </c>
      <c r="E503" s="23" t="s">
        <v>636</v>
      </c>
      <c r="F503" s="23" t="s">
        <v>1723</v>
      </c>
      <c r="G503" s="23" t="s">
        <v>1724</v>
      </c>
      <c r="Q503" s="140">
        <v>44218</v>
      </c>
      <c r="S503" s="23" t="s">
        <v>300</v>
      </c>
      <c r="T503" s="23" t="s">
        <v>363</v>
      </c>
      <c r="U503" s="23" t="s">
        <v>363</v>
      </c>
      <c r="V503" s="23" t="s">
        <v>298</v>
      </c>
      <c r="W503" s="23" t="s">
        <v>995</v>
      </c>
      <c r="Y503" s="37">
        <v>25900</v>
      </c>
      <c r="AB503" s="23" t="s">
        <v>2625</v>
      </c>
      <c r="AC503" s="23" t="s">
        <v>2395</v>
      </c>
      <c r="AD503" s="118">
        <v>0</v>
      </c>
      <c r="AE503" s="118">
        <v>2</v>
      </c>
      <c r="AF503" s="29" t="s">
        <v>2768</v>
      </c>
      <c r="AG503" s="23" t="s">
        <v>1921</v>
      </c>
      <c r="AH503" s="39">
        <v>44217</v>
      </c>
    </row>
    <row r="504" spans="1:39">
      <c r="A504" s="63" t="s">
        <v>2611</v>
      </c>
      <c r="B504" s="23" t="s">
        <v>2618</v>
      </c>
      <c r="C504" s="140">
        <v>44212</v>
      </c>
      <c r="F504" s="23" t="s">
        <v>1723</v>
      </c>
      <c r="W504" s="23" t="s">
        <v>995</v>
      </c>
      <c r="Y504" s="37">
        <v>25375</v>
      </c>
      <c r="AB504" s="23" t="s">
        <v>2626</v>
      </c>
      <c r="AC504" s="23" t="s">
        <v>2619</v>
      </c>
      <c r="AD504" s="118"/>
      <c r="AE504" s="118"/>
      <c r="AG504" s="23" t="s">
        <v>1921</v>
      </c>
      <c r="AH504" s="39">
        <v>44217</v>
      </c>
    </row>
    <row r="505" spans="1:39" ht="32">
      <c r="A505" s="63" t="s">
        <v>2612</v>
      </c>
      <c r="B505" s="23" t="s">
        <v>2620</v>
      </c>
      <c r="C505" s="140">
        <v>44215</v>
      </c>
      <c r="D505" s="23" t="s">
        <v>729</v>
      </c>
      <c r="E505" s="23" t="s">
        <v>636</v>
      </c>
      <c r="F505" s="23" t="s">
        <v>1723</v>
      </c>
      <c r="G505" s="23" t="s">
        <v>1724</v>
      </c>
      <c r="Q505" s="140">
        <v>44218</v>
      </c>
      <c r="S505" s="23" t="s">
        <v>300</v>
      </c>
      <c r="T505" s="23" t="s">
        <v>363</v>
      </c>
      <c r="U505" s="23" t="s">
        <v>363</v>
      </c>
      <c r="V505" s="23" t="s">
        <v>298</v>
      </c>
      <c r="W505" s="23" t="s">
        <v>2103</v>
      </c>
      <c r="Y505" s="37">
        <v>13100</v>
      </c>
      <c r="AB505" s="23" t="s">
        <v>2630</v>
      </c>
      <c r="AC505" s="23" t="s">
        <v>2333</v>
      </c>
      <c r="AD505" s="118">
        <v>0</v>
      </c>
      <c r="AE505" s="118">
        <v>2</v>
      </c>
      <c r="AF505" s="29" t="s">
        <v>2769</v>
      </c>
      <c r="AG505" s="23" t="s">
        <v>1585</v>
      </c>
      <c r="AH505" s="39">
        <v>44217</v>
      </c>
    </row>
    <row r="506" spans="1:39">
      <c r="A506" s="63" t="s">
        <v>2613</v>
      </c>
      <c r="B506" s="23" t="s">
        <v>2621</v>
      </c>
      <c r="C506" s="140">
        <v>44215</v>
      </c>
      <c r="F506" s="23" t="s">
        <v>1723</v>
      </c>
      <c r="W506" s="23" t="s">
        <v>2280</v>
      </c>
      <c r="Y506" s="37">
        <v>8740</v>
      </c>
      <c r="AB506" s="23" t="s">
        <v>2631</v>
      </c>
      <c r="AC506" s="23" t="s">
        <v>1013</v>
      </c>
      <c r="AD506" s="118"/>
      <c r="AE506" s="118"/>
      <c r="AG506" s="23" t="s">
        <v>1585</v>
      </c>
      <c r="AH506" s="39">
        <v>44217</v>
      </c>
    </row>
    <row r="507" spans="1:39" ht="32">
      <c r="A507" s="63" t="s">
        <v>2622</v>
      </c>
      <c r="B507" s="23" t="s">
        <v>2623</v>
      </c>
      <c r="C507" s="140">
        <v>44216</v>
      </c>
      <c r="D507" s="23" t="s">
        <v>729</v>
      </c>
      <c r="E507" s="23" t="s">
        <v>636</v>
      </c>
      <c r="F507" s="23" t="s">
        <v>1723</v>
      </c>
      <c r="G507" s="23" t="s">
        <v>1724</v>
      </c>
      <c r="Q507" s="140">
        <v>44219</v>
      </c>
      <c r="S507" s="23" t="s">
        <v>300</v>
      </c>
      <c r="T507" s="23" t="s">
        <v>363</v>
      </c>
      <c r="U507" s="23" t="s">
        <v>363</v>
      </c>
      <c r="V507" s="23" t="s">
        <v>298</v>
      </c>
      <c r="W507" s="23" t="s">
        <v>2103</v>
      </c>
      <c r="Y507" s="37">
        <v>13100</v>
      </c>
      <c r="AB507" s="23" t="s">
        <v>2624</v>
      </c>
      <c r="AC507" s="23" t="s">
        <v>2333</v>
      </c>
      <c r="AD507" s="118">
        <v>0</v>
      </c>
      <c r="AE507" s="118">
        <v>1</v>
      </c>
      <c r="AF507" s="29" t="s">
        <v>2770</v>
      </c>
      <c r="AG507" s="23" t="s">
        <v>1585</v>
      </c>
      <c r="AH507" s="39">
        <v>44218</v>
      </c>
    </row>
    <row r="508" spans="1:39">
      <c r="A508" s="70" t="s">
        <v>2632</v>
      </c>
      <c r="B508" s="23" t="s">
        <v>2633</v>
      </c>
      <c r="C508" s="140">
        <v>44209</v>
      </c>
      <c r="D508" s="23" t="s">
        <v>729</v>
      </c>
      <c r="E508" s="23" t="s">
        <v>752</v>
      </c>
      <c r="F508" s="23" t="s">
        <v>57</v>
      </c>
      <c r="G508" s="23" t="s">
        <v>57</v>
      </c>
      <c r="H508" s="23" t="s">
        <v>2634</v>
      </c>
      <c r="I508" s="23" t="s">
        <v>2634</v>
      </c>
      <c r="J508" s="140">
        <v>44203</v>
      </c>
      <c r="K508" s="23" t="s">
        <v>3322</v>
      </c>
      <c r="L508" s="140">
        <v>44215</v>
      </c>
      <c r="P508" s="23" t="s">
        <v>2635</v>
      </c>
      <c r="Q508" s="140">
        <v>44217</v>
      </c>
      <c r="S508" s="23" t="s">
        <v>183</v>
      </c>
      <c r="T508" s="23" t="s">
        <v>305</v>
      </c>
      <c r="U508" s="23" t="s">
        <v>305</v>
      </c>
      <c r="V508" s="23" t="s">
        <v>233</v>
      </c>
      <c r="W508" s="23" t="s">
        <v>143</v>
      </c>
      <c r="X508" s="23">
        <v>63262.8</v>
      </c>
      <c r="Y508" s="37">
        <v>63680.4</v>
      </c>
      <c r="Z508" s="23">
        <v>56500.88</v>
      </c>
      <c r="AA508" s="23">
        <v>52672.88</v>
      </c>
      <c r="AB508" s="23" t="s">
        <v>2636</v>
      </c>
      <c r="AC508" s="23" t="s">
        <v>2637</v>
      </c>
      <c r="AD508" s="118">
        <v>0</v>
      </c>
      <c r="AE508" s="118">
        <v>4</v>
      </c>
      <c r="AG508" s="23" t="s">
        <v>792</v>
      </c>
      <c r="AH508" s="39">
        <v>44218</v>
      </c>
    </row>
    <row r="509" spans="1:39" ht="32">
      <c r="A509" s="63" t="s">
        <v>2638</v>
      </c>
      <c r="B509" s="23" t="s">
        <v>2639</v>
      </c>
      <c r="C509" s="140">
        <v>44215</v>
      </c>
      <c r="D509" s="23" t="s">
        <v>729</v>
      </c>
      <c r="E509" s="23" t="s">
        <v>636</v>
      </c>
      <c r="F509" s="23" t="s">
        <v>1723</v>
      </c>
      <c r="G509" s="23" t="s">
        <v>1724</v>
      </c>
      <c r="Q509" s="140">
        <v>44218</v>
      </c>
      <c r="S509" s="23" t="s">
        <v>300</v>
      </c>
      <c r="T509" s="23" t="s">
        <v>363</v>
      </c>
      <c r="U509" s="23" t="s">
        <v>363</v>
      </c>
      <c r="V509" s="23" t="s">
        <v>298</v>
      </c>
      <c r="W509" s="23" t="s">
        <v>2577</v>
      </c>
      <c r="Y509" s="37">
        <v>5676</v>
      </c>
      <c r="AB509" s="23" t="s">
        <v>2640</v>
      </c>
      <c r="AC509" s="23" t="s">
        <v>2641</v>
      </c>
      <c r="AD509" s="118">
        <v>0</v>
      </c>
      <c r="AE509" s="118">
        <v>1</v>
      </c>
      <c r="AF509" s="29" t="s">
        <v>2771</v>
      </c>
      <c r="AG509" s="23" t="s">
        <v>1585</v>
      </c>
      <c r="AH509" s="39">
        <v>44218</v>
      </c>
    </row>
    <row r="510" spans="1:39">
      <c r="A510" s="71" t="s">
        <v>2642</v>
      </c>
      <c r="B510" s="23" t="s">
        <v>2941</v>
      </c>
      <c r="C510" s="140">
        <v>44218</v>
      </c>
      <c r="D510" s="23" t="s">
        <v>729</v>
      </c>
      <c r="E510" s="23" t="s">
        <v>2735</v>
      </c>
      <c r="F510" s="23" t="s">
        <v>2926</v>
      </c>
      <c r="G510" s="23" t="s">
        <v>2165</v>
      </c>
      <c r="S510" s="23" t="s">
        <v>2600</v>
      </c>
      <c r="T510" s="23" t="s">
        <v>303</v>
      </c>
      <c r="U510" s="23" t="s">
        <v>303</v>
      </c>
      <c r="V510" s="23" t="s">
        <v>299</v>
      </c>
      <c r="W510" s="23" t="s">
        <v>2643</v>
      </c>
      <c r="Y510" s="37">
        <v>2560</v>
      </c>
      <c r="AB510" s="23" t="s">
        <v>97</v>
      </c>
      <c r="AC510" s="23" t="s">
        <v>131</v>
      </c>
      <c r="AD510" s="118">
        <v>0</v>
      </c>
      <c r="AE510" s="118">
        <v>1</v>
      </c>
      <c r="AF510" s="27" t="s">
        <v>2812</v>
      </c>
      <c r="AG510" s="23" t="s">
        <v>2644</v>
      </c>
      <c r="AH510" s="39">
        <v>44220</v>
      </c>
      <c r="AL510" s="23" t="s">
        <v>2845</v>
      </c>
    </row>
    <row r="511" spans="1:39" ht="32">
      <c r="A511" s="72" t="s">
        <v>2645</v>
      </c>
      <c r="B511" s="23" t="s">
        <v>2650</v>
      </c>
      <c r="C511" s="140">
        <v>44183</v>
      </c>
      <c r="D511" s="23" t="s">
        <v>729</v>
      </c>
      <c r="E511" s="23" t="s">
        <v>752</v>
      </c>
      <c r="F511" s="23" t="s">
        <v>2969</v>
      </c>
      <c r="G511" s="23" t="s">
        <v>1724</v>
      </c>
      <c r="P511" s="23" t="s">
        <v>2671</v>
      </c>
      <c r="Q511" s="140">
        <v>44222</v>
      </c>
      <c r="S511" s="23" t="s">
        <v>2651</v>
      </c>
      <c r="T511" s="23" t="s">
        <v>12031</v>
      </c>
      <c r="U511" s="23" t="s">
        <v>12031</v>
      </c>
      <c r="V511" s="23" t="s">
        <v>298</v>
      </c>
      <c r="W511" s="23" t="s">
        <v>2676</v>
      </c>
      <c r="Y511" s="37">
        <v>2000</v>
      </c>
      <c r="AB511" s="23" t="s">
        <v>2674</v>
      </c>
      <c r="AC511" s="23" t="s">
        <v>131</v>
      </c>
      <c r="AD511" s="118">
        <v>3</v>
      </c>
      <c r="AE511" s="118">
        <v>0</v>
      </c>
      <c r="AF511" s="29" t="s">
        <v>2772</v>
      </c>
      <c r="AG511" s="23" t="s">
        <v>2652</v>
      </c>
      <c r="AH511" s="39">
        <v>44221</v>
      </c>
    </row>
    <row r="512" spans="1:39">
      <c r="A512" s="72" t="s">
        <v>2646</v>
      </c>
      <c r="B512" s="23" t="s">
        <v>2653</v>
      </c>
      <c r="C512" s="140">
        <v>44183</v>
      </c>
      <c r="F512" s="23" t="s">
        <v>2969</v>
      </c>
      <c r="G512" s="23" t="s">
        <v>1724</v>
      </c>
      <c r="W512" s="23" t="s">
        <v>2675</v>
      </c>
      <c r="Y512" s="37">
        <v>1800</v>
      </c>
      <c r="AB512" s="23" t="s">
        <v>2672</v>
      </c>
      <c r="AC512" s="23" t="s">
        <v>131</v>
      </c>
      <c r="AD512" s="118"/>
      <c r="AE512" s="118"/>
      <c r="AG512" s="23" t="s">
        <v>2652</v>
      </c>
      <c r="AH512" s="39">
        <v>44221</v>
      </c>
    </row>
    <row r="513" spans="1:44">
      <c r="A513" s="72" t="s">
        <v>2647</v>
      </c>
      <c r="B513" s="23" t="s">
        <v>2654</v>
      </c>
      <c r="C513" s="140">
        <v>44183</v>
      </c>
      <c r="F513" s="23" t="s">
        <v>2969</v>
      </c>
      <c r="G513" s="23" t="s">
        <v>1724</v>
      </c>
      <c r="W513" s="23" t="s">
        <v>2655</v>
      </c>
      <c r="Y513" s="37">
        <v>1800</v>
      </c>
      <c r="AB513" s="23" t="s">
        <v>2673</v>
      </c>
      <c r="AC513" s="23" t="s">
        <v>131</v>
      </c>
      <c r="AD513" s="118"/>
      <c r="AE513" s="118"/>
      <c r="AG513" s="23" t="s">
        <v>2652</v>
      </c>
      <c r="AH513" s="39">
        <v>44221</v>
      </c>
    </row>
    <row r="514" spans="1:44" ht="32">
      <c r="A514" s="63" t="s">
        <v>2648</v>
      </c>
      <c r="B514" s="23" t="s">
        <v>2656</v>
      </c>
      <c r="C514" s="140">
        <v>44219</v>
      </c>
      <c r="D514" s="23" t="s">
        <v>729</v>
      </c>
      <c r="E514" s="23" t="s">
        <v>636</v>
      </c>
      <c r="F514" s="23" t="s">
        <v>1723</v>
      </c>
      <c r="G514" s="23" t="s">
        <v>1724</v>
      </c>
      <c r="Q514" s="140">
        <v>44221</v>
      </c>
      <c r="S514" s="23" t="s">
        <v>300</v>
      </c>
      <c r="T514" s="23" t="s">
        <v>363</v>
      </c>
      <c r="U514" s="23" t="s">
        <v>363</v>
      </c>
      <c r="V514" s="23" t="s">
        <v>298</v>
      </c>
      <c r="W514" s="23" t="s">
        <v>2280</v>
      </c>
      <c r="Y514" s="37">
        <v>8740</v>
      </c>
      <c r="AB514" s="23" t="s">
        <v>2657</v>
      </c>
      <c r="AC514" s="23" t="s">
        <v>2658</v>
      </c>
      <c r="AD514" s="118">
        <v>0</v>
      </c>
      <c r="AE514" s="118">
        <v>2</v>
      </c>
      <c r="AF514" s="29" t="s">
        <v>2773</v>
      </c>
      <c r="AG514" s="23" t="s">
        <v>1585</v>
      </c>
      <c r="AH514" s="39">
        <v>44221</v>
      </c>
    </row>
    <row r="515" spans="1:44">
      <c r="A515" s="63" t="s">
        <v>2649</v>
      </c>
      <c r="B515" s="23" t="s">
        <v>2659</v>
      </c>
      <c r="C515" s="140">
        <v>44219</v>
      </c>
      <c r="F515" s="23" t="s">
        <v>1723</v>
      </c>
      <c r="W515" s="23" t="s">
        <v>1716</v>
      </c>
      <c r="Y515" s="37">
        <v>5664</v>
      </c>
      <c r="AB515" s="23" t="s">
        <v>2660</v>
      </c>
      <c r="AC515" s="23" t="s">
        <v>1718</v>
      </c>
      <c r="AD515" s="118"/>
      <c r="AE515" s="118"/>
      <c r="AG515" s="23" t="s">
        <v>1585</v>
      </c>
      <c r="AH515" s="39">
        <v>44221</v>
      </c>
    </row>
    <row r="516" spans="1:44" ht="32">
      <c r="A516" s="63" t="s">
        <v>2662</v>
      </c>
      <c r="B516" s="23" t="s">
        <v>2663</v>
      </c>
      <c r="C516" s="140">
        <v>44219</v>
      </c>
      <c r="D516" s="23" t="s">
        <v>729</v>
      </c>
      <c r="E516" s="23" t="s">
        <v>636</v>
      </c>
      <c r="F516" s="23" t="s">
        <v>1723</v>
      </c>
      <c r="G516" s="23" t="s">
        <v>1724</v>
      </c>
      <c r="Q516" s="140">
        <v>44223</v>
      </c>
      <c r="S516" s="23" t="s">
        <v>300</v>
      </c>
      <c r="T516" s="23" t="s">
        <v>363</v>
      </c>
      <c r="U516" s="23" t="s">
        <v>363</v>
      </c>
      <c r="V516" s="23" t="s">
        <v>298</v>
      </c>
      <c r="W516" s="23" t="s">
        <v>2103</v>
      </c>
      <c r="Y516" s="37">
        <v>13200</v>
      </c>
      <c r="AB516" s="23" t="s">
        <v>2664</v>
      </c>
      <c r="AC516" s="23" t="s">
        <v>2105</v>
      </c>
      <c r="AD516" s="118">
        <v>0</v>
      </c>
      <c r="AE516" s="118">
        <v>1</v>
      </c>
      <c r="AF516" s="29" t="s">
        <v>2774</v>
      </c>
      <c r="AG516" s="23" t="s">
        <v>1585</v>
      </c>
      <c r="AH516" s="39">
        <v>44221</v>
      </c>
    </row>
    <row r="517" spans="1:44" ht="32">
      <c r="A517" s="63" t="s">
        <v>2677</v>
      </c>
      <c r="B517" s="23">
        <v>207376699</v>
      </c>
      <c r="C517" s="140">
        <v>44220</v>
      </c>
      <c r="D517" s="23" t="s">
        <v>729</v>
      </c>
      <c r="E517" s="23" t="s">
        <v>636</v>
      </c>
      <c r="F517" s="23" t="s">
        <v>1723</v>
      </c>
      <c r="G517" s="23" t="s">
        <v>1724</v>
      </c>
      <c r="Q517" s="140">
        <v>44226</v>
      </c>
      <c r="S517" s="23" t="s">
        <v>300</v>
      </c>
      <c r="T517" s="23" t="s">
        <v>363</v>
      </c>
      <c r="U517" s="23" t="s">
        <v>363</v>
      </c>
      <c r="V517" s="23" t="s">
        <v>298</v>
      </c>
      <c r="W517" s="23" t="s">
        <v>915</v>
      </c>
      <c r="Y517" s="37">
        <v>26486</v>
      </c>
      <c r="AB517" s="23" t="s">
        <v>2680</v>
      </c>
      <c r="AC517" s="23" t="s">
        <v>1575</v>
      </c>
      <c r="AD517" s="118">
        <v>0</v>
      </c>
      <c r="AE517" s="118">
        <v>4</v>
      </c>
      <c r="AF517" s="29" t="s">
        <v>2775</v>
      </c>
      <c r="AG517" s="23" t="s">
        <v>2256</v>
      </c>
      <c r="AH517" s="39">
        <v>44225</v>
      </c>
    </row>
    <row r="518" spans="1:44" ht="96">
      <c r="A518" s="63" t="s">
        <v>2678</v>
      </c>
      <c r="B518" s="23" t="s">
        <v>2681</v>
      </c>
      <c r="C518" s="140">
        <v>44221</v>
      </c>
      <c r="F518" s="23" t="s">
        <v>1723</v>
      </c>
      <c r="W518" s="23" t="s">
        <v>995</v>
      </c>
      <c r="Y518" s="37">
        <v>51800</v>
      </c>
      <c r="AB518" s="19" t="s">
        <v>2682</v>
      </c>
      <c r="AC518" s="23" t="s">
        <v>2573</v>
      </c>
      <c r="AD518" s="118"/>
      <c r="AE518" s="118"/>
      <c r="AG518" s="23" t="s">
        <v>1845</v>
      </c>
      <c r="AH518" s="39">
        <v>44225</v>
      </c>
    </row>
    <row r="519" spans="1:44">
      <c r="A519" s="63" t="s">
        <v>2679</v>
      </c>
      <c r="B519" s="23" t="s">
        <v>2683</v>
      </c>
      <c r="C519" s="140">
        <v>44221</v>
      </c>
      <c r="F519" s="23" t="s">
        <v>1723</v>
      </c>
      <c r="W519" s="23" t="s">
        <v>2008</v>
      </c>
      <c r="Y519" s="37">
        <v>5624</v>
      </c>
      <c r="AB519" s="23" t="s">
        <v>2684</v>
      </c>
      <c r="AC519" s="23" t="s">
        <v>2259</v>
      </c>
      <c r="AD519" s="118"/>
      <c r="AE519" s="118"/>
      <c r="AG519" s="23" t="s">
        <v>2011</v>
      </c>
      <c r="AH519" s="39">
        <v>44225</v>
      </c>
    </row>
    <row r="520" spans="1:44" ht="32">
      <c r="A520" s="63" t="s">
        <v>2685</v>
      </c>
      <c r="B520" s="23" t="s">
        <v>2686</v>
      </c>
      <c r="C520" s="140">
        <v>44224</v>
      </c>
      <c r="D520" s="23" t="s">
        <v>729</v>
      </c>
      <c r="E520" s="23" t="s">
        <v>636</v>
      </c>
      <c r="F520" s="23" t="s">
        <v>1723</v>
      </c>
      <c r="G520" s="23" t="s">
        <v>1724</v>
      </c>
      <c r="Q520" s="140">
        <v>44227</v>
      </c>
      <c r="S520" s="23" t="s">
        <v>300</v>
      </c>
      <c r="T520" s="23" t="s">
        <v>363</v>
      </c>
      <c r="U520" s="23" t="s">
        <v>363</v>
      </c>
      <c r="V520" s="23" t="s">
        <v>298</v>
      </c>
      <c r="W520" s="23" t="s">
        <v>2103</v>
      </c>
      <c r="Y520" s="37">
        <v>13100</v>
      </c>
      <c r="AB520" s="23" t="s">
        <v>2687</v>
      </c>
      <c r="AC520" s="23" t="s">
        <v>2333</v>
      </c>
      <c r="AD520" s="118">
        <v>0</v>
      </c>
      <c r="AE520" s="118">
        <v>1</v>
      </c>
      <c r="AF520" s="29" t="s">
        <v>2776</v>
      </c>
      <c r="AG520" s="23" t="s">
        <v>1585</v>
      </c>
      <c r="AH520" s="39">
        <v>44225</v>
      </c>
    </row>
    <row r="521" spans="1:44">
      <c r="A521" s="74" t="s">
        <v>2688</v>
      </c>
      <c r="B521" s="23" t="s">
        <v>2724</v>
      </c>
      <c r="D521" s="23" t="s">
        <v>729</v>
      </c>
      <c r="E521" s="23" t="s">
        <v>2725</v>
      </c>
      <c r="F521" s="23" t="s">
        <v>2926</v>
      </c>
      <c r="G521" s="23" t="s">
        <v>2165</v>
      </c>
      <c r="S521" s="23" t="s">
        <v>184</v>
      </c>
      <c r="T521" s="23" t="s">
        <v>2726</v>
      </c>
      <c r="U521" s="23" t="s">
        <v>2726</v>
      </c>
      <c r="V521" s="23" t="s">
        <v>299</v>
      </c>
      <c r="W521" s="23" t="s">
        <v>2727</v>
      </c>
      <c r="Y521" s="37"/>
      <c r="AB521" s="23" t="s">
        <v>97</v>
      </c>
      <c r="AC521" s="23" t="s">
        <v>123</v>
      </c>
      <c r="AD521" s="118">
        <v>0</v>
      </c>
      <c r="AE521" s="118">
        <v>0</v>
      </c>
      <c r="AF521" s="27" t="s">
        <v>2814</v>
      </c>
      <c r="AH521" s="39">
        <v>44228</v>
      </c>
    </row>
    <row r="522" spans="1:44">
      <c r="A522" s="74" t="s">
        <v>2689</v>
      </c>
      <c r="B522" s="23" t="s">
        <v>2728</v>
      </c>
      <c r="D522" s="23" t="s">
        <v>729</v>
      </c>
      <c r="E522" s="23" t="s">
        <v>2725</v>
      </c>
      <c r="F522" s="23" t="s">
        <v>2926</v>
      </c>
      <c r="G522" s="23" t="s">
        <v>2165</v>
      </c>
      <c r="S522" s="23" t="s">
        <v>184</v>
      </c>
      <c r="T522" s="23" t="s">
        <v>2726</v>
      </c>
      <c r="U522" s="23" t="s">
        <v>2726</v>
      </c>
      <c r="V522" s="23" t="s">
        <v>299</v>
      </c>
      <c r="W522" s="23" t="s">
        <v>2729</v>
      </c>
      <c r="Y522" s="37"/>
      <c r="AB522" s="23" t="s">
        <v>97</v>
      </c>
      <c r="AC522" s="23" t="s">
        <v>2730</v>
      </c>
      <c r="AD522" s="118">
        <v>0</v>
      </c>
      <c r="AE522" s="118">
        <v>0</v>
      </c>
      <c r="AF522" s="27" t="s">
        <v>2813</v>
      </c>
      <c r="AH522" s="39">
        <v>44228</v>
      </c>
      <c r="AJ522" s="75">
        <v>44231</v>
      </c>
      <c r="AL522" s="53">
        <f>AJ522+180</f>
        <v>44411</v>
      </c>
      <c r="AN522" s="53"/>
      <c r="AO522" s="53"/>
      <c r="AP522" s="53"/>
      <c r="AQ522" s="53"/>
      <c r="AR522" s="53"/>
    </row>
    <row r="523" spans="1:44">
      <c r="A523" s="74" t="s">
        <v>2690</v>
      </c>
      <c r="B523" s="23" t="s">
        <v>2731</v>
      </c>
      <c r="D523" s="23" t="s">
        <v>729</v>
      </c>
      <c r="E523" s="23" t="s">
        <v>2725</v>
      </c>
      <c r="F523" s="23" t="s">
        <v>2926</v>
      </c>
      <c r="G523" s="23" t="s">
        <v>2165</v>
      </c>
      <c r="S523" s="23" t="s">
        <v>184</v>
      </c>
      <c r="T523" s="23" t="s">
        <v>2726</v>
      </c>
      <c r="U523" s="23" t="s">
        <v>2726</v>
      </c>
      <c r="V523" s="23" t="s">
        <v>299</v>
      </c>
      <c r="W523" s="23" t="s">
        <v>2732</v>
      </c>
      <c r="Y523" s="37"/>
      <c r="AB523" s="23" t="s">
        <v>97</v>
      </c>
      <c r="AC523" s="23" t="s">
        <v>123</v>
      </c>
      <c r="AD523" s="118">
        <v>0</v>
      </c>
      <c r="AE523" s="118">
        <v>0</v>
      </c>
      <c r="AF523" s="27" t="s">
        <v>2815</v>
      </c>
      <c r="AH523" s="39">
        <v>44228</v>
      </c>
    </row>
    <row r="524" spans="1:44">
      <c r="A524" s="74" t="s">
        <v>2691</v>
      </c>
      <c r="B524" s="23" t="s">
        <v>2733</v>
      </c>
      <c r="D524" s="23" t="s">
        <v>729</v>
      </c>
      <c r="E524" s="23" t="s">
        <v>2725</v>
      </c>
      <c r="F524" s="23" t="s">
        <v>2926</v>
      </c>
      <c r="G524" s="23" t="s">
        <v>2165</v>
      </c>
      <c r="S524" s="23" t="s">
        <v>184</v>
      </c>
      <c r="T524" s="23" t="s">
        <v>2726</v>
      </c>
      <c r="U524" s="23" t="s">
        <v>2726</v>
      </c>
      <c r="V524" s="23" t="s">
        <v>299</v>
      </c>
      <c r="W524" s="23" t="s">
        <v>2727</v>
      </c>
      <c r="Y524" s="37"/>
      <c r="AB524" s="23" t="s">
        <v>97</v>
      </c>
      <c r="AC524" s="23" t="s">
        <v>2730</v>
      </c>
      <c r="AD524" s="118">
        <v>0</v>
      </c>
      <c r="AE524" s="118">
        <v>0</v>
      </c>
      <c r="AF524" s="27" t="s">
        <v>2816</v>
      </c>
      <c r="AH524" s="39">
        <v>44228</v>
      </c>
    </row>
    <row r="525" spans="1:44" ht="32">
      <c r="A525" s="63" t="s">
        <v>2692</v>
      </c>
      <c r="B525" s="23" t="s">
        <v>2695</v>
      </c>
      <c r="C525" s="140">
        <v>44226</v>
      </c>
      <c r="D525" s="23" t="s">
        <v>729</v>
      </c>
      <c r="E525" s="23" t="s">
        <v>636</v>
      </c>
      <c r="F525" s="23" t="s">
        <v>1723</v>
      </c>
      <c r="G525" s="23" t="s">
        <v>1724</v>
      </c>
      <c r="Q525" s="140">
        <v>44229</v>
      </c>
      <c r="S525" s="23" t="s">
        <v>300</v>
      </c>
      <c r="T525" s="23" t="s">
        <v>363</v>
      </c>
      <c r="U525" s="23" t="s">
        <v>363</v>
      </c>
      <c r="V525" s="23" t="s">
        <v>298</v>
      </c>
      <c r="W525" s="23" t="s">
        <v>2103</v>
      </c>
      <c r="Y525" s="37">
        <v>13100</v>
      </c>
      <c r="AB525" s="23" t="s">
        <v>2696</v>
      </c>
      <c r="AC525" s="23" t="s">
        <v>2333</v>
      </c>
      <c r="AD525" s="118">
        <v>0</v>
      </c>
      <c r="AE525" s="118">
        <v>3</v>
      </c>
      <c r="AF525" s="29" t="s">
        <v>2777</v>
      </c>
      <c r="AG525" s="23" t="s">
        <v>1585</v>
      </c>
      <c r="AH525" s="39">
        <v>44228</v>
      </c>
    </row>
    <row r="526" spans="1:44">
      <c r="A526" s="63" t="s">
        <v>2693</v>
      </c>
      <c r="B526" s="23" t="s">
        <v>2697</v>
      </c>
      <c r="C526" s="140">
        <v>44226</v>
      </c>
      <c r="F526" s="23" t="s">
        <v>1723</v>
      </c>
      <c r="W526" s="23" t="s">
        <v>2103</v>
      </c>
      <c r="Y526" s="37">
        <v>13100</v>
      </c>
      <c r="AB526" s="23" t="s">
        <v>2698</v>
      </c>
      <c r="AC526" s="23" t="s">
        <v>2333</v>
      </c>
      <c r="AD526" s="118"/>
      <c r="AE526" s="118"/>
      <c r="AG526" s="23" t="s">
        <v>1585</v>
      </c>
      <c r="AH526" s="39">
        <v>44228</v>
      </c>
    </row>
    <row r="527" spans="1:44">
      <c r="A527" s="63" t="s">
        <v>2694</v>
      </c>
      <c r="B527" s="23" t="s">
        <v>2699</v>
      </c>
      <c r="C527" s="140">
        <v>44226</v>
      </c>
      <c r="F527" s="23" t="s">
        <v>1723</v>
      </c>
      <c r="W527" s="23" t="s">
        <v>2103</v>
      </c>
      <c r="Y527" s="37">
        <v>12000</v>
      </c>
      <c r="AB527" s="23" t="s">
        <v>2700</v>
      </c>
      <c r="AC527" s="23" t="s">
        <v>2701</v>
      </c>
      <c r="AD527" s="118"/>
      <c r="AE527" s="118"/>
      <c r="AG527" s="23" t="s">
        <v>1585</v>
      </c>
      <c r="AH527" s="39">
        <v>44228</v>
      </c>
    </row>
    <row r="528" spans="1:44" ht="32">
      <c r="A528" s="63" t="s">
        <v>2702</v>
      </c>
      <c r="B528" s="23" t="s">
        <v>2703</v>
      </c>
      <c r="C528" s="140">
        <v>44216</v>
      </c>
      <c r="D528" s="23" t="s">
        <v>729</v>
      </c>
      <c r="E528" s="23" t="s">
        <v>636</v>
      </c>
      <c r="F528" s="23" t="s">
        <v>1723</v>
      </c>
      <c r="G528" s="23" t="s">
        <v>1724</v>
      </c>
      <c r="Q528" s="140">
        <v>44229</v>
      </c>
      <c r="S528" s="23" t="s">
        <v>300</v>
      </c>
      <c r="T528" s="23" t="s">
        <v>363</v>
      </c>
      <c r="U528" s="23" t="s">
        <v>363</v>
      </c>
      <c r="V528" s="23" t="s">
        <v>298</v>
      </c>
      <c r="W528" s="23" t="s">
        <v>1716</v>
      </c>
      <c r="Y528" s="37">
        <v>5664</v>
      </c>
      <c r="AB528" s="23" t="s">
        <v>2704</v>
      </c>
      <c r="AC528" s="23" t="s">
        <v>1718</v>
      </c>
      <c r="AD528" s="118">
        <v>0</v>
      </c>
      <c r="AE528" s="118">
        <v>2</v>
      </c>
      <c r="AF528" s="29" t="s">
        <v>2778</v>
      </c>
      <c r="AG528" s="23" t="s">
        <v>1845</v>
      </c>
      <c r="AH528" s="39">
        <v>44228</v>
      </c>
    </row>
    <row r="529" spans="1:44">
      <c r="A529" s="63" t="s">
        <v>2705</v>
      </c>
      <c r="B529" s="23" t="s">
        <v>2706</v>
      </c>
      <c r="C529" s="140">
        <v>44221</v>
      </c>
      <c r="F529" s="23" t="s">
        <v>1723</v>
      </c>
      <c r="W529" s="23" t="s">
        <v>915</v>
      </c>
      <c r="Y529" s="37">
        <v>26486</v>
      </c>
      <c r="AB529" s="23" t="s">
        <v>2707</v>
      </c>
      <c r="AC529" s="23" t="s">
        <v>1575</v>
      </c>
      <c r="AD529" s="118"/>
      <c r="AE529" s="118"/>
      <c r="AG529" s="23" t="s">
        <v>1921</v>
      </c>
      <c r="AH529" s="39">
        <v>44228</v>
      </c>
    </row>
    <row r="530" spans="1:44" ht="32">
      <c r="A530" s="63" t="s">
        <v>2708</v>
      </c>
      <c r="B530" s="23" t="s">
        <v>2709</v>
      </c>
      <c r="C530" s="140">
        <v>44228</v>
      </c>
      <c r="D530" s="23" t="s">
        <v>729</v>
      </c>
      <c r="E530" s="23" t="s">
        <v>636</v>
      </c>
      <c r="F530" s="23" t="s">
        <v>1723</v>
      </c>
      <c r="G530" s="23" t="s">
        <v>1724</v>
      </c>
      <c r="Q530" s="140">
        <v>44230</v>
      </c>
      <c r="S530" s="23" t="s">
        <v>300</v>
      </c>
      <c r="T530" s="23" t="s">
        <v>363</v>
      </c>
      <c r="U530" s="23" t="s">
        <v>363</v>
      </c>
      <c r="V530" s="23" t="s">
        <v>298</v>
      </c>
      <c r="W530" s="23" t="s">
        <v>2710</v>
      </c>
      <c r="Y530" s="37">
        <v>24000</v>
      </c>
      <c r="AB530" s="23" t="s">
        <v>2711</v>
      </c>
      <c r="AC530" s="23" t="s">
        <v>2712</v>
      </c>
      <c r="AD530" s="118">
        <v>0</v>
      </c>
      <c r="AE530" s="118">
        <v>1</v>
      </c>
      <c r="AF530" s="29" t="s">
        <v>2779</v>
      </c>
      <c r="AG530" s="23" t="s">
        <v>1585</v>
      </c>
      <c r="AH530" s="39">
        <v>44230</v>
      </c>
    </row>
    <row r="531" spans="1:44" ht="32">
      <c r="A531" s="63" t="s">
        <v>2721</v>
      </c>
      <c r="B531" s="23" t="s">
        <v>2713</v>
      </c>
      <c r="C531" s="140">
        <v>44229</v>
      </c>
      <c r="D531" s="23" t="s">
        <v>729</v>
      </c>
      <c r="E531" s="23" t="s">
        <v>636</v>
      </c>
      <c r="F531" s="23" t="s">
        <v>1723</v>
      </c>
      <c r="G531" s="23" t="s">
        <v>1724</v>
      </c>
      <c r="Q531" s="140">
        <v>44232</v>
      </c>
      <c r="S531" s="23" t="s">
        <v>300</v>
      </c>
      <c r="T531" s="23" t="s">
        <v>363</v>
      </c>
      <c r="U531" s="23" t="s">
        <v>363</v>
      </c>
      <c r="V531" s="23" t="s">
        <v>298</v>
      </c>
      <c r="W531" s="23" t="s">
        <v>1716</v>
      </c>
      <c r="Y531" s="37">
        <v>5664</v>
      </c>
      <c r="AB531" s="23" t="s">
        <v>2714</v>
      </c>
      <c r="AC531" s="23" t="s">
        <v>1718</v>
      </c>
      <c r="AD531" s="118">
        <v>0</v>
      </c>
      <c r="AE531" s="118">
        <v>4</v>
      </c>
      <c r="AF531" s="29" t="s">
        <v>2780</v>
      </c>
      <c r="AG531" s="23" t="s">
        <v>1585</v>
      </c>
      <c r="AH531" s="39">
        <v>44231</v>
      </c>
    </row>
    <row r="532" spans="1:44" ht="96">
      <c r="A532" s="63" t="s">
        <v>2722</v>
      </c>
      <c r="B532" s="27" t="s">
        <v>2715</v>
      </c>
      <c r="C532" s="140">
        <v>44226</v>
      </c>
      <c r="F532" s="23" t="s">
        <v>1723</v>
      </c>
      <c r="G532" s="23" t="s">
        <v>1724</v>
      </c>
      <c r="W532" s="23" t="s">
        <v>915</v>
      </c>
      <c r="Y532" s="37">
        <v>52890</v>
      </c>
      <c r="AB532" s="19" t="s">
        <v>2716</v>
      </c>
      <c r="AC532" s="23" t="s">
        <v>1924</v>
      </c>
      <c r="AD532" s="118"/>
      <c r="AE532" s="118"/>
      <c r="AG532" s="23" t="s">
        <v>2717</v>
      </c>
      <c r="AH532" s="39">
        <v>44231</v>
      </c>
    </row>
    <row r="533" spans="1:44">
      <c r="A533" s="63" t="s">
        <v>2723</v>
      </c>
      <c r="B533" s="23" t="s">
        <v>2718</v>
      </c>
      <c r="C533" s="140">
        <v>44226</v>
      </c>
      <c r="F533" s="23" t="s">
        <v>1723</v>
      </c>
      <c r="W533" s="23" t="s">
        <v>2719</v>
      </c>
      <c r="Y533" s="37">
        <v>3022.5</v>
      </c>
      <c r="AB533" s="23" t="s">
        <v>2720</v>
      </c>
      <c r="AC533" s="23" t="s">
        <v>479</v>
      </c>
      <c r="AD533" s="118"/>
      <c r="AE533" s="118"/>
      <c r="AG533" s="23" t="s">
        <v>2717</v>
      </c>
      <c r="AH533" s="39">
        <v>44231</v>
      </c>
    </row>
    <row r="534" spans="1:44">
      <c r="A534" s="74" t="s">
        <v>2734</v>
      </c>
      <c r="B534" s="23" t="s">
        <v>2736</v>
      </c>
      <c r="C534" s="140">
        <v>44229</v>
      </c>
      <c r="D534" s="23" t="s">
        <v>729</v>
      </c>
      <c r="E534" s="23" t="s">
        <v>2725</v>
      </c>
      <c r="F534" s="23" t="s">
        <v>2926</v>
      </c>
      <c r="G534" s="23" t="s">
        <v>2165</v>
      </c>
      <c r="H534" s="23" t="s">
        <v>2737</v>
      </c>
      <c r="I534" s="23" t="s">
        <v>2737</v>
      </c>
      <c r="J534" s="140">
        <v>44228</v>
      </c>
      <c r="S534" s="23" t="s">
        <v>184</v>
      </c>
      <c r="T534" s="23" t="s">
        <v>2726</v>
      </c>
      <c r="U534" s="23" t="s">
        <v>2726</v>
      </c>
      <c r="V534" s="23" t="s">
        <v>299</v>
      </c>
      <c r="W534" s="23" t="s">
        <v>2738</v>
      </c>
      <c r="Y534" s="37">
        <v>4221</v>
      </c>
      <c r="AB534" s="23" t="s">
        <v>97</v>
      </c>
      <c r="AC534" s="23" t="s">
        <v>123</v>
      </c>
      <c r="AD534" s="118">
        <v>0</v>
      </c>
      <c r="AE534" s="118">
        <v>0</v>
      </c>
      <c r="AF534" s="27" t="s">
        <v>2817</v>
      </c>
      <c r="AG534" s="23" t="s">
        <v>2739</v>
      </c>
      <c r="AH534" s="39">
        <v>44235</v>
      </c>
    </row>
    <row r="535" spans="1:44">
      <c r="A535" s="70" t="s">
        <v>2740</v>
      </c>
      <c r="B535" s="23" t="s">
        <v>2741</v>
      </c>
      <c r="C535" s="140">
        <v>44235</v>
      </c>
      <c r="D535" s="23" t="s">
        <v>729</v>
      </c>
      <c r="E535" s="23" t="s">
        <v>752</v>
      </c>
      <c r="F535" s="23" t="s">
        <v>57</v>
      </c>
      <c r="G535" s="23" t="s">
        <v>2131</v>
      </c>
      <c r="H535" s="23" t="s">
        <v>2742</v>
      </c>
      <c r="I535" s="23" t="s">
        <v>2742</v>
      </c>
      <c r="J535" s="140">
        <v>44229</v>
      </c>
      <c r="K535" s="23" t="s">
        <v>2743</v>
      </c>
      <c r="L535" s="140">
        <v>44236</v>
      </c>
      <c r="P535" s="23" t="s">
        <v>2744</v>
      </c>
      <c r="S535" s="23" t="s">
        <v>184</v>
      </c>
      <c r="T535" s="23" t="s">
        <v>302</v>
      </c>
      <c r="U535" s="23" t="s">
        <v>302</v>
      </c>
      <c r="V535" s="23" t="s">
        <v>233</v>
      </c>
      <c r="W535" s="23" t="s">
        <v>284</v>
      </c>
      <c r="X535" s="37">
        <v>9170</v>
      </c>
      <c r="Y535" s="37">
        <v>9470</v>
      </c>
      <c r="Z535" s="23">
        <v>9649.27</v>
      </c>
      <c r="AA535" s="23">
        <v>8646.8700000000008</v>
      </c>
      <c r="AB535" s="23" t="s">
        <v>1350</v>
      </c>
      <c r="AC535" s="23" t="s">
        <v>286</v>
      </c>
      <c r="AD535" s="118">
        <v>0</v>
      </c>
      <c r="AE535" s="118">
        <v>1</v>
      </c>
      <c r="AG535" s="23" t="s">
        <v>787</v>
      </c>
      <c r="AH535" s="39">
        <v>44237</v>
      </c>
      <c r="AJ535" s="75" t="s">
        <v>5351</v>
      </c>
      <c r="AL535" s="23" t="s">
        <v>5352</v>
      </c>
      <c r="AM535" s="102">
        <v>44240</v>
      </c>
    </row>
    <row r="536" spans="1:44">
      <c r="A536" s="63" t="s">
        <v>2746</v>
      </c>
      <c r="B536" s="23" t="s">
        <v>2754</v>
      </c>
      <c r="C536" s="140">
        <v>44253</v>
      </c>
      <c r="D536" s="23" t="s">
        <v>729</v>
      </c>
      <c r="E536" s="23" t="s">
        <v>752</v>
      </c>
      <c r="F536" s="23" t="s">
        <v>2200</v>
      </c>
      <c r="G536" s="23" t="s">
        <v>301</v>
      </c>
      <c r="H536" s="23" t="s">
        <v>2753</v>
      </c>
      <c r="I536" s="23" t="s">
        <v>2753</v>
      </c>
      <c r="Q536" s="140">
        <v>44239</v>
      </c>
      <c r="S536" s="23" t="s">
        <v>2755</v>
      </c>
      <c r="T536" s="23" t="s">
        <v>305</v>
      </c>
      <c r="U536" s="23" t="s">
        <v>305</v>
      </c>
      <c r="V536" s="23" t="s">
        <v>299</v>
      </c>
      <c r="W536" s="23" t="s">
        <v>2756</v>
      </c>
      <c r="Y536" s="37">
        <v>4930</v>
      </c>
      <c r="AB536" s="23" t="s">
        <v>2757</v>
      </c>
      <c r="AC536" s="23" t="s">
        <v>123</v>
      </c>
      <c r="AD536" s="118">
        <v>0</v>
      </c>
      <c r="AE536" s="118">
        <v>1</v>
      </c>
      <c r="AG536" s="23" t="s">
        <v>2758</v>
      </c>
      <c r="AH536" s="39">
        <v>44242</v>
      </c>
      <c r="AI536" s="53" t="s">
        <v>2803</v>
      </c>
      <c r="AJ536" s="75">
        <v>44244</v>
      </c>
      <c r="AL536" s="53">
        <f>AJ536+180</f>
        <v>44424</v>
      </c>
      <c r="AN536" s="53"/>
      <c r="AO536" s="53"/>
      <c r="AP536" s="53"/>
      <c r="AQ536" s="53"/>
      <c r="AR536" s="53"/>
    </row>
    <row r="537" spans="1:44">
      <c r="A537" s="71" t="s">
        <v>2747</v>
      </c>
      <c r="B537" s="23" t="s">
        <v>2748</v>
      </c>
      <c r="C537" s="140">
        <v>44247</v>
      </c>
      <c r="D537" s="23" t="s">
        <v>729</v>
      </c>
      <c r="E537" s="23" t="s">
        <v>752</v>
      </c>
      <c r="F537" s="23" t="s">
        <v>2944</v>
      </c>
      <c r="G537" s="23" t="s">
        <v>1989</v>
      </c>
      <c r="S537" s="23" t="s">
        <v>2749</v>
      </c>
      <c r="T537" s="23" t="s">
        <v>12031</v>
      </c>
      <c r="U537" s="23" t="s">
        <v>12031</v>
      </c>
      <c r="V537" s="23" t="s">
        <v>299</v>
      </c>
      <c r="W537" s="23" t="s">
        <v>2750</v>
      </c>
      <c r="Y537" s="37">
        <v>5000</v>
      </c>
      <c r="AB537" s="23" t="s">
        <v>2751</v>
      </c>
      <c r="AC537" s="23" t="s">
        <v>123</v>
      </c>
      <c r="AD537" s="118">
        <v>0</v>
      </c>
      <c r="AE537" s="118">
        <v>1</v>
      </c>
      <c r="AG537" s="23" t="s">
        <v>2752</v>
      </c>
      <c r="AH537" s="39">
        <v>44242</v>
      </c>
    </row>
    <row r="538" spans="1:44" ht="48">
      <c r="A538" s="63" t="s">
        <v>2784</v>
      </c>
      <c r="B538" s="23" t="s">
        <v>2785</v>
      </c>
      <c r="C538" s="140">
        <v>44194</v>
      </c>
      <c r="D538" s="23" t="s">
        <v>729</v>
      </c>
      <c r="E538" s="23" t="s">
        <v>752</v>
      </c>
      <c r="F538" s="23" t="s">
        <v>2969</v>
      </c>
      <c r="G538" s="23" t="s">
        <v>1724</v>
      </c>
      <c r="P538" s="23" t="s">
        <v>2786</v>
      </c>
      <c r="Q538" s="140">
        <v>44241</v>
      </c>
      <c r="S538" s="23" t="s">
        <v>2787</v>
      </c>
      <c r="T538" s="23" t="s">
        <v>12031</v>
      </c>
      <c r="U538" s="23" t="s">
        <v>12031</v>
      </c>
      <c r="V538" s="23" t="s">
        <v>298</v>
      </c>
      <c r="W538" s="19" t="s">
        <v>2788</v>
      </c>
      <c r="Y538" s="37">
        <v>2100</v>
      </c>
      <c r="AB538" s="23" t="s">
        <v>2789</v>
      </c>
      <c r="AC538" s="23" t="s">
        <v>131</v>
      </c>
      <c r="AD538" s="118">
        <v>1</v>
      </c>
      <c r="AE538" s="118">
        <v>0</v>
      </c>
      <c r="AG538" s="23" t="s">
        <v>2790</v>
      </c>
      <c r="AH538" s="39">
        <v>44243</v>
      </c>
    </row>
    <row r="539" spans="1:44">
      <c r="A539" s="63" t="s">
        <v>2791</v>
      </c>
      <c r="B539" s="23" t="s">
        <v>2819</v>
      </c>
      <c r="C539" s="140">
        <v>44222</v>
      </c>
      <c r="D539" s="23" t="s">
        <v>729</v>
      </c>
      <c r="E539" s="23" t="s">
        <v>752</v>
      </c>
      <c r="F539" s="23" t="s">
        <v>2944</v>
      </c>
      <c r="G539" s="23" t="s">
        <v>1989</v>
      </c>
      <c r="H539" s="23" t="s">
        <v>2820</v>
      </c>
      <c r="I539" s="23" t="s">
        <v>2820</v>
      </c>
      <c r="J539" s="140">
        <v>44212</v>
      </c>
      <c r="S539" s="23" t="s">
        <v>759</v>
      </c>
      <c r="T539" s="23" t="s">
        <v>12031</v>
      </c>
      <c r="U539" s="23" t="s">
        <v>12031</v>
      </c>
      <c r="V539" s="23" t="s">
        <v>299</v>
      </c>
      <c r="W539" s="23" t="s">
        <v>2821</v>
      </c>
      <c r="Y539" s="37">
        <v>5000</v>
      </c>
      <c r="AB539" s="23" t="s">
        <v>2822</v>
      </c>
      <c r="AC539" s="23" t="s">
        <v>123</v>
      </c>
      <c r="AD539" s="118">
        <v>0</v>
      </c>
      <c r="AE539" s="118">
        <v>1</v>
      </c>
      <c r="AG539" s="23" t="s">
        <v>2823</v>
      </c>
      <c r="AH539" s="39">
        <v>44244</v>
      </c>
      <c r="AI539" s="53" t="s">
        <v>2802</v>
      </c>
    </row>
    <row r="540" spans="1:44">
      <c r="A540" s="63" t="s">
        <v>2792</v>
      </c>
      <c r="B540" s="23" t="s">
        <v>2824</v>
      </c>
      <c r="C540" s="140">
        <v>44223</v>
      </c>
      <c r="D540" s="23" t="s">
        <v>729</v>
      </c>
      <c r="E540" s="23" t="s">
        <v>752</v>
      </c>
      <c r="F540" s="23" t="s">
        <v>2944</v>
      </c>
      <c r="G540" s="23" t="s">
        <v>1989</v>
      </c>
      <c r="H540" s="23" t="s">
        <v>2825</v>
      </c>
      <c r="I540" s="23" t="s">
        <v>2825</v>
      </c>
      <c r="J540" s="140">
        <v>44211</v>
      </c>
      <c r="S540" s="23" t="s">
        <v>759</v>
      </c>
      <c r="T540" s="23" t="s">
        <v>12031</v>
      </c>
      <c r="U540" s="23" t="s">
        <v>12031</v>
      </c>
      <c r="V540" s="23" t="s">
        <v>299</v>
      </c>
      <c r="W540" s="23" t="s">
        <v>2821</v>
      </c>
      <c r="Y540" s="37">
        <v>5360</v>
      </c>
      <c r="AB540" s="23" t="s">
        <v>2826</v>
      </c>
      <c r="AC540" s="23" t="s">
        <v>123</v>
      </c>
      <c r="AD540" s="118">
        <v>0</v>
      </c>
      <c r="AE540" s="118">
        <v>1</v>
      </c>
      <c r="AG540" s="23" t="s">
        <v>2827</v>
      </c>
      <c r="AH540" s="39">
        <v>44244</v>
      </c>
      <c r="AI540" s="53" t="s">
        <v>2802</v>
      </c>
    </row>
    <row r="541" spans="1:44">
      <c r="A541" s="63" t="s">
        <v>2793</v>
      </c>
      <c r="B541" s="23" t="s">
        <v>2828</v>
      </c>
      <c r="C541" s="140">
        <v>44228</v>
      </c>
      <c r="D541" s="23" t="s">
        <v>729</v>
      </c>
      <c r="E541" s="23" t="s">
        <v>752</v>
      </c>
      <c r="F541" s="23" t="s">
        <v>2944</v>
      </c>
      <c r="G541" s="23" t="s">
        <v>1989</v>
      </c>
      <c r="H541" s="23" t="s">
        <v>2829</v>
      </c>
      <c r="I541" s="23" t="s">
        <v>2829</v>
      </c>
      <c r="J541" s="140">
        <v>44216</v>
      </c>
      <c r="S541" s="23" t="s">
        <v>759</v>
      </c>
      <c r="T541" s="23" t="s">
        <v>12031</v>
      </c>
      <c r="U541" s="23" t="s">
        <v>12031</v>
      </c>
      <c r="V541" s="23" t="s">
        <v>299</v>
      </c>
      <c r="W541" s="23" t="s">
        <v>2821</v>
      </c>
      <c r="Y541" s="37">
        <v>5360</v>
      </c>
      <c r="AB541" s="23" t="s">
        <v>2830</v>
      </c>
      <c r="AC541" s="23" t="s">
        <v>123</v>
      </c>
      <c r="AD541" s="118">
        <v>0</v>
      </c>
      <c r="AE541" s="118">
        <v>1</v>
      </c>
      <c r="AG541" s="23" t="s">
        <v>2827</v>
      </c>
      <c r="AH541" s="39">
        <v>44244</v>
      </c>
      <c r="AI541" s="53" t="s">
        <v>2802</v>
      </c>
    </row>
    <row r="542" spans="1:44">
      <c r="A542" s="63" t="s">
        <v>2794</v>
      </c>
      <c r="B542" s="23" t="s">
        <v>2866</v>
      </c>
      <c r="C542" s="140">
        <v>44234</v>
      </c>
      <c r="D542" s="23" t="s">
        <v>729</v>
      </c>
      <c r="E542" s="23" t="s">
        <v>752</v>
      </c>
      <c r="F542" s="23" t="s">
        <v>2944</v>
      </c>
      <c r="G542" s="23" t="s">
        <v>1989</v>
      </c>
      <c r="H542" s="23" t="s">
        <v>2831</v>
      </c>
      <c r="I542" s="23" t="s">
        <v>2831</v>
      </c>
      <c r="J542" s="140">
        <v>44228</v>
      </c>
      <c r="S542" s="23" t="s">
        <v>759</v>
      </c>
      <c r="T542" s="23" t="s">
        <v>12031</v>
      </c>
      <c r="U542" s="23" t="s">
        <v>12031</v>
      </c>
      <c r="V542" s="23" t="s">
        <v>299</v>
      </c>
      <c r="W542" s="23" t="s">
        <v>2832</v>
      </c>
      <c r="Y542" s="37">
        <v>4680</v>
      </c>
      <c r="AB542" s="23" t="s">
        <v>2833</v>
      </c>
      <c r="AC542" s="23" t="s">
        <v>123</v>
      </c>
      <c r="AD542" s="118">
        <v>0</v>
      </c>
      <c r="AE542" s="118">
        <v>1</v>
      </c>
      <c r="AG542" s="23" t="s">
        <v>2823</v>
      </c>
      <c r="AH542" s="39">
        <v>44244</v>
      </c>
      <c r="AI542" s="53" t="s">
        <v>2802</v>
      </c>
    </row>
    <row r="543" spans="1:44">
      <c r="A543" s="63" t="s">
        <v>2795</v>
      </c>
      <c r="B543" s="25" t="s">
        <v>2835</v>
      </c>
      <c r="C543" s="142">
        <v>44219</v>
      </c>
      <c r="D543" s="25" t="s">
        <v>729</v>
      </c>
      <c r="E543" s="25" t="s">
        <v>752</v>
      </c>
      <c r="F543" s="23" t="s">
        <v>2944</v>
      </c>
      <c r="G543" s="25" t="s">
        <v>1989</v>
      </c>
      <c r="H543" s="23" t="s">
        <v>2834</v>
      </c>
      <c r="I543" s="23" t="s">
        <v>2834</v>
      </c>
      <c r="J543" s="140">
        <v>44211</v>
      </c>
      <c r="S543" s="23" t="s">
        <v>759</v>
      </c>
      <c r="T543" s="23" t="s">
        <v>12031</v>
      </c>
      <c r="U543" s="23" t="s">
        <v>12031</v>
      </c>
      <c r="V543" s="23" t="s">
        <v>299</v>
      </c>
      <c r="W543" s="23" t="s">
        <v>2821</v>
      </c>
      <c r="Y543" s="37">
        <v>5360</v>
      </c>
      <c r="AB543" s="23" t="s">
        <v>2836</v>
      </c>
      <c r="AC543" s="23" t="s">
        <v>123</v>
      </c>
      <c r="AD543" s="118">
        <v>0</v>
      </c>
      <c r="AE543" s="118">
        <v>1</v>
      </c>
      <c r="AG543" s="23" t="s">
        <v>2837</v>
      </c>
      <c r="AH543" s="39">
        <v>44244</v>
      </c>
      <c r="AI543" s="53" t="s">
        <v>2802</v>
      </c>
    </row>
    <row r="544" spans="1:44">
      <c r="A544" s="63" t="s">
        <v>2796</v>
      </c>
      <c r="B544" s="23" t="s">
        <v>2839</v>
      </c>
      <c r="C544" s="140">
        <v>44222</v>
      </c>
      <c r="D544" s="23" t="s">
        <v>729</v>
      </c>
      <c r="E544" s="23" t="s">
        <v>752</v>
      </c>
      <c r="F544" s="23" t="s">
        <v>2944</v>
      </c>
      <c r="G544" s="23" t="s">
        <v>1989</v>
      </c>
      <c r="H544" s="23" t="s">
        <v>2838</v>
      </c>
      <c r="I544" s="23" t="s">
        <v>2838</v>
      </c>
      <c r="J544" s="140">
        <v>44211</v>
      </c>
      <c r="S544" s="23" t="s">
        <v>759</v>
      </c>
      <c r="T544" s="23" t="s">
        <v>12031</v>
      </c>
      <c r="U544" s="23" t="s">
        <v>12031</v>
      </c>
      <c r="V544" s="23" t="s">
        <v>299</v>
      </c>
      <c r="W544" s="23" t="s">
        <v>2821</v>
      </c>
      <c r="Y544" s="37">
        <v>5360</v>
      </c>
      <c r="AB544" s="23" t="s">
        <v>2840</v>
      </c>
      <c r="AC544" s="23" t="s">
        <v>123</v>
      </c>
      <c r="AD544" s="118">
        <v>0</v>
      </c>
      <c r="AE544" s="118">
        <v>1</v>
      </c>
      <c r="AG544" s="23" t="s">
        <v>2841</v>
      </c>
      <c r="AH544" s="39">
        <v>44244</v>
      </c>
      <c r="AI544" s="53" t="s">
        <v>2802</v>
      </c>
    </row>
    <row r="545" spans="1:56">
      <c r="A545" s="63" t="s">
        <v>2797</v>
      </c>
      <c r="B545" s="23" t="s">
        <v>2798</v>
      </c>
      <c r="C545" s="140">
        <v>44234</v>
      </c>
      <c r="D545" s="23" t="s">
        <v>729</v>
      </c>
      <c r="E545" s="23" t="s">
        <v>752</v>
      </c>
      <c r="F545" s="23" t="s">
        <v>2166</v>
      </c>
      <c r="G545" s="23" t="s">
        <v>2165</v>
      </c>
      <c r="P545" s="23" t="s">
        <v>2799</v>
      </c>
      <c r="Q545" s="140">
        <v>44241</v>
      </c>
      <c r="S545" s="23" t="s">
        <v>300</v>
      </c>
      <c r="T545" s="23" t="s">
        <v>12031</v>
      </c>
      <c r="U545" s="23" t="s">
        <v>12031</v>
      </c>
      <c r="V545" s="23" t="s">
        <v>298</v>
      </c>
      <c r="W545" s="23" t="s">
        <v>406</v>
      </c>
      <c r="Y545" s="37">
        <v>1934.5</v>
      </c>
      <c r="AB545" s="23" t="s">
        <v>2800</v>
      </c>
      <c r="AC545" s="23" t="s">
        <v>2801</v>
      </c>
      <c r="AD545" s="118">
        <v>1</v>
      </c>
      <c r="AE545" s="118">
        <v>0</v>
      </c>
      <c r="AG545" s="23" t="s">
        <v>659</v>
      </c>
      <c r="AH545" s="39">
        <v>44244</v>
      </c>
      <c r="AI545" s="53" t="s">
        <v>2803</v>
      </c>
    </row>
    <row r="546" spans="1:56" ht="335">
      <c r="A546" s="63" t="s">
        <v>2804</v>
      </c>
      <c r="B546" s="23" t="s">
        <v>2848</v>
      </c>
      <c r="C546" s="140">
        <v>44228</v>
      </c>
      <c r="D546" s="23" t="s">
        <v>729</v>
      </c>
      <c r="E546" s="23" t="s">
        <v>752</v>
      </c>
      <c r="F546" s="23" t="s">
        <v>2200</v>
      </c>
      <c r="G546" s="23" t="s">
        <v>301</v>
      </c>
      <c r="I546" s="23" t="s">
        <v>2847</v>
      </c>
      <c r="K546" s="39">
        <v>44201</v>
      </c>
      <c r="S546" s="23" t="s">
        <v>300</v>
      </c>
      <c r="T546" s="23" t="s">
        <v>305</v>
      </c>
      <c r="U546" s="23" t="s">
        <v>305</v>
      </c>
      <c r="V546" s="23" t="s">
        <v>299</v>
      </c>
      <c r="W546" s="23" t="s">
        <v>2849</v>
      </c>
      <c r="Y546" s="37">
        <v>83256</v>
      </c>
      <c r="AB546" s="19" t="s">
        <v>2867</v>
      </c>
      <c r="AC546" s="23" t="s">
        <v>2807</v>
      </c>
      <c r="AD546" s="118">
        <v>0</v>
      </c>
      <c r="AE546" s="118">
        <v>20</v>
      </c>
      <c r="AH546" s="39">
        <v>44245</v>
      </c>
      <c r="AI546" s="53" t="s">
        <v>2803</v>
      </c>
    </row>
    <row r="547" spans="1:56">
      <c r="A547" s="63" t="s">
        <v>2805</v>
      </c>
      <c r="B547" s="23">
        <v>386811</v>
      </c>
      <c r="C547" s="140">
        <v>44239</v>
      </c>
      <c r="D547" s="23" t="s">
        <v>729</v>
      </c>
      <c r="E547" s="23" t="s">
        <v>2861</v>
      </c>
      <c r="F547" s="23" t="s">
        <v>2944</v>
      </c>
      <c r="G547" s="23" t="s">
        <v>1989</v>
      </c>
      <c r="I547" s="23" t="s">
        <v>2853</v>
      </c>
      <c r="K547" s="39">
        <v>44233</v>
      </c>
      <c r="S547" s="23" t="s">
        <v>184</v>
      </c>
      <c r="T547" s="23" t="s">
        <v>2726</v>
      </c>
      <c r="U547" s="23" t="s">
        <v>2726</v>
      </c>
      <c r="V547" s="23" t="s">
        <v>299</v>
      </c>
      <c r="W547" s="23" t="s">
        <v>2851</v>
      </c>
      <c r="Y547" s="37">
        <v>2200</v>
      </c>
      <c r="AB547" s="23" t="s">
        <v>97</v>
      </c>
      <c r="AC547" s="23" t="s">
        <v>131</v>
      </c>
      <c r="AD547" s="118">
        <v>0</v>
      </c>
      <c r="AE547" s="118">
        <v>0</v>
      </c>
      <c r="AG547" s="23" t="s">
        <v>2852</v>
      </c>
      <c r="AH547" s="39">
        <v>44246</v>
      </c>
      <c r="AI547" s="53" t="s">
        <v>2802</v>
      </c>
    </row>
    <row r="548" spans="1:56">
      <c r="A548" s="63" t="s">
        <v>2806</v>
      </c>
      <c r="B548" s="23" t="s">
        <v>2913</v>
      </c>
      <c r="C548" s="140">
        <v>44260</v>
      </c>
      <c r="D548" s="23" t="s">
        <v>729</v>
      </c>
      <c r="E548" s="23" t="s">
        <v>2861</v>
      </c>
      <c r="F548" s="23" t="s">
        <v>6576</v>
      </c>
      <c r="G548" s="23" t="s">
        <v>2912</v>
      </c>
      <c r="H548" s="23" t="s">
        <v>2914</v>
      </c>
      <c r="I548" s="23" t="s">
        <v>2914</v>
      </c>
      <c r="J548" s="140">
        <v>44256</v>
      </c>
      <c r="S548" s="23" t="s">
        <v>183</v>
      </c>
      <c r="T548" s="23" t="s">
        <v>12031</v>
      </c>
      <c r="U548" s="23" t="s">
        <v>12031</v>
      </c>
      <c r="V548" s="23" t="s">
        <v>299</v>
      </c>
      <c r="W548" s="23" t="s">
        <v>1073</v>
      </c>
      <c r="Y548" s="37">
        <v>9040</v>
      </c>
      <c r="AB548" s="23" t="s">
        <v>2917</v>
      </c>
      <c r="AC548" s="23">
        <v>4</v>
      </c>
      <c r="AD548" s="118">
        <v>0</v>
      </c>
      <c r="AE548" s="118">
        <v>2</v>
      </c>
      <c r="AG548" s="23" t="s">
        <v>2915</v>
      </c>
      <c r="AH548" s="39">
        <v>44261</v>
      </c>
      <c r="AI548" s="53" t="s">
        <v>2916</v>
      </c>
      <c r="AL548" s="23" t="s">
        <v>3068</v>
      </c>
      <c r="AV548" s="23" t="s">
        <v>3069</v>
      </c>
      <c r="BA548" s="23" t="s">
        <v>3070</v>
      </c>
    </row>
    <row r="549" spans="1:56">
      <c r="A549" s="63" t="s">
        <v>2850</v>
      </c>
      <c r="B549" s="23">
        <v>379013</v>
      </c>
      <c r="C549" s="140">
        <v>44245</v>
      </c>
      <c r="D549" s="23" t="s">
        <v>729</v>
      </c>
      <c r="E549" s="23" t="s">
        <v>2861</v>
      </c>
      <c r="F549" s="23" t="s">
        <v>2944</v>
      </c>
      <c r="G549" s="23" t="s">
        <v>1989</v>
      </c>
      <c r="S549" s="23" t="s">
        <v>184</v>
      </c>
      <c r="T549" s="23" t="s">
        <v>2726</v>
      </c>
      <c r="U549" s="23" t="s">
        <v>2726</v>
      </c>
      <c r="V549" s="23" t="s">
        <v>299</v>
      </c>
      <c r="W549" s="23" t="s">
        <v>2854</v>
      </c>
      <c r="Y549" s="37">
        <v>2500</v>
      </c>
      <c r="AB549" s="23" t="s">
        <v>97</v>
      </c>
      <c r="AC549" s="23" t="s">
        <v>131</v>
      </c>
      <c r="AD549" s="118">
        <v>0</v>
      </c>
      <c r="AE549" s="118">
        <v>0</v>
      </c>
      <c r="AG549" s="23" t="s">
        <v>2852</v>
      </c>
      <c r="AH549" s="39">
        <v>44247</v>
      </c>
      <c r="AI549" s="53" t="s">
        <v>3352</v>
      </c>
    </row>
    <row r="550" spans="1:56">
      <c r="A550" s="70" t="s">
        <v>2857</v>
      </c>
      <c r="B550" s="59" t="s">
        <v>2856</v>
      </c>
      <c r="C550" s="143">
        <v>37317</v>
      </c>
      <c r="D550" s="59" t="s">
        <v>729</v>
      </c>
      <c r="E550" s="59" t="s">
        <v>752</v>
      </c>
      <c r="F550" s="59" t="s">
        <v>57</v>
      </c>
      <c r="G550" s="59" t="s">
        <v>57</v>
      </c>
      <c r="Y550" s="37"/>
      <c r="AD550" s="118">
        <v>1</v>
      </c>
      <c r="AE550" s="118">
        <v>0</v>
      </c>
    </row>
    <row r="551" spans="1:56">
      <c r="A551" s="63" t="s">
        <v>2858</v>
      </c>
      <c r="B551" s="23" t="s">
        <v>2860</v>
      </c>
      <c r="C551" s="140">
        <v>44251</v>
      </c>
      <c r="D551" s="23" t="s">
        <v>729</v>
      </c>
      <c r="E551" s="23" t="s">
        <v>2861</v>
      </c>
      <c r="F551" s="23" t="s">
        <v>2926</v>
      </c>
      <c r="G551" s="23" t="s">
        <v>2165</v>
      </c>
      <c r="S551" s="23" t="s">
        <v>184</v>
      </c>
      <c r="T551" s="23" t="s">
        <v>2726</v>
      </c>
      <c r="U551" s="23" t="s">
        <v>2726</v>
      </c>
      <c r="V551" s="23" t="s">
        <v>299</v>
      </c>
      <c r="W551" s="23" t="s">
        <v>2862</v>
      </c>
      <c r="Y551" s="37">
        <v>4756</v>
      </c>
      <c r="AB551" s="23" t="s">
        <v>97</v>
      </c>
      <c r="AC551" s="23" t="s">
        <v>123</v>
      </c>
      <c r="AD551" s="118">
        <v>0</v>
      </c>
      <c r="AE551" s="118">
        <v>0</v>
      </c>
      <c r="AG551" s="23" t="s">
        <v>2852</v>
      </c>
      <c r="AH551" s="39">
        <v>44252</v>
      </c>
      <c r="AI551" s="53" t="s">
        <v>2863</v>
      </c>
    </row>
    <row r="552" spans="1:56">
      <c r="A552" s="63" t="s">
        <v>2859</v>
      </c>
      <c r="B552" s="23" t="s">
        <v>2864</v>
      </c>
      <c r="C552" s="140">
        <v>44251</v>
      </c>
      <c r="D552" s="23" t="s">
        <v>729</v>
      </c>
      <c r="E552" s="23" t="s">
        <v>2861</v>
      </c>
      <c r="F552" s="23" t="s">
        <v>2926</v>
      </c>
      <c r="G552" s="23" t="s">
        <v>2165</v>
      </c>
      <c r="S552" s="23" t="s">
        <v>184</v>
      </c>
      <c r="T552" s="23" t="s">
        <v>2726</v>
      </c>
      <c r="U552" s="23" t="s">
        <v>2726</v>
      </c>
      <c r="V552" s="23" t="s">
        <v>299</v>
      </c>
      <c r="W552" s="23" t="s">
        <v>2862</v>
      </c>
      <c r="Y552" s="37">
        <v>4756</v>
      </c>
      <c r="AB552" s="23" t="s">
        <v>97</v>
      </c>
      <c r="AC552" s="23" t="s">
        <v>123</v>
      </c>
      <c r="AD552" s="118">
        <v>0</v>
      </c>
      <c r="AE552" s="118">
        <v>0</v>
      </c>
      <c r="AG552" s="23" t="s">
        <v>2852</v>
      </c>
      <c r="AH552" s="39">
        <v>44252</v>
      </c>
      <c r="AI552" s="53" t="s">
        <v>2865</v>
      </c>
      <c r="BD552" s="2">
        <v>220</v>
      </c>
    </row>
    <row r="553" spans="1:56">
      <c r="A553" s="63" t="s">
        <v>2868</v>
      </c>
      <c r="B553" s="23" t="s">
        <v>2869</v>
      </c>
      <c r="C553" s="140">
        <v>44252</v>
      </c>
      <c r="D553" s="23" t="s">
        <v>729</v>
      </c>
      <c r="E553" s="23" t="s">
        <v>636</v>
      </c>
      <c r="F553" s="23" t="s">
        <v>1723</v>
      </c>
      <c r="G553" s="23" t="s">
        <v>1724</v>
      </c>
      <c r="Q553" s="140">
        <v>44253</v>
      </c>
      <c r="S553" s="23" t="s">
        <v>2755</v>
      </c>
      <c r="T553" s="23" t="s">
        <v>363</v>
      </c>
      <c r="U553" s="23" t="s">
        <v>363</v>
      </c>
      <c r="V553" s="23" t="s">
        <v>298</v>
      </c>
      <c r="W553" s="23" t="s">
        <v>2870</v>
      </c>
      <c r="Y553" s="37">
        <v>6816</v>
      </c>
      <c r="AB553" s="23" t="s">
        <v>2871</v>
      </c>
      <c r="AC553" s="23" t="s">
        <v>2872</v>
      </c>
      <c r="AD553" s="118">
        <v>0</v>
      </c>
      <c r="AE553" s="118">
        <v>1</v>
      </c>
      <c r="AG553" s="23" t="s">
        <v>2873</v>
      </c>
      <c r="AH553" s="39">
        <v>44253</v>
      </c>
      <c r="BD553" s="2">
        <v>60</v>
      </c>
    </row>
    <row r="554" spans="1:56">
      <c r="A554" s="70" t="s">
        <v>2874</v>
      </c>
      <c r="B554" s="23" t="s">
        <v>2856</v>
      </c>
      <c r="C554" s="140">
        <v>44257</v>
      </c>
      <c r="D554" s="23" t="s">
        <v>729</v>
      </c>
      <c r="E554" s="23" t="s">
        <v>752</v>
      </c>
      <c r="F554" s="23" t="s">
        <v>57</v>
      </c>
      <c r="G554" s="23" t="s">
        <v>2131</v>
      </c>
      <c r="H554" s="23" t="s">
        <v>2886</v>
      </c>
      <c r="I554" s="23" t="s">
        <v>2886</v>
      </c>
      <c r="J554" s="140">
        <v>44250</v>
      </c>
      <c r="S554" s="23" t="s">
        <v>184</v>
      </c>
      <c r="T554" s="23" t="s">
        <v>302</v>
      </c>
      <c r="U554" s="23" t="s">
        <v>302</v>
      </c>
      <c r="V554" s="23" t="s">
        <v>233</v>
      </c>
      <c r="W554" s="23" t="s">
        <v>271</v>
      </c>
      <c r="X554" s="37">
        <v>11251</v>
      </c>
      <c r="Y554" s="37">
        <v>11483</v>
      </c>
      <c r="Z554" s="23">
        <v>28485.82</v>
      </c>
      <c r="AA554" s="23">
        <v>26998.58</v>
      </c>
      <c r="AB554" s="23" t="s">
        <v>189</v>
      </c>
      <c r="AC554" s="23" t="s">
        <v>799</v>
      </c>
      <c r="AD554" s="118">
        <v>0</v>
      </c>
      <c r="AE554" s="118">
        <v>1</v>
      </c>
      <c r="AH554" s="39">
        <v>44257</v>
      </c>
      <c r="AI554" s="53" t="s">
        <v>2865</v>
      </c>
      <c r="BD554" s="2">
        <f>40000/4000</f>
        <v>10</v>
      </c>
    </row>
    <row r="555" spans="1:56">
      <c r="A555" s="63" t="s">
        <v>2875</v>
      </c>
      <c r="B555" s="23" t="s">
        <v>2876</v>
      </c>
      <c r="C555" s="140">
        <v>44254</v>
      </c>
      <c r="D555" s="23" t="s">
        <v>729</v>
      </c>
      <c r="E555" s="23" t="s">
        <v>636</v>
      </c>
      <c r="F555" s="23" t="s">
        <v>1723</v>
      </c>
      <c r="G555" s="23" t="s">
        <v>1724</v>
      </c>
      <c r="Q555" s="140">
        <v>44257</v>
      </c>
      <c r="S555" s="23" t="s">
        <v>2755</v>
      </c>
      <c r="T555" s="23" t="s">
        <v>363</v>
      </c>
      <c r="U555" s="23" t="s">
        <v>363</v>
      </c>
      <c r="V555" s="23" t="s">
        <v>298</v>
      </c>
      <c r="W555" s="23" t="s">
        <v>1716</v>
      </c>
      <c r="Y555" s="37">
        <v>5664</v>
      </c>
      <c r="AB555" s="23" t="s">
        <v>2877</v>
      </c>
      <c r="AC555" s="23" t="s">
        <v>1718</v>
      </c>
      <c r="AD555" s="118">
        <v>0</v>
      </c>
      <c r="AE555" s="118">
        <v>2</v>
      </c>
      <c r="AG555" s="23" t="s">
        <v>2873</v>
      </c>
      <c r="AH555" s="39">
        <v>44256</v>
      </c>
      <c r="BD555" s="2">
        <v>20</v>
      </c>
    </row>
    <row r="556" spans="1:56">
      <c r="A556" s="63" t="s">
        <v>2878</v>
      </c>
      <c r="B556" s="23" t="s">
        <v>2879</v>
      </c>
      <c r="C556" s="140">
        <v>44254</v>
      </c>
      <c r="F556" s="23" t="s">
        <v>1723</v>
      </c>
      <c r="W556" s="23" t="s">
        <v>1716</v>
      </c>
      <c r="Y556" s="37">
        <v>5696</v>
      </c>
      <c r="AB556" s="23" t="s">
        <v>2880</v>
      </c>
      <c r="AC556" s="23" t="s">
        <v>1779</v>
      </c>
      <c r="AD556" s="118"/>
      <c r="AE556" s="118"/>
      <c r="AG556" s="23" t="s">
        <v>2873</v>
      </c>
      <c r="AH556" s="39">
        <v>44256</v>
      </c>
    </row>
    <row r="557" spans="1:56">
      <c r="A557" s="63" t="s">
        <v>2881</v>
      </c>
      <c r="B557" s="23" t="s">
        <v>2882</v>
      </c>
      <c r="C557" s="140">
        <v>44256</v>
      </c>
      <c r="D557" s="23" t="s">
        <v>729</v>
      </c>
      <c r="E557" s="23" t="s">
        <v>636</v>
      </c>
      <c r="F557" s="23" t="s">
        <v>1723</v>
      </c>
      <c r="G557" s="23" t="s">
        <v>1724</v>
      </c>
      <c r="Q557" s="140">
        <v>44259</v>
      </c>
      <c r="S557" s="23" t="s">
        <v>2755</v>
      </c>
      <c r="T557" s="23" t="s">
        <v>363</v>
      </c>
      <c r="U557" s="23" t="s">
        <v>363</v>
      </c>
      <c r="V557" s="23" t="s">
        <v>298</v>
      </c>
      <c r="W557" s="23" t="s">
        <v>2883</v>
      </c>
      <c r="Y557" s="37">
        <v>6386</v>
      </c>
      <c r="AB557" s="23" t="s">
        <v>2884</v>
      </c>
      <c r="AC557" s="23" t="s">
        <v>2885</v>
      </c>
      <c r="AD557" s="118">
        <v>0</v>
      </c>
      <c r="AE557" s="118">
        <v>1</v>
      </c>
      <c r="AG557" s="23" t="s">
        <v>2873</v>
      </c>
      <c r="AH557" s="39">
        <v>44257</v>
      </c>
    </row>
    <row r="558" spans="1:56">
      <c r="A558" s="63" t="s">
        <v>2887</v>
      </c>
      <c r="B558" s="23" t="s">
        <v>2888</v>
      </c>
      <c r="C558" s="140">
        <v>44256</v>
      </c>
      <c r="D558" s="23" t="s">
        <v>729</v>
      </c>
      <c r="E558" s="23" t="s">
        <v>2861</v>
      </c>
      <c r="F558" s="23" t="s">
        <v>2926</v>
      </c>
      <c r="G558" s="23" t="s">
        <v>2165</v>
      </c>
      <c r="S558" s="23" t="s">
        <v>184</v>
      </c>
      <c r="T558" s="23" t="s">
        <v>2726</v>
      </c>
      <c r="U558" s="23" t="s">
        <v>2726</v>
      </c>
      <c r="V558" s="23" t="s">
        <v>299</v>
      </c>
      <c r="W558" s="23" t="s">
        <v>2889</v>
      </c>
      <c r="X558" s="37"/>
      <c r="Y558" s="37"/>
      <c r="AB558" s="23" t="s">
        <v>97</v>
      </c>
      <c r="AC558" s="23" t="s">
        <v>123</v>
      </c>
      <c r="AD558" s="118">
        <v>0</v>
      </c>
      <c r="AE558" s="118">
        <v>0</v>
      </c>
      <c r="AH558" s="39">
        <v>44258</v>
      </c>
      <c r="AI558" s="53" t="s">
        <v>2865</v>
      </c>
    </row>
    <row r="559" spans="1:56">
      <c r="A559" s="63" t="s">
        <v>2890</v>
      </c>
      <c r="B559" s="23" t="s">
        <v>2891</v>
      </c>
      <c r="C559" s="140">
        <v>44257</v>
      </c>
      <c r="D559" s="23" t="s">
        <v>729</v>
      </c>
      <c r="E559" s="23" t="s">
        <v>636</v>
      </c>
      <c r="F559" s="23" t="s">
        <v>1723</v>
      </c>
      <c r="G559" s="23" t="s">
        <v>1724</v>
      </c>
      <c r="Q559" s="140">
        <v>44260</v>
      </c>
      <c r="S559" s="23" t="s">
        <v>2755</v>
      </c>
      <c r="T559" s="23" t="s">
        <v>363</v>
      </c>
      <c r="U559" s="23" t="s">
        <v>363</v>
      </c>
      <c r="V559" s="23" t="s">
        <v>298</v>
      </c>
      <c r="W559" s="23" t="s">
        <v>1716</v>
      </c>
      <c r="Y559" s="37">
        <v>5664</v>
      </c>
      <c r="AB559" s="23" t="s">
        <v>2892</v>
      </c>
      <c r="AC559" s="23" t="s">
        <v>1718</v>
      </c>
      <c r="AD559" s="118">
        <v>0</v>
      </c>
      <c r="AE559" s="118">
        <v>1</v>
      </c>
      <c r="AG559" s="23" t="s">
        <v>2873</v>
      </c>
      <c r="AH559" s="39">
        <v>44259</v>
      </c>
    </row>
    <row r="560" spans="1:56">
      <c r="A560" s="63" t="s">
        <v>2893</v>
      </c>
      <c r="B560" s="23" t="s">
        <v>2894</v>
      </c>
      <c r="C560" s="140">
        <v>44259</v>
      </c>
      <c r="D560" s="23" t="s">
        <v>729</v>
      </c>
      <c r="E560" s="23" t="s">
        <v>636</v>
      </c>
      <c r="F560" s="23" t="s">
        <v>1723</v>
      </c>
      <c r="G560" s="23" t="s">
        <v>1724</v>
      </c>
      <c r="Q560" s="140">
        <v>44262</v>
      </c>
      <c r="S560" s="23" t="s">
        <v>2755</v>
      </c>
      <c r="T560" s="23" t="s">
        <v>363</v>
      </c>
      <c r="U560" s="23" t="s">
        <v>363</v>
      </c>
      <c r="V560" s="23" t="s">
        <v>298</v>
      </c>
      <c r="W560" s="23" t="s">
        <v>2710</v>
      </c>
      <c r="X560" s="37"/>
      <c r="Y560" s="37">
        <v>24300</v>
      </c>
      <c r="AB560" s="23" t="s">
        <v>2895</v>
      </c>
      <c r="AC560" s="23" t="s">
        <v>2896</v>
      </c>
      <c r="AD560" s="118">
        <v>0</v>
      </c>
      <c r="AE560" s="118">
        <v>4</v>
      </c>
      <c r="AG560" s="23" t="s">
        <v>2873</v>
      </c>
      <c r="AH560" s="39">
        <v>44260</v>
      </c>
    </row>
    <row r="561" spans="1:35">
      <c r="A561" s="63" t="s">
        <v>2897</v>
      </c>
      <c r="B561" s="23" t="s">
        <v>2898</v>
      </c>
      <c r="C561" s="140">
        <v>44259</v>
      </c>
      <c r="F561" s="23" t="s">
        <v>1723</v>
      </c>
      <c r="W561" s="23" t="s">
        <v>1716</v>
      </c>
      <c r="Y561" s="37">
        <v>5680</v>
      </c>
      <c r="AB561" s="23" t="s">
        <v>2899</v>
      </c>
      <c r="AC561" s="23" t="s">
        <v>2900</v>
      </c>
      <c r="AD561" s="118"/>
      <c r="AE561" s="118"/>
      <c r="AG561" s="23" t="s">
        <v>2873</v>
      </c>
      <c r="AH561" s="39">
        <v>44260</v>
      </c>
    </row>
    <row r="562" spans="1:35" ht="96">
      <c r="A562" s="63" t="s">
        <v>2901</v>
      </c>
      <c r="B562" s="23" t="s">
        <v>2902</v>
      </c>
      <c r="C562" s="140">
        <v>44258</v>
      </c>
      <c r="F562" s="23" t="s">
        <v>1723</v>
      </c>
      <c r="W562" s="23" t="s">
        <v>2903</v>
      </c>
      <c r="Y562" s="37">
        <v>26550</v>
      </c>
      <c r="AB562" s="19" t="s">
        <v>2904</v>
      </c>
      <c r="AC562" s="23" t="s">
        <v>2905</v>
      </c>
      <c r="AD562" s="118"/>
      <c r="AE562" s="118"/>
      <c r="AG562" s="23" t="s">
        <v>1921</v>
      </c>
      <c r="AH562" s="39">
        <v>44260</v>
      </c>
    </row>
    <row r="563" spans="1:35" ht="48">
      <c r="A563" s="70" t="s">
        <v>2906</v>
      </c>
      <c r="B563" s="23" t="s">
        <v>2907</v>
      </c>
      <c r="C563" s="140">
        <v>44253</v>
      </c>
      <c r="D563" s="23" t="s">
        <v>729</v>
      </c>
      <c r="E563" s="23" t="s">
        <v>752</v>
      </c>
      <c r="F563" s="23" t="s">
        <v>57</v>
      </c>
      <c r="G563" s="23" t="s">
        <v>2908</v>
      </c>
      <c r="H563" s="23" t="s">
        <v>2909</v>
      </c>
      <c r="I563" s="23" t="s">
        <v>2909</v>
      </c>
      <c r="J563" s="140">
        <v>44252</v>
      </c>
      <c r="K563" s="23" t="s">
        <v>2910</v>
      </c>
      <c r="L563" s="140">
        <v>44257</v>
      </c>
      <c r="Q563" s="140">
        <v>44260</v>
      </c>
      <c r="S563" s="23" t="s">
        <v>183</v>
      </c>
      <c r="T563" s="23" t="s">
        <v>305</v>
      </c>
      <c r="U563" s="23" t="s">
        <v>305</v>
      </c>
      <c r="V563" s="23" t="s">
        <v>233</v>
      </c>
      <c r="W563" s="23" t="s">
        <v>112</v>
      </c>
      <c r="X563" s="37">
        <v>46921.2</v>
      </c>
      <c r="Y563" s="37">
        <v>47234.400000000001</v>
      </c>
      <c r="Z563" s="23">
        <v>43214.43</v>
      </c>
      <c r="AA563" s="23">
        <v>40343.43</v>
      </c>
      <c r="AB563" s="19" t="s">
        <v>2911</v>
      </c>
      <c r="AC563" s="23" t="s">
        <v>173</v>
      </c>
      <c r="AD563" s="118">
        <v>0</v>
      </c>
      <c r="AE563" s="118">
        <v>3</v>
      </c>
      <c r="AG563" s="23" t="s">
        <v>792</v>
      </c>
      <c r="AH563" s="39">
        <v>44260</v>
      </c>
    </row>
    <row r="564" spans="1:35">
      <c r="A564" s="63" t="s">
        <v>2933</v>
      </c>
      <c r="B564" s="23" t="s">
        <v>2918</v>
      </c>
      <c r="C564" s="140">
        <v>44262</v>
      </c>
      <c r="D564" s="23" t="s">
        <v>729</v>
      </c>
      <c r="E564" s="23" t="s">
        <v>2919</v>
      </c>
      <c r="F564" s="23" t="s">
        <v>1723</v>
      </c>
      <c r="G564" s="23" t="s">
        <v>1724</v>
      </c>
      <c r="Q564" s="140">
        <v>44264</v>
      </c>
      <c r="S564" s="23" t="s">
        <v>2755</v>
      </c>
      <c r="T564" s="23" t="s">
        <v>363</v>
      </c>
      <c r="U564" s="23" t="s">
        <v>363</v>
      </c>
      <c r="V564" s="23" t="s">
        <v>298</v>
      </c>
      <c r="W564" s="23" t="s">
        <v>1716</v>
      </c>
      <c r="Y564" s="37">
        <v>5664</v>
      </c>
      <c r="AB564" s="23" t="s">
        <v>2920</v>
      </c>
      <c r="AC564" s="23" t="s">
        <v>2921</v>
      </c>
      <c r="AD564" s="118">
        <v>0</v>
      </c>
      <c r="AE564" s="118">
        <v>2</v>
      </c>
      <c r="AG564" s="23" t="s">
        <v>1640</v>
      </c>
      <c r="AH564" s="39">
        <v>44264</v>
      </c>
    </row>
    <row r="565" spans="1:35">
      <c r="A565" s="63" t="s">
        <v>2934</v>
      </c>
      <c r="B565" s="23" t="s">
        <v>2922</v>
      </c>
      <c r="C565" s="140">
        <v>44261</v>
      </c>
      <c r="F565" s="23" t="s">
        <v>1723</v>
      </c>
      <c r="W565" s="23" t="s">
        <v>1716</v>
      </c>
      <c r="Y565" s="37">
        <v>5696</v>
      </c>
      <c r="AB565" s="23" t="s">
        <v>2923</v>
      </c>
      <c r="AC565" s="23" t="s">
        <v>2924</v>
      </c>
      <c r="AD565" s="118"/>
      <c r="AE565" s="118"/>
      <c r="AG565" s="23" t="s">
        <v>1640</v>
      </c>
      <c r="AH565" s="39">
        <v>44264</v>
      </c>
    </row>
    <row r="566" spans="1:35" ht="32">
      <c r="A566" s="63" t="s">
        <v>2935</v>
      </c>
      <c r="B566" s="23" t="s">
        <v>2925</v>
      </c>
      <c r="C566" s="140">
        <v>44245</v>
      </c>
      <c r="D566" s="23" t="s">
        <v>729</v>
      </c>
      <c r="E566" s="23" t="s">
        <v>752</v>
      </c>
      <c r="F566" s="23" t="s">
        <v>2926</v>
      </c>
      <c r="G566" s="23" t="s">
        <v>2165</v>
      </c>
      <c r="P566" s="23" t="s">
        <v>2927</v>
      </c>
      <c r="Q566" s="140">
        <v>44263</v>
      </c>
      <c r="S566" s="23" t="s">
        <v>759</v>
      </c>
      <c r="T566" s="23" t="s">
        <v>12031</v>
      </c>
      <c r="U566" s="23" t="s">
        <v>12031</v>
      </c>
      <c r="V566" s="23" t="s">
        <v>298</v>
      </c>
      <c r="W566" s="19" t="s">
        <v>2937</v>
      </c>
      <c r="Y566" s="37">
        <v>4000</v>
      </c>
      <c r="AB566" s="23" t="s">
        <v>2938</v>
      </c>
      <c r="AC566" s="23" t="s">
        <v>123</v>
      </c>
      <c r="AD566" s="118">
        <v>0</v>
      </c>
      <c r="AE566" s="118">
        <v>1</v>
      </c>
      <c r="AG566" s="23" t="s">
        <v>2928</v>
      </c>
      <c r="AH566" s="39">
        <v>44264</v>
      </c>
    </row>
    <row r="567" spans="1:35" ht="112">
      <c r="A567" s="63" t="s">
        <v>2936</v>
      </c>
      <c r="B567" s="23" t="s">
        <v>2929</v>
      </c>
      <c r="C567" s="140">
        <v>44231</v>
      </c>
      <c r="D567" s="23" t="s">
        <v>729</v>
      </c>
      <c r="E567" s="23" t="s">
        <v>752</v>
      </c>
      <c r="F567" s="23" t="s">
        <v>2926</v>
      </c>
      <c r="G567" s="23" t="s">
        <v>2165</v>
      </c>
      <c r="P567" s="23" t="s">
        <v>2930</v>
      </c>
      <c r="Q567" s="140">
        <v>44257</v>
      </c>
      <c r="S567" s="23" t="s">
        <v>2524</v>
      </c>
      <c r="T567" s="23" t="s">
        <v>12031</v>
      </c>
      <c r="U567" s="23" t="s">
        <v>12031</v>
      </c>
      <c r="V567" s="23" t="s">
        <v>298</v>
      </c>
      <c r="W567" s="19" t="s">
        <v>2939</v>
      </c>
      <c r="Y567" s="37">
        <v>982</v>
      </c>
      <c r="AB567" s="23" t="s">
        <v>2940</v>
      </c>
      <c r="AC567" s="23" t="s">
        <v>2931</v>
      </c>
      <c r="AD567" s="118">
        <v>0</v>
      </c>
      <c r="AE567" s="118">
        <v>1</v>
      </c>
      <c r="AG567" s="23" t="s">
        <v>2932</v>
      </c>
      <c r="AH567" s="39">
        <v>44264</v>
      </c>
    </row>
    <row r="568" spans="1:35">
      <c r="A568" s="71" t="s">
        <v>2942</v>
      </c>
      <c r="B568" s="23" t="s">
        <v>2943</v>
      </c>
      <c r="C568" s="140">
        <v>44251</v>
      </c>
      <c r="D568" s="23" t="s">
        <v>729</v>
      </c>
      <c r="E568" s="23" t="s">
        <v>752</v>
      </c>
      <c r="F568" s="23" t="s">
        <v>2944</v>
      </c>
      <c r="G568" s="23" t="s">
        <v>1989</v>
      </c>
      <c r="H568" s="23" t="s">
        <v>2945</v>
      </c>
      <c r="Q568" s="140">
        <v>44277</v>
      </c>
      <c r="S568" s="23" t="s">
        <v>759</v>
      </c>
      <c r="T568" s="23" t="s">
        <v>12031</v>
      </c>
      <c r="U568" s="23" t="s">
        <v>12031</v>
      </c>
      <c r="V568" s="23" t="s">
        <v>299</v>
      </c>
      <c r="W568" s="23" t="s">
        <v>2946</v>
      </c>
      <c r="Y568" s="37">
        <v>5360</v>
      </c>
      <c r="AB568" s="23" t="s">
        <v>2947</v>
      </c>
      <c r="AC568" s="23" t="s">
        <v>123</v>
      </c>
      <c r="AD568" s="118">
        <v>0</v>
      </c>
      <c r="AE568" s="118">
        <v>1</v>
      </c>
      <c r="AG568" s="23" t="s">
        <v>2948</v>
      </c>
      <c r="AH568" s="39">
        <v>44265</v>
      </c>
      <c r="AI568" s="53" t="s">
        <v>2802</v>
      </c>
    </row>
    <row r="569" spans="1:35" ht="64">
      <c r="A569" s="70" t="s">
        <v>2949</v>
      </c>
      <c r="B569" s="23" t="s">
        <v>2950</v>
      </c>
      <c r="C569" s="140">
        <v>44265</v>
      </c>
      <c r="D569" s="23" t="s">
        <v>729</v>
      </c>
      <c r="E569" s="23" t="s">
        <v>752</v>
      </c>
      <c r="F569" s="23" t="s">
        <v>57</v>
      </c>
      <c r="G569" s="23" t="s">
        <v>2908</v>
      </c>
      <c r="H569" s="23" t="s">
        <v>2951</v>
      </c>
      <c r="I569" s="23" t="s">
        <v>2951</v>
      </c>
      <c r="J569" s="140">
        <v>44264</v>
      </c>
      <c r="K569" s="23" t="s">
        <v>3323</v>
      </c>
      <c r="L569" s="140">
        <v>44270</v>
      </c>
      <c r="S569" s="23" t="s">
        <v>183</v>
      </c>
      <c r="T569" s="23" t="s">
        <v>305</v>
      </c>
      <c r="U569" s="23" t="s">
        <v>305</v>
      </c>
      <c r="V569" s="23" t="s">
        <v>233</v>
      </c>
      <c r="W569" s="19" t="s">
        <v>2954</v>
      </c>
      <c r="X569" s="37">
        <v>59009.4</v>
      </c>
      <c r="Y569" s="37">
        <v>59427</v>
      </c>
      <c r="Z569" s="37">
        <v>54527.9</v>
      </c>
      <c r="AA569" s="37">
        <v>50699.9</v>
      </c>
      <c r="AB569" s="19" t="s">
        <v>3067</v>
      </c>
      <c r="AC569" s="23" t="s">
        <v>2952</v>
      </c>
      <c r="AD569" s="118">
        <v>0</v>
      </c>
      <c r="AE569" s="118">
        <v>4</v>
      </c>
      <c r="AG569" s="23" t="s">
        <v>2953</v>
      </c>
      <c r="AH569" s="39">
        <v>44266</v>
      </c>
    </row>
    <row r="570" spans="1:35">
      <c r="A570" s="63" t="s">
        <v>2955</v>
      </c>
      <c r="B570" s="23" t="s">
        <v>2956</v>
      </c>
      <c r="C570" s="140">
        <v>44266</v>
      </c>
      <c r="D570" s="23" t="s">
        <v>729</v>
      </c>
      <c r="E570" s="23" t="s">
        <v>2919</v>
      </c>
      <c r="F570" s="23" t="s">
        <v>1723</v>
      </c>
      <c r="G570" s="23" t="s">
        <v>1724</v>
      </c>
      <c r="Q570" s="140">
        <v>44269</v>
      </c>
      <c r="S570" s="23" t="s">
        <v>2755</v>
      </c>
      <c r="T570" s="23" t="s">
        <v>363</v>
      </c>
      <c r="U570" s="23" t="s">
        <v>363</v>
      </c>
      <c r="V570" s="23" t="s">
        <v>298</v>
      </c>
      <c r="W570" s="23" t="s">
        <v>2710</v>
      </c>
      <c r="Y570" s="37">
        <v>24360</v>
      </c>
      <c r="AB570" s="23" t="s">
        <v>2957</v>
      </c>
      <c r="AC570" s="23" t="s">
        <v>2958</v>
      </c>
      <c r="AD570" s="118">
        <v>0</v>
      </c>
      <c r="AE570" s="118">
        <v>1</v>
      </c>
      <c r="AG570" s="23" t="s">
        <v>637</v>
      </c>
      <c r="AH570" s="39">
        <v>44267</v>
      </c>
    </row>
    <row r="571" spans="1:35" ht="64">
      <c r="A571" s="63" t="s">
        <v>2959</v>
      </c>
      <c r="B571" s="23" t="s">
        <v>2960</v>
      </c>
      <c r="C571" s="140">
        <v>44265</v>
      </c>
      <c r="D571" s="23" t="s">
        <v>729</v>
      </c>
      <c r="E571" s="23" t="s">
        <v>752</v>
      </c>
      <c r="F571" s="23" t="s">
        <v>2969</v>
      </c>
      <c r="G571" s="23" t="s">
        <v>1724</v>
      </c>
      <c r="P571" s="23" t="s">
        <v>2968</v>
      </c>
      <c r="Q571" s="140">
        <v>44270</v>
      </c>
      <c r="S571" s="23" t="s">
        <v>2755</v>
      </c>
      <c r="T571" s="23" t="s">
        <v>12031</v>
      </c>
      <c r="U571" s="23" t="s">
        <v>12031</v>
      </c>
      <c r="V571" s="23" t="s">
        <v>298</v>
      </c>
      <c r="W571" s="19" t="s">
        <v>2961</v>
      </c>
      <c r="Y571" s="37">
        <v>34600</v>
      </c>
      <c r="AB571" s="19" t="s">
        <v>2962</v>
      </c>
      <c r="AC571" s="23" t="s">
        <v>2963</v>
      </c>
      <c r="AD571" s="118">
        <v>0</v>
      </c>
      <c r="AE571" s="118">
        <v>3</v>
      </c>
      <c r="AG571" s="23" t="s">
        <v>637</v>
      </c>
      <c r="AH571" s="39">
        <v>44267</v>
      </c>
    </row>
    <row r="572" spans="1:35">
      <c r="A572" s="63" t="s">
        <v>2964</v>
      </c>
      <c r="B572" s="23" t="s">
        <v>2965</v>
      </c>
      <c r="C572" s="140">
        <v>44265</v>
      </c>
      <c r="F572" s="23" t="s">
        <v>2969</v>
      </c>
      <c r="S572" s="23" t="s">
        <v>2755</v>
      </c>
      <c r="T572" s="23" t="s">
        <v>12031</v>
      </c>
      <c r="U572" s="23" t="s">
        <v>12031</v>
      </c>
      <c r="V572" s="23" t="s">
        <v>298</v>
      </c>
      <c r="W572" s="23" t="s">
        <v>2961</v>
      </c>
      <c r="Y572" s="37">
        <v>17500</v>
      </c>
      <c r="AB572" s="23" t="s">
        <v>2966</v>
      </c>
      <c r="AC572" s="23" t="s">
        <v>2967</v>
      </c>
      <c r="AD572" s="118"/>
      <c r="AE572" s="118"/>
      <c r="AG572" s="23" t="s">
        <v>637</v>
      </c>
      <c r="AH572" s="39">
        <v>44267</v>
      </c>
    </row>
    <row r="573" spans="1:35">
      <c r="A573" s="63" t="s">
        <v>2970</v>
      </c>
      <c r="B573" s="23" t="s">
        <v>2971</v>
      </c>
      <c r="C573" s="140">
        <v>44265</v>
      </c>
      <c r="D573" s="23" t="s">
        <v>729</v>
      </c>
      <c r="E573" s="23" t="s">
        <v>2919</v>
      </c>
      <c r="F573" s="23" t="s">
        <v>1723</v>
      </c>
      <c r="G573" s="23" t="s">
        <v>1724</v>
      </c>
      <c r="Q573" s="140">
        <v>44269</v>
      </c>
      <c r="S573" s="23" t="s">
        <v>2755</v>
      </c>
      <c r="T573" s="23" t="s">
        <v>363</v>
      </c>
      <c r="U573" s="23" t="s">
        <v>363</v>
      </c>
      <c r="W573" s="23" t="s">
        <v>1716</v>
      </c>
      <c r="Y573" s="37">
        <v>5680</v>
      </c>
      <c r="AB573" s="23" t="s">
        <v>2972</v>
      </c>
      <c r="AC573" s="23" t="s">
        <v>2900</v>
      </c>
      <c r="AD573" s="118">
        <v>0</v>
      </c>
      <c r="AE573" s="118">
        <v>1</v>
      </c>
      <c r="AG573" s="23" t="s">
        <v>1640</v>
      </c>
      <c r="AH573" s="39">
        <v>44267</v>
      </c>
    </row>
    <row r="574" spans="1:35" ht="409.6">
      <c r="A574" s="63" t="s">
        <v>2973</v>
      </c>
      <c r="B574" s="23" t="s">
        <v>2987</v>
      </c>
      <c r="C574" s="140">
        <v>44254</v>
      </c>
      <c r="D574" s="23" t="s">
        <v>729</v>
      </c>
      <c r="E574" s="23" t="s">
        <v>752</v>
      </c>
      <c r="F574" s="23" t="s">
        <v>2200</v>
      </c>
      <c r="G574" s="23" t="s">
        <v>301</v>
      </c>
      <c r="H574" s="23" t="s">
        <v>2988</v>
      </c>
      <c r="I574" s="23" t="s">
        <v>2988</v>
      </c>
      <c r="J574" s="140">
        <v>44202</v>
      </c>
      <c r="Q574" s="140">
        <v>44270</v>
      </c>
      <c r="S574" s="23" t="s">
        <v>2755</v>
      </c>
      <c r="T574" s="23" t="s">
        <v>305</v>
      </c>
      <c r="U574" s="23" t="s">
        <v>305</v>
      </c>
      <c r="V574" s="23" t="s">
        <v>299</v>
      </c>
      <c r="W574" s="23" t="s">
        <v>2989</v>
      </c>
      <c r="Y574" s="37">
        <v>127520</v>
      </c>
      <c r="AB574" s="19" t="s">
        <v>2990</v>
      </c>
      <c r="AC574" s="23" t="s">
        <v>2991</v>
      </c>
      <c r="AD574" s="118">
        <v>0</v>
      </c>
      <c r="AE574" s="118">
        <v>31</v>
      </c>
      <c r="AG574" s="23" t="s">
        <v>1553</v>
      </c>
      <c r="AH574" s="39">
        <v>44270</v>
      </c>
    </row>
    <row r="575" spans="1:35">
      <c r="A575" s="63" t="s">
        <v>2974</v>
      </c>
      <c r="B575" s="23" t="s">
        <v>2976</v>
      </c>
      <c r="C575" s="140">
        <v>44266</v>
      </c>
      <c r="D575" s="23" t="s">
        <v>729</v>
      </c>
      <c r="E575" s="23" t="s">
        <v>2919</v>
      </c>
      <c r="F575" s="23" t="s">
        <v>1723</v>
      </c>
      <c r="G575" s="23" t="s">
        <v>1724</v>
      </c>
      <c r="Q575" s="140">
        <v>44271</v>
      </c>
      <c r="S575" s="23" t="s">
        <v>2755</v>
      </c>
      <c r="T575" s="23" t="s">
        <v>363</v>
      </c>
      <c r="U575" s="23" t="s">
        <v>363</v>
      </c>
      <c r="V575" s="23" t="s">
        <v>298</v>
      </c>
      <c r="W575" s="23" t="s">
        <v>2710</v>
      </c>
      <c r="Y575" s="37">
        <v>24420</v>
      </c>
      <c r="AB575" s="23" t="s">
        <v>2977</v>
      </c>
      <c r="AC575" s="23" t="s">
        <v>2978</v>
      </c>
      <c r="AD575" s="118">
        <v>0</v>
      </c>
      <c r="AE575" s="118">
        <v>3</v>
      </c>
      <c r="AG575" s="23" t="s">
        <v>637</v>
      </c>
      <c r="AH575" s="39">
        <v>44270</v>
      </c>
    </row>
    <row r="576" spans="1:35">
      <c r="A576" s="63" t="s">
        <v>2975</v>
      </c>
      <c r="B576" s="23" t="s">
        <v>2980</v>
      </c>
      <c r="C576" s="140">
        <v>44267</v>
      </c>
      <c r="F576" s="23" t="s">
        <v>1723</v>
      </c>
      <c r="W576" s="23" t="s">
        <v>2981</v>
      </c>
      <c r="Y576" s="37">
        <v>6804</v>
      </c>
      <c r="AB576" s="23" t="s">
        <v>2982</v>
      </c>
      <c r="AC576" s="23" t="s">
        <v>2983</v>
      </c>
      <c r="AD576" s="118"/>
      <c r="AE576" s="118"/>
      <c r="AG576" s="23" t="s">
        <v>637</v>
      </c>
      <c r="AH576" s="39">
        <v>44270</v>
      </c>
    </row>
    <row r="577" spans="1:48">
      <c r="A577" s="63" t="s">
        <v>2979</v>
      </c>
      <c r="B577" s="23" t="s">
        <v>2984</v>
      </c>
      <c r="C577" s="140">
        <v>44267</v>
      </c>
      <c r="F577" s="23" t="s">
        <v>1723</v>
      </c>
      <c r="W577" s="23" t="s">
        <v>1716</v>
      </c>
      <c r="Y577" s="37">
        <v>5664</v>
      </c>
      <c r="AB577" s="23" t="s">
        <v>2985</v>
      </c>
      <c r="AC577" s="23" t="s">
        <v>2986</v>
      </c>
      <c r="AD577" s="118"/>
      <c r="AE577" s="118"/>
      <c r="AG577" s="23" t="s">
        <v>637</v>
      </c>
      <c r="AH577" s="39">
        <v>44270</v>
      </c>
    </row>
    <row r="578" spans="1:48" ht="16">
      <c r="A578" s="63" t="s">
        <v>2992</v>
      </c>
      <c r="B578" s="23" t="s">
        <v>2993</v>
      </c>
      <c r="C578" s="140">
        <v>44236</v>
      </c>
      <c r="D578" s="23" t="s">
        <v>729</v>
      </c>
      <c r="E578" s="23" t="s">
        <v>752</v>
      </c>
      <c r="F578" s="23" t="s">
        <v>2994</v>
      </c>
      <c r="G578" s="23" t="s">
        <v>5538</v>
      </c>
      <c r="S578" s="23" t="s">
        <v>759</v>
      </c>
      <c r="T578" s="23" t="s">
        <v>12031</v>
      </c>
      <c r="U578" s="23" t="s">
        <v>2995</v>
      </c>
      <c r="V578" s="23" t="s">
        <v>299</v>
      </c>
      <c r="W578" s="19" t="s">
        <v>2422</v>
      </c>
      <c r="Y578" s="37">
        <v>5000</v>
      </c>
      <c r="AB578" s="23" t="s">
        <v>3043</v>
      </c>
      <c r="AC578" s="23" t="s">
        <v>123</v>
      </c>
      <c r="AD578" s="118"/>
      <c r="AE578" s="118"/>
      <c r="AG578" s="23" t="s">
        <v>2996</v>
      </c>
      <c r="AH578" s="39">
        <v>15</v>
      </c>
      <c r="AI578" s="23" t="s">
        <v>3049</v>
      </c>
      <c r="AJ578" s="75" t="s">
        <v>3064</v>
      </c>
      <c r="AL578" s="23" t="s">
        <v>3065</v>
      </c>
      <c r="AS578" s="23" t="s">
        <v>3061</v>
      </c>
      <c r="AU578" s="23" t="s">
        <v>3063</v>
      </c>
      <c r="AV578" s="23" t="s">
        <v>3062</v>
      </c>
    </row>
    <row r="579" spans="1:48" ht="96">
      <c r="A579" s="63" t="s">
        <v>3000</v>
      </c>
      <c r="B579" s="23" t="s">
        <v>2997</v>
      </c>
      <c r="C579" s="140">
        <v>44266</v>
      </c>
      <c r="D579" s="23" t="s">
        <v>729</v>
      </c>
      <c r="E579" s="23" t="s">
        <v>2919</v>
      </c>
      <c r="F579" s="23" t="s">
        <v>1723</v>
      </c>
      <c r="Q579" s="140">
        <v>44272</v>
      </c>
      <c r="S579" s="23" t="s">
        <v>2755</v>
      </c>
      <c r="T579" s="23" t="s">
        <v>363</v>
      </c>
      <c r="U579" s="23" t="s">
        <v>363</v>
      </c>
      <c r="V579" s="23" t="s">
        <v>298</v>
      </c>
      <c r="W579" s="23" t="s">
        <v>2903</v>
      </c>
      <c r="Y579" s="37">
        <v>39875</v>
      </c>
      <c r="AB579" s="19" t="s">
        <v>2998</v>
      </c>
      <c r="AC579" s="23" t="s">
        <v>2999</v>
      </c>
      <c r="AD579" s="118">
        <v>0</v>
      </c>
      <c r="AE579" s="118">
        <v>3</v>
      </c>
      <c r="AG579" s="23" t="s">
        <v>1921</v>
      </c>
      <c r="AH579" s="39">
        <v>44271</v>
      </c>
    </row>
    <row r="580" spans="1:48" ht="16">
      <c r="A580" s="63" t="s">
        <v>3001</v>
      </c>
      <c r="B580" s="23" t="s">
        <v>3002</v>
      </c>
      <c r="C580" s="140">
        <v>44268</v>
      </c>
      <c r="D580" s="23" t="s">
        <v>729</v>
      </c>
      <c r="E580" s="23" t="s">
        <v>752</v>
      </c>
      <c r="F580" s="23" t="s">
        <v>3400</v>
      </c>
      <c r="G580" s="23" t="s">
        <v>1724</v>
      </c>
      <c r="P580" s="23" t="s">
        <v>3007</v>
      </c>
      <c r="Q580" s="140">
        <v>44273</v>
      </c>
      <c r="S580" s="23" t="s">
        <v>3003</v>
      </c>
      <c r="T580" s="23" t="s">
        <v>12031</v>
      </c>
      <c r="U580" s="23" t="s">
        <v>12031</v>
      </c>
      <c r="V580" s="23" t="s">
        <v>298</v>
      </c>
      <c r="W580" s="19" t="s">
        <v>3031</v>
      </c>
      <c r="Y580" s="37">
        <v>6250</v>
      </c>
      <c r="AB580" s="23" t="s">
        <v>3004</v>
      </c>
      <c r="AC580" s="23" t="s">
        <v>3005</v>
      </c>
      <c r="AD580" s="118">
        <v>0</v>
      </c>
      <c r="AE580" s="118">
        <v>1</v>
      </c>
      <c r="AG580" s="23" t="s">
        <v>666</v>
      </c>
      <c r="AH580" s="39">
        <v>44272</v>
      </c>
    </row>
    <row r="581" spans="1:48">
      <c r="A581" s="63" t="s">
        <v>3006</v>
      </c>
      <c r="B581" s="23" t="s">
        <v>3008</v>
      </c>
      <c r="C581" s="140">
        <v>44268</v>
      </c>
      <c r="D581" s="23" t="s">
        <v>729</v>
      </c>
      <c r="E581" s="23" t="s">
        <v>2919</v>
      </c>
      <c r="F581" s="23" t="s">
        <v>1723</v>
      </c>
      <c r="G581" s="23" t="s">
        <v>1724</v>
      </c>
      <c r="Q581" s="140">
        <v>44273</v>
      </c>
      <c r="S581" s="23" t="s">
        <v>2755</v>
      </c>
      <c r="T581" s="23" t="s">
        <v>363</v>
      </c>
      <c r="U581" s="23" t="s">
        <v>363</v>
      </c>
      <c r="V581" s="23" t="s">
        <v>298</v>
      </c>
      <c r="W581" s="23" t="s">
        <v>2903</v>
      </c>
      <c r="Y581" s="37">
        <v>13300</v>
      </c>
      <c r="AB581" s="23" t="s">
        <v>3009</v>
      </c>
      <c r="AC581" s="23" t="s">
        <v>3010</v>
      </c>
      <c r="AD581" s="118">
        <v>2</v>
      </c>
      <c r="AE581" s="118">
        <v>1</v>
      </c>
      <c r="AG581" s="23" t="s">
        <v>2256</v>
      </c>
      <c r="AH581" s="39">
        <v>44272</v>
      </c>
    </row>
    <row r="582" spans="1:48">
      <c r="A582" s="63" t="s">
        <v>3011</v>
      </c>
      <c r="B582" s="23" t="s">
        <v>3012</v>
      </c>
      <c r="C582" s="140">
        <v>44267</v>
      </c>
      <c r="F582" s="23" t="s">
        <v>1723</v>
      </c>
      <c r="W582" s="23" t="s">
        <v>3013</v>
      </c>
      <c r="Y582" s="37">
        <v>5394.53</v>
      </c>
      <c r="AB582" s="23" t="s">
        <v>3014</v>
      </c>
      <c r="AC582" s="23" t="s">
        <v>3015</v>
      </c>
      <c r="AD582" s="118"/>
      <c r="AE582" s="118"/>
      <c r="AG582" s="23" t="s">
        <v>1581</v>
      </c>
      <c r="AH582" s="39">
        <v>44272</v>
      </c>
    </row>
    <row r="583" spans="1:48">
      <c r="A583" s="63" t="s">
        <v>3016</v>
      </c>
      <c r="B583" s="23" t="s">
        <v>3017</v>
      </c>
      <c r="C583" s="140">
        <v>44267</v>
      </c>
      <c r="F583" s="23" t="s">
        <v>1723</v>
      </c>
      <c r="G583" s="23" t="s">
        <v>1724</v>
      </c>
      <c r="W583" s="23" t="s">
        <v>3013</v>
      </c>
      <c r="Y583" s="37">
        <v>5422.1</v>
      </c>
      <c r="AB583" s="23" t="s">
        <v>3018</v>
      </c>
      <c r="AC583" s="23" t="s">
        <v>3019</v>
      </c>
      <c r="AD583" s="118"/>
      <c r="AE583" s="118"/>
      <c r="AG583" s="23" t="s">
        <v>1581</v>
      </c>
      <c r="AH583" s="39">
        <v>44272</v>
      </c>
    </row>
    <row r="584" spans="1:48">
      <c r="A584" s="63" t="s">
        <v>3020</v>
      </c>
      <c r="B584" s="23" t="s">
        <v>3021</v>
      </c>
      <c r="C584" s="140">
        <v>44270</v>
      </c>
      <c r="D584" s="23" t="s">
        <v>729</v>
      </c>
      <c r="E584" s="23" t="s">
        <v>2919</v>
      </c>
      <c r="F584" s="23" t="s">
        <v>1723</v>
      </c>
      <c r="G584" s="23" t="s">
        <v>1724</v>
      </c>
      <c r="Q584" s="140">
        <v>44273</v>
      </c>
      <c r="S584" s="23" t="s">
        <v>2755</v>
      </c>
      <c r="T584" s="23" t="s">
        <v>363</v>
      </c>
      <c r="U584" s="23" t="s">
        <v>363</v>
      </c>
      <c r="V584" s="23" t="s">
        <v>298</v>
      </c>
      <c r="W584" s="23" t="s">
        <v>1716</v>
      </c>
      <c r="Y584" s="37">
        <v>5680</v>
      </c>
      <c r="AB584" s="23" t="s">
        <v>3022</v>
      </c>
      <c r="AC584" s="23" t="s">
        <v>2900</v>
      </c>
      <c r="AD584" s="118">
        <v>0</v>
      </c>
      <c r="AE584" s="118">
        <v>3</v>
      </c>
      <c r="AG584" s="23" t="s">
        <v>1581</v>
      </c>
      <c r="AH584" s="39">
        <v>44272</v>
      </c>
    </row>
    <row r="585" spans="1:48">
      <c r="A585" s="63" t="s">
        <v>3023</v>
      </c>
      <c r="B585" s="23" t="s">
        <v>3024</v>
      </c>
      <c r="C585" s="140">
        <v>44271</v>
      </c>
      <c r="F585" s="23" t="s">
        <v>1723</v>
      </c>
      <c r="G585" s="23" t="s">
        <v>1724</v>
      </c>
      <c r="W585" s="23" t="s">
        <v>1716</v>
      </c>
      <c r="Y585" s="37">
        <v>5696</v>
      </c>
      <c r="AB585" s="23" t="s">
        <v>3025</v>
      </c>
      <c r="AC585" s="23" t="s">
        <v>2924</v>
      </c>
      <c r="AD585" s="118"/>
      <c r="AE585" s="118"/>
      <c r="AG585" s="23" t="s">
        <v>1581</v>
      </c>
      <c r="AH585" s="39">
        <v>44272</v>
      </c>
    </row>
    <row r="586" spans="1:48">
      <c r="A586" s="63" t="s">
        <v>3026</v>
      </c>
      <c r="B586" s="23" t="s">
        <v>3027</v>
      </c>
      <c r="C586" s="140">
        <v>44271</v>
      </c>
      <c r="F586" s="23" t="s">
        <v>1723</v>
      </c>
      <c r="W586" s="23" t="s">
        <v>3028</v>
      </c>
      <c r="Y586" s="37">
        <v>6000</v>
      </c>
      <c r="AB586" s="23" t="s">
        <v>3029</v>
      </c>
      <c r="AC586" s="23" t="s">
        <v>3030</v>
      </c>
      <c r="AD586" s="118"/>
      <c r="AE586" s="118"/>
      <c r="AG586" s="23" t="s">
        <v>637</v>
      </c>
      <c r="AH586" s="39">
        <v>44272</v>
      </c>
    </row>
    <row r="587" spans="1:48">
      <c r="A587" s="71" t="s">
        <v>3032</v>
      </c>
      <c r="B587" s="23" t="s">
        <v>3033</v>
      </c>
      <c r="C587" s="140">
        <v>44267</v>
      </c>
      <c r="D587" s="23" t="s">
        <v>729</v>
      </c>
      <c r="E587" s="23" t="s">
        <v>2919</v>
      </c>
      <c r="F587" s="23" t="s">
        <v>1723</v>
      </c>
      <c r="G587" s="23" t="s">
        <v>1724</v>
      </c>
      <c r="Q587" s="140">
        <v>44275</v>
      </c>
      <c r="S587" s="23" t="s">
        <v>2755</v>
      </c>
      <c r="T587" s="23" t="s">
        <v>363</v>
      </c>
      <c r="U587" s="23" t="s">
        <v>363</v>
      </c>
      <c r="V587" s="23" t="s">
        <v>298</v>
      </c>
      <c r="W587" s="23" t="s">
        <v>3013</v>
      </c>
      <c r="Y587" s="37">
        <v>5394.53</v>
      </c>
      <c r="AB587" s="23" t="s">
        <v>3034</v>
      </c>
      <c r="AC587" s="23" t="s">
        <v>3015</v>
      </c>
      <c r="AD587" s="118">
        <v>1</v>
      </c>
      <c r="AE587" s="118">
        <v>2</v>
      </c>
      <c r="AG587" s="23" t="s">
        <v>2717</v>
      </c>
      <c r="AH587" s="39">
        <v>44273</v>
      </c>
    </row>
    <row r="588" spans="1:48">
      <c r="A588" s="63" t="s">
        <v>3035</v>
      </c>
      <c r="B588" s="23" t="s">
        <v>3036</v>
      </c>
      <c r="C588" s="140">
        <v>44272</v>
      </c>
      <c r="F588" s="23" t="s">
        <v>1723</v>
      </c>
      <c r="W588" s="23" t="s">
        <v>3037</v>
      </c>
      <c r="Y588" s="37">
        <v>3412.5</v>
      </c>
      <c r="AB588" s="23" t="s">
        <v>3038</v>
      </c>
      <c r="AC588" s="23" t="s">
        <v>3039</v>
      </c>
      <c r="AD588" s="118"/>
      <c r="AE588" s="118"/>
      <c r="AG588" s="23" t="s">
        <v>637</v>
      </c>
      <c r="AH588" s="39">
        <v>44273</v>
      </c>
    </row>
    <row r="589" spans="1:48">
      <c r="A589" s="63" t="s">
        <v>3040</v>
      </c>
      <c r="B589" s="23" t="s">
        <v>3041</v>
      </c>
      <c r="C589" s="140">
        <v>44272</v>
      </c>
      <c r="F589" s="23" t="s">
        <v>1723</v>
      </c>
      <c r="W589" s="23" t="s">
        <v>2710</v>
      </c>
      <c r="Y589" s="37">
        <v>24300</v>
      </c>
      <c r="AB589" s="23" t="s">
        <v>3042</v>
      </c>
      <c r="AC589" s="23" t="s">
        <v>2896</v>
      </c>
      <c r="AD589" s="118"/>
      <c r="AE589" s="118"/>
      <c r="AG589" s="23" t="s">
        <v>637</v>
      </c>
      <c r="AH589" s="39">
        <v>44273</v>
      </c>
    </row>
    <row r="590" spans="1:48">
      <c r="A590" s="71" t="s">
        <v>3078</v>
      </c>
      <c r="B590" s="23" t="s">
        <v>3071</v>
      </c>
      <c r="C590" s="140">
        <v>44274</v>
      </c>
      <c r="D590" s="23" t="s">
        <v>729</v>
      </c>
      <c r="E590" s="23" t="s">
        <v>2919</v>
      </c>
      <c r="F590" s="23" t="s">
        <v>1723</v>
      </c>
      <c r="G590" s="23" t="s">
        <v>1724</v>
      </c>
      <c r="Q590" s="140">
        <v>44278</v>
      </c>
      <c r="S590" s="23" t="s">
        <v>2755</v>
      </c>
      <c r="T590" s="23" t="s">
        <v>363</v>
      </c>
      <c r="U590" s="23" t="s">
        <v>363</v>
      </c>
      <c r="V590" s="23" t="s">
        <v>298</v>
      </c>
      <c r="W590" s="23" t="s">
        <v>1716</v>
      </c>
      <c r="Y590" s="37">
        <v>5664</v>
      </c>
      <c r="AB590" s="23" t="s">
        <v>3072</v>
      </c>
      <c r="AC590" s="23" t="s">
        <v>2986</v>
      </c>
      <c r="AD590" s="118">
        <v>0</v>
      </c>
      <c r="AE590" s="118">
        <v>3</v>
      </c>
      <c r="AG590" s="23" t="s">
        <v>1640</v>
      </c>
      <c r="AH590" s="39">
        <v>44277</v>
      </c>
    </row>
    <row r="591" spans="1:48">
      <c r="A591" s="63" t="s">
        <v>3079</v>
      </c>
      <c r="B591" s="23" t="s">
        <v>3073</v>
      </c>
      <c r="C591" s="140">
        <v>44274</v>
      </c>
      <c r="F591" s="23" t="s">
        <v>1723</v>
      </c>
      <c r="W591" s="23" t="s">
        <v>2710</v>
      </c>
      <c r="Y591" s="37">
        <v>21600</v>
      </c>
      <c r="AB591" s="23" t="s">
        <v>3074</v>
      </c>
      <c r="AC591" s="23" t="s">
        <v>3081</v>
      </c>
      <c r="AD591" s="118"/>
      <c r="AE591" s="118"/>
      <c r="AG591" s="23" t="s">
        <v>637</v>
      </c>
      <c r="AH591" s="39">
        <v>44277</v>
      </c>
    </row>
    <row r="592" spans="1:48">
      <c r="A592" s="63" t="s">
        <v>3080</v>
      </c>
      <c r="B592" s="23" t="s">
        <v>3075</v>
      </c>
      <c r="C592" s="140">
        <v>44274</v>
      </c>
      <c r="F592" s="23" t="s">
        <v>1723</v>
      </c>
      <c r="W592" s="23" t="s">
        <v>3076</v>
      </c>
      <c r="Y592" s="37">
        <v>20700</v>
      </c>
      <c r="AB592" s="23" t="s">
        <v>3077</v>
      </c>
      <c r="AC592" s="23" t="s">
        <v>3082</v>
      </c>
      <c r="AD592" s="118"/>
      <c r="AE592" s="118"/>
      <c r="AG592" s="23" t="s">
        <v>637</v>
      </c>
      <c r="AH592" s="39">
        <v>44277</v>
      </c>
    </row>
    <row r="593" spans="1:34">
      <c r="A593" s="71" t="s">
        <v>3083</v>
      </c>
      <c r="B593" s="23" t="s">
        <v>3084</v>
      </c>
      <c r="C593" s="140">
        <v>44276</v>
      </c>
      <c r="D593" s="23" t="s">
        <v>729</v>
      </c>
      <c r="E593" s="23" t="s">
        <v>2919</v>
      </c>
      <c r="F593" s="23" t="s">
        <v>1723</v>
      </c>
      <c r="G593" s="23" t="s">
        <v>1724</v>
      </c>
      <c r="Q593" s="140">
        <v>44279</v>
      </c>
      <c r="S593" s="23" t="s">
        <v>2755</v>
      </c>
      <c r="T593" s="23" t="s">
        <v>363</v>
      </c>
      <c r="U593" s="23" t="s">
        <v>363</v>
      </c>
      <c r="V593" s="23" t="s">
        <v>298</v>
      </c>
      <c r="W593" s="23" t="s">
        <v>3085</v>
      </c>
      <c r="Y593" s="37">
        <v>18580</v>
      </c>
      <c r="AB593" s="23" t="s">
        <v>3086</v>
      </c>
      <c r="AC593" s="23" t="s">
        <v>3087</v>
      </c>
      <c r="AD593" s="118">
        <v>0</v>
      </c>
      <c r="AE593" s="118">
        <v>4</v>
      </c>
      <c r="AG593" s="23" t="s">
        <v>1640</v>
      </c>
      <c r="AH593" s="39">
        <v>44277</v>
      </c>
    </row>
    <row r="594" spans="1:34">
      <c r="A594" s="63" t="s">
        <v>3088</v>
      </c>
      <c r="B594" s="23" t="s">
        <v>3089</v>
      </c>
      <c r="C594" s="140">
        <v>44276</v>
      </c>
      <c r="F594" s="23" t="s">
        <v>1723</v>
      </c>
      <c r="G594" s="23" t="s">
        <v>1724</v>
      </c>
      <c r="W594" s="23" t="s">
        <v>2710</v>
      </c>
      <c r="Y594" s="37">
        <v>24300</v>
      </c>
      <c r="AB594" s="23" t="s">
        <v>3090</v>
      </c>
      <c r="AC594" s="23" t="s">
        <v>2896</v>
      </c>
      <c r="AD594" s="118"/>
      <c r="AE594" s="118"/>
      <c r="AG594" s="23" t="s">
        <v>637</v>
      </c>
      <c r="AH594" s="39">
        <v>44277</v>
      </c>
    </row>
    <row r="595" spans="1:34">
      <c r="A595" s="63" t="s">
        <v>3091</v>
      </c>
      <c r="B595" s="23" t="s">
        <v>3092</v>
      </c>
      <c r="C595" s="140">
        <v>44276</v>
      </c>
      <c r="F595" s="23" t="s">
        <v>1723</v>
      </c>
      <c r="G595" s="23" t="s">
        <v>1724</v>
      </c>
      <c r="W595" s="23" t="s">
        <v>2903</v>
      </c>
      <c r="Y595" s="37">
        <v>13300</v>
      </c>
      <c r="AB595" s="23" t="s">
        <v>3093</v>
      </c>
      <c r="AC595" s="23" t="s">
        <v>3010</v>
      </c>
      <c r="AD595" s="118"/>
      <c r="AE595" s="118"/>
      <c r="AG595" s="23" t="s">
        <v>1921</v>
      </c>
      <c r="AH595" s="39">
        <v>44277</v>
      </c>
    </row>
    <row r="596" spans="1:34">
      <c r="A596" s="63" t="s">
        <v>3094</v>
      </c>
      <c r="B596" s="23" t="s">
        <v>3095</v>
      </c>
      <c r="C596" s="140">
        <v>44275</v>
      </c>
      <c r="F596" s="23" t="s">
        <v>1723</v>
      </c>
      <c r="H596" s="23" t="s">
        <v>3096</v>
      </c>
      <c r="W596" s="23" t="s">
        <v>2903</v>
      </c>
      <c r="Y596" s="37">
        <v>13375</v>
      </c>
      <c r="AB596" s="23" t="s">
        <v>3097</v>
      </c>
      <c r="AC596" s="23" t="s">
        <v>3098</v>
      </c>
      <c r="AD596" s="118"/>
      <c r="AE596" s="118"/>
      <c r="AG596" s="23" t="s">
        <v>666</v>
      </c>
      <c r="AH596" s="39">
        <v>44277</v>
      </c>
    </row>
    <row r="597" spans="1:34">
      <c r="A597" s="63" t="s">
        <v>3099</v>
      </c>
      <c r="B597" s="23" t="s">
        <v>3100</v>
      </c>
      <c r="C597" s="140">
        <v>44277</v>
      </c>
      <c r="D597" s="23" t="s">
        <v>729</v>
      </c>
      <c r="E597" s="23" t="s">
        <v>2919</v>
      </c>
      <c r="F597" s="23" t="s">
        <v>1723</v>
      </c>
      <c r="G597" s="23" t="s">
        <v>1724</v>
      </c>
      <c r="Q597" s="140">
        <v>44280</v>
      </c>
      <c r="S597" s="23" t="s">
        <v>2755</v>
      </c>
      <c r="T597" s="23" t="s">
        <v>363</v>
      </c>
      <c r="U597" s="23" t="s">
        <v>363</v>
      </c>
      <c r="V597" s="23" t="s">
        <v>298</v>
      </c>
      <c r="W597" s="23" t="s">
        <v>3101</v>
      </c>
      <c r="Y597" s="37">
        <v>21500</v>
      </c>
      <c r="AB597" s="23" t="s">
        <v>3102</v>
      </c>
      <c r="AC597" s="23" t="s">
        <v>3103</v>
      </c>
      <c r="AD597" s="118">
        <v>0</v>
      </c>
      <c r="AE597" s="118">
        <v>2</v>
      </c>
      <c r="AG597" s="23" t="s">
        <v>1640</v>
      </c>
      <c r="AH597" s="39">
        <v>44279</v>
      </c>
    </row>
    <row r="598" spans="1:34">
      <c r="A598" s="63" t="s">
        <v>3104</v>
      </c>
      <c r="B598" s="23" t="s">
        <v>3105</v>
      </c>
      <c r="C598" s="140">
        <v>44278</v>
      </c>
      <c r="F598" s="23" t="s">
        <v>1723</v>
      </c>
      <c r="G598" s="23" t="s">
        <v>1724</v>
      </c>
      <c r="W598" s="23" t="s">
        <v>3106</v>
      </c>
      <c r="Y598" s="37">
        <v>21500</v>
      </c>
      <c r="AB598" s="23" t="s">
        <v>3107</v>
      </c>
      <c r="AC598" s="23" t="s">
        <v>3108</v>
      </c>
      <c r="AD598" s="118"/>
      <c r="AE598" s="118"/>
      <c r="AG598" s="23" t="s">
        <v>637</v>
      </c>
      <c r="AH598" s="39">
        <v>44279</v>
      </c>
    </row>
    <row r="599" spans="1:34">
      <c r="A599" s="63" t="s">
        <v>3110</v>
      </c>
      <c r="B599" s="23" t="s">
        <v>3111</v>
      </c>
      <c r="C599" s="140">
        <v>44278</v>
      </c>
      <c r="D599" s="23" t="s">
        <v>729</v>
      </c>
      <c r="E599" s="23" t="s">
        <v>2919</v>
      </c>
      <c r="F599" s="23" t="s">
        <v>1723</v>
      </c>
      <c r="G599" s="23" t="s">
        <v>1724</v>
      </c>
      <c r="Q599" s="140">
        <v>44282</v>
      </c>
      <c r="S599" s="23" t="s">
        <v>2755</v>
      </c>
      <c r="T599" s="23" t="s">
        <v>363</v>
      </c>
      <c r="U599" s="23" t="s">
        <v>363</v>
      </c>
      <c r="V599" s="23" t="s">
        <v>298</v>
      </c>
      <c r="W599" s="23" t="s">
        <v>3112</v>
      </c>
      <c r="Y599" s="37">
        <v>6500</v>
      </c>
      <c r="AB599" s="23" t="s">
        <v>3113</v>
      </c>
      <c r="AC599" s="23" t="s">
        <v>3019</v>
      </c>
      <c r="AD599" s="118">
        <v>0</v>
      </c>
      <c r="AE599" s="118">
        <v>2</v>
      </c>
      <c r="AG599" s="23" t="s">
        <v>1640</v>
      </c>
      <c r="AH599" s="39">
        <v>44280</v>
      </c>
    </row>
    <row r="600" spans="1:34">
      <c r="A600" s="63" t="s">
        <v>3114</v>
      </c>
      <c r="B600" s="23" t="s">
        <v>3115</v>
      </c>
      <c r="C600" s="140">
        <v>44278</v>
      </c>
      <c r="F600" s="23" t="s">
        <v>1723</v>
      </c>
      <c r="G600" s="23" t="s">
        <v>1724</v>
      </c>
      <c r="W600" s="23" t="s">
        <v>2710</v>
      </c>
      <c r="Y600" s="37">
        <v>21900</v>
      </c>
      <c r="AB600" s="23" t="s">
        <v>3116</v>
      </c>
      <c r="AC600" s="23" t="s">
        <v>3117</v>
      </c>
      <c r="AD600" s="118"/>
      <c r="AE600" s="118"/>
      <c r="AG600" s="23" t="s">
        <v>637</v>
      </c>
      <c r="AH600" s="39">
        <v>44281</v>
      </c>
    </row>
    <row r="601" spans="1:34">
      <c r="A601" s="70" t="s">
        <v>3119</v>
      </c>
      <c r="B601" s="23" t="s">
        <v>3118</v>
      </c>
      <c r="C601" s="140">
        <v>44279</v>
      </c>
      <c r="D601" s="23" t="s">
        <v>729</v>
      </c>
      <c r="E601" s="23" t="s">
        <v>2919</v>
      </c>
      <c r="F601" s="23" t="s">
        <v>1723</v>
      </c>
      <c r="G601" s="23" t="s">
        <v>1724</v>
      </c>
      <c r="Q601" s="140">
        <v>44283</v>
      </c>
      <c r="S601" s="23" t="s">
        <v>300</v>
      </c>
      <c r="T601" s="23" t="s">
        <v>363</v>
      </c>
      <c r="U601" s="23" t="s">
        <v>363</v>
      </c>
      <c r="V601" s="23" t="s">
        <v>298</v>
      </c>
      <c r="W601" s="23" t="s">
        <v>3120</v>
      </c>
      <c r="Y601" s="37">
        <v>19780</v>
      </c>
      <c r="AB601" s="23" t="s">
        <v>3121</v>
      </c>
      <c r="AD601" s="118">
        <v>0</v>
      </c>
      <c r="AE601" s="118">
        <v>1</v>
      </c>
      <c r="AG601" s="23" t="s">
        <v>1640</v>
      </c>
      <c r="AH601" s="39">
        <v>44281</v>
      </c>
    </row>
    <row r="602" spans="1:34">
      <c r="A602" s="72" t="s">
        <v>3122</v>
      </c>
      <c r="B602" s="23" t="s">
        <v>3123</v>
      </c>
      <c r="C602" s="140">
        <v>44280</v>
      </c>
      <c r="D602" s="23" t="s">
        <v>729</v>
      </c>
      <c r="E602" s="23" t="s">
        <v>2919</v>
      </c>
      <c r="F602" s="23" t="s">
        <v>1723</v>
      </c>
      <c r="G602" s="23" t="s">
        <v>1724</v>
      </c>
      <c r="Q602" s="140">
        <v>44285</v>
      </c>
      <c r="S602" s="23" t="s">
        <v>300</v>
      </c>
      <c r="T602" s="23" t="s">
        <v>363</v>
      </c>
      <c r="U602" s="23" t="s">
        <v>363</v>
      </c>
      <c r="V602" s="23" t="s">
        <v>298</v>
      </c>
      <c r="W602" s="23" t="s">
        <v>2710</v>
      </c>
      <c r="Y602" s="37">
        <v>24300</v>
      </c>
      <c r="AB602" s="23" t="s">
        <v>3124</v>
      </c>
      <c r="AC602" s="23" t="s">
        <v>2896</v>
      </c>
      <c r="AD602" s="118">
        <v>0</v>
      </c>
      <c r="AE602" s="118">
        <v>4</v>
      </c>
      <c r="AG602" s="23" t="s">
        <v>637</v>
      </c>
      <c r="AH602" s="39">
        <v>44284</v>
      </c>
    </row>
    <row r="603" spans="1:34">
      <c r="A603" s="72" t="s">
        <v>3125</v>
      </c>
      <c r="B603" s="23" t="s">
        <v>3126</v>
      </c>
      <c r="C603" s="140">
        <v>44280</v>
      </c>
      <c r="F603" s="23" t="s">
        <v>1723</v>
      </c>
      <c r="G603" s="23" t="s">
        <v>1724</v>
      </c>
      <c r="W603" s="23" t="s">
        <v>3112</v>
      </c>
      <c r="Y603" s="37">
        <v>6500</v>
      </c>
      <c r="AB603" s="23" t="s">
        <v>3127</v>
      </c>
      <c r="AC603" s="23" t="s">
        <v>3128</v>
      </c>
      <c r="AD603" s="118"/>
      <c r="AE603" s="118"/>
      <c r="AG603" s="23" t="s">
        <v>1640</v>
      </c>
      <c r="AH603" s="39">
        <v>44284</v>
      </c>
    </row>
    <row r="604" spans="1:34" ht="64">
      <c r="A604" s="72" t="s">
        <v>3129</v>
      </c>
      <c r="B604" s="23" t="s">
        <v>3130</v>
      </c>
      <c r="C604" s="140">
        <v>44280</v>
      </c>
      <c r="F604" s="23" t="s">
        <v>1723</v>
      </c>
      <c r="G604" s="23" t="s">
        <v>1724</v>
      </c>
      <c r="W604" s="23" t="s">
        <v>3131</v>
      </c>
      <c r="Y604" s="37">
        <v>26600</v>
      </c>
      <c r="AB604" s="19" t="s">
        <v>3132</v>
      </c>
      <c r="AC604" s="23" t="s">
        <v>3133</v>
      </c>
      <c r="AD604" s="118"/>
      <c r="AE604" s="118"/>
      <c r="AG604" s="23" t="s">
        <v>3134</v>
      </c>
      <c r="AH604" s="39">
        <v>44284</v>
      </c>
    </row>
    <row r="605" spans="1:34">
      <c r="A605" s="72" t="s">
        <v>3135</v>
      </c>
      <c r="B605" s="23" t="s">
        <v>3137</v>
      </c>
      <c r="C605" s="140">
        <v>44244</v>
      </c>
      <c r="D605" s="23" t="s">
        <v>729</v>
      </c>
      <c r="E605" s="23" t="s">
        <v>752</v>
      </c>
      <c r="F605" s="23" t="s">
        <v>2200</v>
      </c>
      <c r="G605" s="23" t="s">
        <v>2131</v>
      </c>
      <c r="H605" s="23">
        <v>55004698</v>
      </c>
      <c r="I605" s="23">
        <v>55004698</v>
      </c>
      <c r="J605" s="140">
        <v>44238</v>
      </c>
      <c r="K605" s="23" t="s">
        <v>3138</v>
      </c>
      <c r="L605" s="140">
        <v>44250</v>
      </c>
      <c r="M605" s="26">
        <v>44284</v>
      </c>
      <c r="P605" s="23" t="s">
        <v>3139</v>
      </c>
      <c r="Q605" s="140">
        <v>44271</v>
      </c>
      <c r="S605" s="23" t="s">
        <v>3140</v>
      </c>
      <c r="T605" s="23" t="s">
        <v>305</v>
      </c>
      <c r="U605" s="23" t="s">
        <v>305</v>
      </c>
      <c r="V605" s="23" t="s">
        <v>298</v>
      </c>
      <c r="W605" s="23" t="s">
        <v>3141</v>
      </c>
      <c r="Y605" s="37">
        <v>7967</v>
      </c>
      <c r="AB605" s="59" t="s">
        <v>3142</v>
      </c>
      <c r="AC605" s="23" t="s">
        <v>3143</v>
      </c>
      <c r="AD605" s="118">
        <v>0</v>
      </c>
      <c r="AE605" s="118">
        <v>1</v>
      </c>
      <c r="AG605" s="23" t="s">
        <v>3144</v>
      </c>
      <c r="AH605" s="39">
        <v>44285</v>
      </c>
    </row>
    <row r="606" spans="1:34">
      <c r="A606" s="73" t="s">
        <v>3136</v>
      </c>
      <c r="B606" s="23" t="s">
        <v>3146</v>
      </c>
      <c r="C606" s="140">
        <v>44244</v>
      </c>
      <c r="D606" s="23" t="s">
        <v>729</v>
      </c>
      <c r="E606" s="23" t="s">
        <v>752</v>
      </c>
      <c r="F606" s="23" t="s">
        <v>2200</v>
      </c>
      <c r="G606" s="23" t="s">
        <v>2131</v>
      </c>
      <c r="H606" s="23">
        <v>55004695</v>
      </c>
      <c r="I606" s="23">
        <v>55004695</v>
      </c>
      <c r="J606" s="140">
        <v>44237</v>
      </c>
      <c r="K606" s="23" t="s">
        <v>3145</v>
      </c>
      <c r="L606" s="140">
        <v>44249</v>
      </c>
      <c r="M606" s="26">
        <v>44284</v>
      </c>
      <c r="P606" s="23" t="s">
        <v>3139</v>
      </c>
      <c r="Q606" s="140">
        <v>44271</v>
      </c>
      <c r="S606" s="23" t="s">
        <v>3140</v>
      </c>
      <c r="T606" s="23" t="s">
        <v>305</v>
      </c>
      <c r="U606" s="23" t="s">
        <v>305</v>
      </c>
      <c r="V606" s="23" t="s">
        <v>298</v>
      </c>
      <c r="W606" s="23" t="s">
        <v>3141</v>
      </c>
      <c r="Y606" s="37">
        <v>8040</v>
      </c>
      <c r="AB606" s="59" t="s">
        <v>3147</v>
      </c>
      <c r="AC606" s="23" t="s">
        <v>3148</v>
      </c>
      <c r="AD606" s="118">
        <v>0</v>
      </c>
      <c r="AE606" s="118">
        <v>1</v>
      </c>
      <c r="AG606" s="23" t="s">
        <v>3144</v>
      </c>
      <c r="AH606" s="39">
        <v>44285</v>
      </c>
    </row>
    <row r="607" spans="1:34">
      <c r="A607" s="72" t="s">
        <v>3153</v>
      </c>
      <c r="B607" s="23" t="s">
        <v>3159</v>
      </c>
      <c r="C607" s="140">
        <v>44284</v>
      </c>
      <c r="D607" s="23" t="s">
        <v>729</v>
      </c>
      <c r="E607" s="23" t="s">
        <v>2919</v>
      </c>
      <c r="F607" s="23" t="s">
        <v>1723</v>
      </c>
      <c r="G607" s="23" t="s">
        <v>1724</v>
      </c>
      <c r="Q607" s="140">
        <v>44287</v>
      </c>
      <c r="S607" s="23" t="s">
        <v>300</v>
      </c>
      <c r="T607" s="23" t="s">
        <v>363</v>
      </c>
      <c r="U607" s="23" t="s">
        <v>363</v>
      </c>
      <c r="V607" s="23" t="s">
        <v>298</v>
      </c>
      <c r="W607" s="23" t="s">
        <v>3161</v>
      </c>
      <c r="Y607" s="37">
        <v>20022</v>
      </c>
      <c r="AB607" s="23" t="s">
        <v>3162</v>
      </c>
      <c r="AC607" s="23" t="s">
        <v>3165</v>
      </c>
      <c r="AD607" s="118">
        <v>0</v>
      </c>
      <c r="AE607" s="118">
        <v>2</v>
      </c>
      <c r="AG607" s="23" t="s">
        <v>3163</v>
      </c>
      <c r="AH607" s="39">
        <v>44286</v>
      </c>
    </row>
    <row r="608" spans="1:34">
      <c r="A608" s="72" t="s">
        <v>3154</v>
      </c>
      <c r="B608" s="23" t="s">
        <v>3160</v>
      </c>
      <c r="C608" s="140">
        <v>44284</v>
      </c>
      <c r="F608" s="23" t="s">
        <v>1723</v>
      </c>
      <c r="W608" s="23" t="s">
        <v>2710</v>
      </c>
      <c r="Y608" s="37">
        <v>24360</v>
      </c>
      <c r="AB608" s="23" t="s">
        <v>3164</v>
      </c>
      <c r="AC608" s="23" t="s">
        <v>2958</v>
      </c>
      <c r="AD608" s="118"/>
      <c r="AE608" s="118"/>
      <c r="AG608" s="23" t="s">
        <v>2352</v>
      </c>
      <c r="AH608" s="39">
        <v>44286</v>
      </c>
    </row>
    <row r="609" spans="1:35">
      <c r="A609" s="72" t="s">
        <v>3152</v>
      </c>
      <c r="B609" s="23" t="s">
        <v>3149</v>
      </c>
      <c r="C609" s="140">
        <v>44278</v>
      </c>
      <c r="D609" s="23" t="s">
        <v>729</v>
      </c>
      <c r="E609" s="23" t="s">
        <v>2919</v>
      </c>
      <c r="F609" s="23" t="s">
        <v>1723</v>
      </c>
      <c r="G609" s="23" t="s">
        <v>1724</v>
      </c>
      <c r="Q609" s="140">
        <v>44287</v>
      </c>
      <c r="S609" s="23" t="s">
        <v>300</v>
      </c>
      <c r="T609" s="23" t="s">
        <v>363</v>
      </c>
      <c r="U609" s="23" t="s">
        <v>363</v>
      </c>
      <c r="V609" s="23" t="s">
        <v>298</v>
      </c>
      <c r="W609" s="23" t="s">
        <v>3150</v>
      </c>
      <c r="Y609" s="37">
        <v>7100</v>
      </c>
      <c r="AB609" s="23" t="s">
        <v>3151</v>
      </c>
      <c r="AC609" s="23" t="s">
        <v>3155</v>
      </c>
      <c r="AD609" s="118">
        <v>1</v>
      </c>
      <c r="AE609" s="118">
        <v>0</v>
      </c>
      <c r="AG609" s="23" t="s">
        <v>2352</v>
      </c>
      <c r="AH609" s="39">
        <v>44286</v>
      </c>
    </row>
    <row r="610" spans="1:35" ht="144">
      <c r="A610" s="72" t="s">
        <v>3156</v>
      </c>
      <c r="B610" s="23" t="s">
        <v>3166</v>
      </c>
      <c r="C610" s="140">
        <v>44272</v>
      </c>
      <c r="D610" s="23" t="s">
        <v>729</v>
      </c>
      <c r="E610" s="23" t="s">
        <v>752</v>
      </c>
      <c r="F610" s="23" t="s">
        <v>2200</v>
      </c>
      <c r="G610" s="23" t="s">
        <v>2131</v>
      </c>
      <c r="H610" s="23" t="s">
        <v>3167</v>
      </c>
      <c r="I610" s="23" t="s">
        <v>3167</v>
      </c>
      <c r="J610" s="140">
        <v>44270</v>
      </c>
      <c r="K610" s="23" t="s">
        <v>3168</v>
      </c>
      <c r="L610" s="140">
        <v>44280</v>
      </c>
      <c r="S610" s="23" t="s">
        <v>300</v>
      </c>
      <c r="T610" s="23" t="s">
        <v>305</v>
      </c>
      <c r="U610" s="23" t="s">
        <v>305</v>
      </c>
      <c r="V610" s="23" t="s">
        <v>299</v>
      </c>
      <c r="W610" s="23" t="s">
        <v>3172</v>
      </c>
      <c r="Y610" s="37">
        <v>29680</v>
      </c>
      <c r="AB610" s="19" t="s">
        <v>3374</v>
      </c>
      <c r="AC610" s="23" t="s">
        <v>3158</v>
      </c>
      <c r="AD610" s="118">
        <v>0</v>
      </c>
      <c r="AE610" s="118">
        <v>9</v>
      </c>
      <c r="AG610" s="23" t="s">
        <v>1553</v>
      </c>
      <c r="AH610" s="39">
        <v>44287</v>
      </c>
    </row>
    <row r="611" spans="1:35" ht="160">
      <c r="A611" s="73" t="s">
        <v>3157</v>
      </c>
      <c r="B611" s="23" t="s">
        <v>3169</v>
      </c>
      <c r="C611" s="140">
        <v>44272</v>
      </c>
      <c r="D611" s="23" t="s">
        <v>729</v>
      </c>
      <c r="E611" s="23" t="s">
        <v>752</v>
      </c>
      <c r="F611" s="23" t="s">
        <v>2200</v>
      </c>
      <c r="G611" s="23" t="s">
        <v>2131</v>
      </c>
      <c r="H611" s="23" t="s">
        <v>3170</v>
      </c>
      <c r="I611" s="23" t="s">
        <v>3170</v>
      </c>
      <c r="J611" s="140">
        <v>44270</v>
      </c>
      <c r="K611" s="23" t="s">
        <v>3171</v>
      </c>
      <c r="L611" s="140">
        <v>44280</v>
      </c>
      <c r="S611" s="23" t="s">
        <v>300</v>
      </c>
      <c r="T611" s="23" t="s">
        <v>305</v>
      </c>
      <c r="U611" s="23" t="s">
        <v>305</v>
      </c>
      <c r="V611" s="23" t="s">
        <v>299</v>
      </c>
      <c r="W611" s="23" t="s">
        <v>3172</v>
      </c>
      <c r="Y611" s="37">
        <v>32820</v>
      </c>
      <c r="AB611" s="19" t="s">
        <v>3375</v>
      </c>
      <c r="AC611" s="23" t="s">
        <v>3231</v>
      </c>
      <c r="AD611" s="118">
        <v>0</v>
      </c>
      <c r="AE611" s="118">
        <v>10</v>
      </c>
      <c r="AG611" s="23" t="s">
        <v>1553</v>
      </c>
      <c r="AH611" s="39">
        <v>44287</v>
      </c>
    </row>
    <row r="612" spans="1:35">
      <c r="A612" s="72" t="s">
        <v>3173</v>
      </c>
      <c r="B612" s="23" t="s">
        <v>3174</v>
      </c>
      <c r="C612" s="140">
        <v>44251</v>
      </c>
      <c r="D612" s="23" t="s">
        <v>729</v>
      </c>
      <c r="E612" s="23" t="s">
        <v>752</v>
      </c>
      <c r="F612" s="23" t="s">
        <v>2944</v>
      </c>
      <c r="G612" s="23" t="s">
        <v>1989</v>
      </c>
      <c r="S612" s="23" t="s">
        <v>3228</v>
      </c>
      <c r="T612" s="23" t="s">
        <v>12031</v>
      </c>
      <c r="U612" s="23" t="s">
        <v>12031</v>
      </c>
      <c r="V612" s="23" t="s">
        <v>299</v>
      </c>
      <c r="W612" s="23" t="s">
        <v>3229</v>
      </c>
      <c r="Y612" s="37">
        <v>2500</v>
      </c>
      <c r="AB612" s="23" t="s">
        <v>3230</v>
      </c>
      <c r="AC612" s="23" t="s">
        <v>131</v>
      </c>
      <c r="AD612" s="118">
        <v>0</v>
      </c>
      <c r="AE612" s="118">
        <v>1</v>
      </c>
      <c r="AG612" s="23" t="s">
        <v>3232</v>
      </c>
      <c r="AH612" s="39">
        <v>44287</v>
      </c>
      <c r="AI612" s="53" t="s">
        <v>3351</v>
      </c>
    </row>
    <row r="613" spans="1:35" ht="48">
      <c r="A613" s="72" t="s">
        <v>3175</v>
      </c>
      <c r="B613" s="23" t="s">
        <v>3176</v>
      </c>
      <c r="C613" s="140">
        <v>44286</v>
      </c>
      <c r="D613" s="23" t="s">
        <v>729</v>
      </c>
      <c r="E613" s="23" t="s">
        <v>2919</v>
      </c>
      <c r="F613" s="23" t="s">
        <v>1723</v>
      </c>
      <c r="G613" s="23" t="s">
        <v>1724</v>
      </c>
      <c r="Q613" s="141" t="s">
        <v>3180</v>
      </c>
      <c r="S613" s="23" t="s">
        <v>300</v>
      </c>
      <c r="T613" s="23" t="s">
        <v>363</v>
      </c>
      <c r="U613" s="23" t="s">
        <v>363</v>
      </c>
      <c r="V613" s="23" t="s">
        <v>298</v>
      </c>
      <c r="W613" s="23" t="s">
        <v>3177</v>
      </c>
      <c r="Y613" s="37">
        <v>16900</v>
      </c>
      <c r="Z613" s="23">
        <v>75</v>
      </c>
      <c r="AB613" s="19" t="s">
        <v>3179</v>
      </c>
      <c r="AC613" s="23" t="s">
        <v>3178</v>
      </c>
      <c r="AD613" s="118">
        <v>0</v>
      </c>
      <c r="AE613" s="118">
        <v>1</v>
      </c>
      <c r="AF613" s="19" t="s">
        <v>3181</v>
      </c>
      <c r="AG613" s="23" t="s">
        <v>1640</v>
      </c>
      <c r="AH613" s="39">
        <v>44287</v>
      </c>
    </row>
    <row r="614" spans="1:35">
      <c r="A614" s="72" t="s">
        <v>3182</v>
      </c>
      <c r="B614" s="23" t="s">
        <v>3183</v>
      </c>
      <c r="C614" s="140">
        <v>44289</v>
      </c>
      <c r="D614" s="23" t="s">
        <v>729</v>
      </c>
      <c r="E614" s="23" t="s">
        <v>2919</v>
      </c>
      <c r="F614" s="23" t="s">
        <v>1723</v>
      </c>
      <c r="G614" s="23" t="s">
        <v>1724</v>
      </c>
      <c r="Q614" s="141" t="s">
        <v>3194</v>
      </c>
      <c r="S614" s="23" t="s">
        <v>300</v>
      </c>
      <c r="T614" s="23" t="s">
        <v>363</v>
      </c>
      <c r="U614" s="23" t="s">
        <v>363</v>
      </c>
      <c r="V614" s="23" t="s">
        <v>298</v>
      </c>
      <c r="W614" s="23" t="s">
        <v>2710</v>
      </c>
      <c r="Y614" s="37">
        <v>21900</v>
      </c>
      <c r="Z614" s="23">
        <v>73.5</v>
      </c>
      <c r="AB614" s="23" t="s">
        <v>3184</v>
      </c>
      <c r="AC614" s="23" t="s">
        <v>3117</v>
      </c>
      <c r="AD614" s="118">
        <v>0</v>
      </c>
      <c r="AE614" s="118">
        <v>2</v>
      </c>
      <c r="AF614" s="23" t="s">
        <v>3181</v>
      </c>
      <c r="AG614" s="23" t="s">
        <v>637</v>
      </c>
      <c r="AH614" s="39">
        <v>44289</v>
      </c>
    </row>
    <row r="615" spans="1:35">
      <c r="A615" s="72" t="s">
        <v>3185</v>
      </c>
      <c r="B615" s="23" t="s">
        <v>3186</v>
      </c>
      <c r="C615" s="140">
        <v>44289</v>
      </c>
      <c r="F615" s="23" t="s">
        <v>1723</v>
      </c>
      <c r="Q615" s="141"/>
      <c r="W615" s="23" t="s">
        <v>3187</v>
      </c>
      <c r="Y615" s="37">
        <v>19790</v>
      </c>
      <c r="Z615" s="23">
        <v>75</v>
      </c>
      <c r="AB615" s="23" t="s">
        <v>3188</v>
      </c>
      <c r="AC615" s="23" t="s">
        <v>3189</v>
      </c>
      <c r="AD615" s="118"/>
      <c r="AE615" s="118"/>
      <c r="AF615" s="23" t="s">
        <v>3181</v>
      </c>
      <c r="AG615" s="23" t="s">
        <v>1640</v>
      </c>
      <c r="AH615" s="39">
        <v>44289</v>
      </c>
    </row>
    <row r="616" spans="1:35">
      <c r="A616" s="72" t="s">
        <v>3190</v>
      </c>
      <c r="B616" s="23" t="s">
        <v>3191</v>
      </c>
      <c r="C616" s="140">
        <v>44287</v>
      </c>
      <c r="D616" s="23" t="s">
        <v>729</v>
      </c>
      <c r="E616" s="23" t="s">
        <v>2919</v>
      </c>
      <c r="F616" s="23" t="s">
        <v>1723</v>
      </c>
      <c r="G616" s="23" t="s">
        <v>1724</v>
      </c>
      <c r="Q616" s="141" t="s">
        <v>3194</v>
      </c>
      <c r="S616" s="23" t="s">
        <v>300</v>
      </c>
      <c r="T616" s="23" t="s">
        <v>363</v>
      </c>
      <c r="U616" s="23" t="s">
        <v>363</v>
      </c>
      <c r="V616" s="23" t="s">
        <v>298</v>
      </c>
      <c r="W616" s="23" t="s">
        <v>3131</v>
      </c>
      <c r="Y616" s="37">
        <v>13375</v>
      </c>
      <c r="Z616" s="23">
        <v>65.3</v>
      </c>
      <c r="AB616" s="23" t="s">
        <v>3192</v>
      </c>
      <c r="AC616" s="23" t="s">
        <v>3098</v>
      </c>
      <c r="AD616" s="118">
        <v>0</v>
      </c>
      <c r="AE616" s="118">
        <v>1</v>
      </c>
      <c r="AF616" s="23" t="s">
        <v>3193</v>
      </c>
      <c r="AG616" s="23" t="s">
        <v>3134</v>
      </c>
      <c r="AH616" s="39">
        <v>44289</v>
      </c>
    </row>
    <row r="617" spans="1:35">
      <c r="A617" s="72" t="s">
        <v>3195</v>
      </c>
      <c r="B617" s="23" t="s">
        <v>3196</v>
      </c>
      <c r="C617" s="140">
        <v>44290</v>
      </c>
      <c r="D617" s="23" t="s">
        <v>729</v>
      </c>
      <c r="E617" s="23" t="s">
        <v>2919</v>
      </c>
      <c r="F617" s="23" t="s">
        <v>1723</v>
      </c>
      <c r="G617" s="23" t="s">
        <v>1724</v>
      </c>
      <c r="Q617" s="141" t="s">
        <v>3194</v>
      </c>
      <c r="S617" s="23" t="s">
        <v>300</v>
      </c>
      <c r="T617" s="23" t="s">
        <v>363</v>
      </c>
      <c r="U617" s="23" t="s">
        <v>363</v>
      </c>
      <c r="V617" s="23" t="s">
        <v>298</v>
      </c>
      <c r="W617" s="23" t="s">
        <v>3197</v>
      </c>
      <c r="Y617" s="37">
        <v>20800</v>
      </c>
      <c r="Z617" s="23">
        <v>75.5</v>
      </c>
      <c r="AB617" s="23" t="s">
        <v>3198</v>
      </c>
      <c r="AC617" s="23" t="s">
        <v>3199</v>
      </c>
      <c r="AD617" s="118">
        <v>0</v>
      </c>
      <c r="AE617" s="118">
        <v>1</v>
      </c>
      <c r="AF617" s="23" t="s">
        <v>3181</v>
      </c>
      <c r="AG617" s="23" t="s">
        <v>1640</v>
      </c>
      <c r="AH617" s="39">
        <v>44291</v>
      </c>
    </row>
    <row r="618" spans="1:35">
      <c r="A618" s="72" t="s">
        <v>3200</v>
      </c>
      <c r="B618" s="23" t="s">
        <v>3201</v>
      </c>
      <c r="C618" s="140">
        <v>44291</v>
      </c>
      <c r="D618" s="23" t="s">
        <v>729</v>
      </c>
      <c r="E618" s="23" t="s">
        <v>2919</v>
      </c>
      <c r="F618" s="23" t="s">
        <v>1723</v>
      </c>
      <c r="G618" s="23" t="s">
        <v>1724</v>
      </c>
      <c r="Q618" s="141" t="s">
        <v>3202</v>
      </c>
      <c r="S618" s="23" t="s">
        <v>300</v>
      </c>
      <c r="T618" s="23" t="s">
        <v>363</v>
      </c>
      <c r="U618" s="23" t="s">
        <v>363</v>
      </c>
      <c r="V618" s="23" t="s">
        <v>298</v>
      </c>
      <c r="W618" s="23" t="s">
        <v>2710</v>
      </c>
      <c r="Y618" s="37">
        <v>24450</v>
      </c>
      <c r="Z618" s="23">
        <v>75.099999999999994</v>
      </c>
      <c r="AB618" s="23" t="s">
        <v>3203</v>
      </c>
      <c r="AC618" s="23" t="s">
        <v>3204</v>
      </c>
      <c r="AD618" s="118">
        <v>0</v>
      </c>
      <c r="AE618" s="118">
        <v>3</v>
      </c>
      <c r="AF618" s="23" t="s">
        <v>3181</v>
      </c>
      <c r="AG618" s="23" t="s">
        <v>637</v>
      </c>
      <c r="AH618" s="39">
        <v>44292</v>
      </c>
    </row>
    <row r="619" spans="1:35" ht="32">
      <c r="A619" s="72" t="s">
        <v>3205</v>
      </c>
      <c r="B619" s="23" t="s">
        <v>3206</v>
      </c>
      <c r="C619" s="140">
        <v>44290</v>
      </c>
      <c r="F619" s="23" t="s">
        <v>1723</v>
      </c>
      <c r="Q619" s="141" t="s">
        <v>3202</v>
      </c>
      <c r="W619" s="23" t="s">
        <v>3131</v>
      </c>
      <c r="Y619" s="37">
        <v>26600</v>
      </c>
      <c r="Z619" s="23">
        <v>135.32</v>
      </c>
      <c r="AB619" s="19" t="s">
        <v>3207</v>
      </c>
      <c r="AC619" s="23" t="s">
        <v>3133</v>
      </c>
      <c r="AD619" s="118"/>
      <c r="AE619" s="118"/>
      <c r="AF619" s="19" t="s">
        <v>3208</v>
      </c>
      <c r="AG619" s="23" t="s">
        <v>3209</v>
      </c>
      <c r="AH619" s="39">
        <v>44292</v>
      </c>
    </row>
    <row r="620" spans="1:35" ht="48">
      <c r="A620" s="72" t="s">
        <v>3210</v>
      </c>
      <c r="B620" s="23" t="s">
        <v>3211</v>
      </c>
      <c r="C620" s="140">
        <v>44283</v>
      </c>
      <c r="D620" s="23" t="s">
        <v>729</v>
      </c>
      <c r="E620" s="23" t="s">
        <v>2919</v>
      </c>
      <c r="F620" s="23" t="s">
        <v>1723</v>
      </c>
      <c r="G620" s="23" t="s">
        <v>1724</v>
      </c>
      <c r="Q620" s="141" t="s">
        <v>3202</v>
      </c>
      <c r="S620" s="23" t="s">
        <v>300</v>
      </c>
      <c r="T620" s="23" t="s">
        <v>363</v>
      </c>
      <c r="U620" s="23" t="s">
        <v>363</v>
      </c>
      <c r="V620" s="23" t="s">
        <v>298</v>
      </c>
      <c r="W620" s="23" t="s">
        <v>3212</v>
      </c>
      <c r="Y620" s="37">
        <v>21000</v>
      </c>
      <c r="Z620" s="23">
        <v>100</v>
      </c>
      <c r="AB620" s="19" t="s">
        <v>3213</v>
      </c>
      <c r="AC620" s="23" t="s">
        <v>3215</v>
      </c>
      <c r="AD620" s="118">
        <v>0</v>
      </c>
      <c r="AE620" s="118">
        <v>2</v>
      </c>
      <c r="AF620" s="19" t="s">
        <v>3214</v>
      </c>
      <c r="AG620" s="23" t="s">
        <v>666</v>
      </c>
      <c r="AH620" s="39">
        <v>44292</v>
      </c>
    </row>
    <row r="621" spans="1:35">
      <c r="A621" s="73" t="s">
        <v>3216</v>
      </c>
      <c r="B621" s="23" t="s">
        <v>3217</v>
      </c>
      <c r="C621" s="140">
        <v>44292</v>
      </c>
      <c r="D621" s="23" t="s">
        <v>729</v>
      </c>
      <c r="E621" s="23" t="s">
        <v>2919</v>
      </c>
      <c r="F621" s="23" t="s">
        <v>1723</v>
      </c>
      <c r="G621" s="23" t="s">
        <v>1724</v>
      </c>
      <c r="Q621" s="141" t="s">
        <v>3202</v>
      </c>
      <c r="S621" s="23" t="s">
        <v>300</v>
      </c>
      <c r="T621" s="23" t="s">
        <v>363</v>
      </c>
      <c r="U621" s="23" t="s">
        <v>363</v>
      </c>
      <c r="V621" s="23" t="s">
        <v>298</v>
      </c>
      <c r="W621" s="23" t="s">
        <v>3218</v>
      </c>
      <c r="Y621" s="37">
        <v>8290</v>
      </c>
      <c r="Z621" s="23">
        <v>74</v>
      </c>
      <c r="AB621" s="23" t="s">
        <v>3219</v>
      </c>
      <c r="AC621" s="23" t="s">
        <v>3220</v>
      </c>
      <c r="AD621" s="118">
        <v>0</v>
      </c>
      <c r="AE621" s="118">
        <v>2</v>
      </c>
      <c r="AF621" s="23" t="s">
        <v>3181</v>
      </c>
      <c r="AG621" s="23" t="s">
        <v>1640</v>
      </c>
      <c r="AH621" s="39">
        <v>44292</v>
      </c>
    </row>
    <row r="622" spans="1:35">
      <c r="A622" s="72" t="s">
        <v>3221</v>
      </c>
      <c r="B622" s="23" t="s">
        <v>3222</v>
      </c>
      <c r="C622" s="140">
        <v>44291</v>
      </c>
      <c r="D622" s="23" t="s">
        <v>729</v>
      </c>
      <c r="E622" s="23" t="s">
        <v>2919</v>
      </c>
      <c r="F622" s="23" t="s">
        <v>1723</v>
      </c>
      <c r="G622" s="23" t="s">
        <v>1724</v>
      </c>
      <c r="Q622" s="141" t="s">
        <v>3202</v>
      </c>
      <c r="W622" s="23" t="s">
        <v>3131</v>
      </c>
      <c r="Y622" s="37">
        <v>13500</v>
      </c>
      <c r="Z622" s="23">
        <v>65.91</v>
      </c>
      <c r="AB622" s="23" t="s">
        <v>3223</v>
      </c>
      <c r="AC622" s="23" t="s">
        <v>3224</v>
      </c>
      <c r="AD622" s="118"/>
      <c r="AE622" s="118"/>
      <c r="AF622" s="23" t="s">
        <v>3193</v>
      </c>
      <c r="AG622" s="23" t="s">
        <v>1845</v>
      </c>
      <c r="AH622" s="39">
        <v>44292</v>
      </c>
    </row>
    <row r="623" spans="1:35">
      <c r="A623" s="72" t="s">
        <v>3245</v>
      </c>
      <c r="B623" s="23" t="s">
        <v>3233</v>
      </c>
      <c r="C623" s="140">
        <v>44292</v>
      </c>
      <c r="D623" s="23" t="s">
        <v>3238</v>
      </c>
      <c r="E623" s="23" t="s">
        <v>2861</v>
      </c>
      <c r="F623" s="23" t="s">
        <v>2926</v>
      </c>
      <c r="G623" s="23" t="s">
        <v>2165</v>
      </c>
      <c r="H623" s="23" t="s">
        <v>3234</v>
      </c>
      <c r="I623" s="23" t="s">
        <v>3234</v>
      </c>
      <c r="J623" s="140">
        <v>44287</v>
      </c>
      <c r="Q623" s="141"/>
      <c r="S623" s="23" t="s">
        <v>299</v>
      </c>
      <c r="T623" s="23" t="s">
        <v>3235</v>
      </c>
      <c r="U623" s="23" t="s">
        <v>3235</v>
      </c>
      <c r="V623" s="23" t="s">
        <v>3236</v>
      </c>
      <c r="W623" s="23" t="s">
        <v>3237</v>
      </c>
      <c r="Y623" s="37">
        <v>2404</v>
      </c>
      <c r="AB623" s="23" t="s">
        <v>97</v>
      </c>
      <c r="AC623" s="23" t="s">
        <v>131</v>
      </c>
      <c r="AD623" s="118">
        <v>0</v>
      </c>
      <c r="AE623" s="118">
        <v>0</v>
      </c>
      <c r="AH623" s="39">
        <v>44294</v>
      </c>
    </row>
    <row r="624" spans="1:35">
      <c r="A624" s="72" t="s">
        <v>3246</v>
      </c>
      <c r="B624" s="23" t="s">
        <v>3239</v>
      </c>
      <c r="C624" s="140">
        <v>44288</v>
      </c>
      <c r="D624" s="23" t="s">
        <v>3238</v>
      </c>
      <c r="E624" s="23" t="s">
        <v>2861</v>
      </c>
      <c r="F624" s="23" t="s">
        <v>2926</v>
      </c>
      <c r="G624" s="23" t="s">
        <v>2165</v>
      </c>
      <c r="H624" s="23" t="s">
        <v>3240</v>
      </c>
      <c r="I624" s="23" t="s">
        <v>3240</v>
      </c>
      <c r="J624" s="140">
        <v>44287</v>
      </c>
      <c r="S624" s="23" t="s">
        <v>299</v>
      </c>
      <c r="T624" s="23" t="s">
        <v>3235</v>
      </c>
      <c r="U624" s="23" t="s">
        <v>3235</v>
      </c>
      <c r="V624" s="23" t="s">
        <v>3236</v>
      </c>
      <c r="W624" s="23" t="s">
        <v>3241</v>
      </c>
      <c r="Y624" s="37">
        <v>2665</v>
      </c>
      <c r="AB624" s="23" t="s">
        <v>97</v>
      </c>
      <c r="AC624" s="23" t="s">
        <v>131</v>
      </c>
      <c r="AD624" s="118">
        <v>0</v>
      </c>
      <c r="AE624" s="118">
        <v>0</v>
      </c>
      <c r="AH624" s="39">
        <v>44294</v>
      </c>
    </row>
    <row r="625" spans="1:34">
      <c r="A625" s="72" t="s">
        <v>3247</v>
      </c>
      <c r="B625" s="23" t="s">
        <v>3242</v>
      </c>
      <c r="C625" s="140">
        <v>44288</v>
      </c>
      <c r="D625" s="23" t="s">
        <v>3238</v>
      </c>
      <c r="E625" s="23" t="s">
        <v>2861</v>
      </c>
      <c r="F625" s="23" t="s">
        <v>2926</v>
      </c>
      <c r="G625" s="23" t="s">
        <v>2165</v>
      </c>
      <c r="H625" s="23" t="s">
        <v>3243</v>
      </c>
      <c r="I625" s="23" t="s">
        <v>3243</v>
      </c>
      <c r="J625" s="140">
        <v>44287</v>
      </c>
      <c r="S625" s="23" t="s">
        <v>299</v>
      </c>
      <c r="T625" s="23" t="s">
        <v>3235</v>
      </c>
      <c r="U625" s="23" t="s">
        <v>3235</v>
      </c>
      <c r="V625" s="23" t="s">
        <v>3236</v>
      </c>
      <c r="W625" s="23" t="s">
        <v>3244</v>
      </c>
      <c r="Y625" s="37">
        <v>2446</v>
      </c>
      <c r="AB625" s="23" t="s">
        <v>97</v>
      </c>
      <c r="AC625" s="23" t="s">
        <v>131</v>
      </c>
      <c r="AD625" s="118">
        <v>0</v>
      </c>
      <c r="AE625" s="118">
        <v>0</v>
      </c>
      <c r="AH625" s="39">
        <v>44294</v>
      </c>
    </row>
    <row r="626" spans="1:34">
      <c r="A626" s="72" t="s">
        <v>3248</v>
      </c>
      <c r="B626" s="23" t="s">
        <v>3250</v>
      </c>
      <c r="C626" s="140">
        <v>44293</v>
      </c>
      <c r="D626" s="23" t="s">
        <v>729</v>
      </c>
      <c r="E626" s="23" t="s">
        <v>2919</v>
      </c>
      <c r="F626" s="23" t="s">
        <v>1723</v>
      </c>
      <c r="G626" s="23" t="s">
        <v>1724</v>
      </c>
      <c r="Q626" s="141" t="s">
        <v>3256</v>
      </c>
      <c r="S626" s="23" t="s">
        <v>300</v>
      </c>
      <c r="T626" s="23" t="s">
        <v>363</v>
      </c>
      <c r="U626" s="23" t="s">
        <v>363</v>
      </c>
      <c r="V626" s="23" t="s">
        <v>298</v>
      </c>
      <c r="W626" s="23" t="s">
        <v>2710</v>
      </c>
      <c r="Y626" s="37">
        <v>21600</v>
      </c>
      <c r="Z626" s="23">
        <v>74</v>
      </c>
      <c r="AB626" s="23" t="s">
        <v>3254</v>
      </c>
      <c r="AC626" s="23" t="s">
        <v>3081</v>
      </c>
      <c r="AD626" s="118">
        <v>0</v>
      </c>
      <c r="AE626" s="118">
        <v>2</v>
      </c>
      <c r="AF626" s="23" t="s">
        <v>3181</v>
      </c>
      <c r="AH626" s="39">
        <v>44294</v>
      </c>
    </row>
    <row r="627" spans="1:34">
      <c r="A627" s="72" t="s">
        <v>3249</v>
      </c>
      <c r="B627" s="23" t="s">
        <v>3251</v>
      </c>
      <c r="C627" s="140">
        <v>44292</v>
      </c>
      <c r="F627" s="23" t="s">
        <v>1723</v>
      </c>
      <c r="W627" s="23" t="s">
        <v>3252</v>
      </c>
      <c r="Y627" s="37">
        <v>6360</v>
      </c>
      <c r="Z627" s="23">
        <v>74</v>
      </c>
      <c r="AB627" s="23" t="s">
        <v>3255</v>
      </c>
      <c r="AC627" s="23" t="s">
        <v>3253</v>
      </c>
      <c r="AD627" s="118"/>
      <c r="AE627" s="118"/>
      <c r="AF627" s="23" t="s">
        <v>3181</v>
      </c>
      <c r="AH627" s="39">
        <v>44294</v>
      </c>
    </row>
    <row r="628" spans="1:34">
      <c r="A628" s="72" t="s">
        <v>3257</v>
      </c>
      <c r="B628" s="23" t="s">
        <v>3258</v>
      </c>
      <c r="C628" s="140">
        <v>44294</v>
      </c>
      <c r="D628" s="23" t="s">
        <v>729</v>
      </c>
      <c r="E628" s="23" t="s">
        <v>2919</v>
      </c>
      <c r="F628" s="23" t="s">
        <v>1723</v>
      </c>
      <c r="G628" s="23" t="s">
        <v>1724</v>
      </c>
      <c r="Q628" s="141" t="s">
        <v>3259</v>
      </c>
      <c r="S628" s="23" t="s">
        <v>300</v>
      </c>
      <c r="T628" s="23" t="s">
        <v>363</v>
      </c>
      <c r="U628" s="23" t="s">
        <v>363</v>
      </c>
      <c r="V628" s="23" t="s">
        <v>298</v>
      </c>
      <c r="W628" s="23" t="s">
        <v>3150</v>
      </c>
      <c r="Y628" s="37">
        <v>12800</v>
      </c>
      <c r="Z628" s="23">
        <v>74</v>
      </c>
      <c r="AB628" s="23" t="s">
        <v>3262</v>
      </c>
      <c r="AC628" s="23" t="s">
        <v>3261</v>
      </c>
      <c r="AD628" s="118">
        <v>0</v>
      </c>
      <c r="AE628" s="118">
        <v>1</v>
      </c>
      <c r="AF628" s="23" t="s">
        <v>3260</v>
      </c>
      <c r="AH628" s="39">
        <v>44294</v>
      </c>
    </row>
    <row r="629" spans="1:34">
      <c r="A629" s="72" t="s">
        <v>3263</v>
      </c>
      <c r="B629" s="23" t="s">
        <v>3265</v>
      </c>
      <c r="C629" s="140">
        <v>44292</v>
      </c>
      <c r="D629" s="23" t="s">
        <v>729</v>
      </c>
      <c r="E629" s="23" t="s">
        <v>2919</v>
      </c>
      <c r="F629" s="23" t="s">
        <v>1723</v>
      </c>
      <c r="G629" s="23" t="s">
        <v>1724</v>
      </c>
      <c r="Q629" s="141" t="s">
        <v>3259</v>
      </c>
      <c r="S629" s="23" t="s">
        <v>300</v>
      </c>
      <c r="T629" s="23" t="s">
        <v>363</v>
      </c>
      <c r="U629" s="23" t="s">
        <v>363</v>
      </c>
      <c r="V629" s="23" t="s">
        <v>298</v>
      </c>
      <c r="W629" s="23" t="s">
        <v>3266</v>
      </c>
      <c r="Y629" s="37">
        <v>9170</v>
      </c>
      <c r="Z629" s="23">
        <v>76</v>
      </c>
      <c r="AB629" s="23" t="s">
        <v>3267</v>
      </c>
      <c r="AC629" s="23" t="s">
        <v>3268</v>
      </c>
      <c r="AD629" s="118">
        <v>0</v>
      </c>
      <c r="AE629" s="118">
        <v>2</v>
      </c>
      <c r="AF629" s="23" t="s">
        <v>3181</v>
      </c>
      <c r="AH629" s="39">
        <v>44294</v>
      </c>
    </row>
    <row r="630" spans="1:34">
      <c r="A630" s="72" t="s">
        <v>3264</v>
      </c>
      <c r="B630" s="23" t="s">
        <v>3269</v>
      </c>
      <c r="C630" s="140">
        <v>44294</v>
      </c>
      <c r="F630" s="23" t="s">
        <v>1723</v>
      </c>
      <c r="W630" s="23" t="s">
        <v>3270</v>
      </c>
      <c r="Y630" s="37">
        <v>15300</v>
      </c>
      <c r="Z630" s="23">
        <v>76</v>
      </c>
      <c r="AB630" s="23" t="s">
        <v>3271</v>
      </c>
      <c r="AC630" s="23" t="s">
        <v>3178</v>
      </c>
      <c r="AD630" s="118"/>
      <c r="AE630" s="118"/>
      <c r="AF630" s="23" t="s">
        <v>3181</v>
      </c>
      <c r="AH630" s="39">
        <v>44294</v>
      </c>
    </row>
    <row r="631" spans="1:34">
      <c r="A631" s="72" t="s">
        <v>3272</v>
      </c>
      <c r="B631" s="23" t="s">
        <v>3273</v>
      </c>
      <c r="C631" s="140">
        <v>44295</v>
      </c>
      <c r="D631" s="23" t="s">
        <v>729</v>
      </c>
      <c r="E631" s="23" t="s">
        <v>2919</v>
      </c>
      <c r="F631" s="23" t="s">
        <v>1723</v>
      </c>
      <c r="G631" s="23" t="s">
        <v>1724</v>
      </c>
      <c r="Q631" s="141" t="s">
        <v>3274</v>
      </c>
      <c r="S631" s="23" t="s">
        <v>300</v>
      </c>
      <c r="T631" s="23" t="s">
        <v>363</v>
      </c>
      <c r="U631" s="23" t="s">
        <v>363</v>
      </c>
      <c r="V631" s="23" t="s">
        <v>298</v>
      </c>
      <c r="W631" s="23" t="s">
        <v>3275</v>
      </c>
      <c r="Y631" s="37">
        <v>14400</v>
      </c>
      <c r="Z631" s="23">
        <v>76</v>
      </c>
      <c r="AB631" s="23" t="s">
        <v>3276</v>
      </c>
      <c r="AC631" s="23" t="s">
        <v>3277</v>
      </c>
      <c r="AD631" s="118">
        <v>0</v>
      </c>
      <c r="AE631" s="118">
        <v>3</v>
      </c>
      <c r="AF631" s="23" t="s">
        <v>3181</v>
      </c>
      <c r="AG631" s="23" t="s">
        <v>1640</v>
      </c>
      <c r="AH631" s="39">
        <v>44298</v>
      </c>
    </row>
    <row r="632" spans="1:34">
      <c r="A632" s="72" t="s">
        <v>3278</v>
      </c>
      <c r="B632" s="23" t="s">
        <v>3279</v>
      </c>
      <c r="C632" s="140">
        <v>44296</v>
      </c>
      <c r="F632" s="23" t="s">
        <v>1723</v>
      </c>
      <c r="G632" s="23" t="s">
        <v>1724</v>
      </c>
      <c r="Q632" s="141" t="s">
        <v>3274</v>
      </c>
      <c r="W632" s="23" t="s">
        <v>1716</v>
      </c>
      <c r="Y632" s="37">
        <v>5664</v>
      </c>
      <c r="Z632" s="23">
        <v>74</v>
      </c>
      <c r="AB632" s="23" t="s">
        <v>3280</v>
      </c>
      <c r="AC632" s="23" t="s">
        <v>2986</v>
      </c>
      <c r="AD632" s="118"/>
      <c r="AE632" s="118"/>
      <c r="AF632" s="23" t="s">
        <v>3181</v>
      </c>
      <c r="AG632" s="23" t="s">
        <v>1640</v>
      </c>
      <c r="AH632" s="39">
        <v>44298</v>
      </c>
    </row>
    <row r="633" spans="1:34">
      <c r="A633" s="72" t="s">
        <v>3281</v>
      </c>
      <c r="B633" s="23" t="s">
        <v>3282</v>
      </c>
      <c r="C633" s="140">
        <v>44297</v>
      </c>
      <c r="F633" s="23" t="s">
        <v>1723</v>
      </c>
      <c r="G633" s="23" t="s">
        <v>1724</v>
      </c>
      <c r="Q633" s="141" t="s">
        <v>3274</v>
      </c>
      <c r="W633" s="23" t="s">
        <v>2710</v>
      </c>
      <c r="Y633" s="37">
        <v>24000</v>
      </c>
      <c r="Z633" s="23">
        <v>74</v>
      </c>
      <c r="AB633" s="23" t="s">
        <v>3283</v>
      </c>
      <c r="AC633" s="23" t="s">
        <v>2712</v>
      </c>
      <c r="AD633" s="118"/>
      <c r="AE633" s="118"/>
      <c r="AF633" s="23" t="s">
        <v>3181</v>
      </c>
      <c r="AG633" s="23" t="s">
        <v>637</v>
      </c>
      <c r="AH633" s="39">
        <v>44298</v>
      </c>
    </row>
    <row r="634" spans="1:34" ht="32">
      <c r="A634" s="72" t="s">
        <v>3284</v>
      </c>
      <c r="B634" s="23" t="s">
        <v>3285</v>
      </c>
      <c r="C634" s="140">
        <v>44298</v>
      </c>
      <c r="D634" s="23" t="s">
        <v>729</v>
      </c>
      <c r="E634" s="23" t="s">
        <v>2919</v>
      </c>
      <c r="F634" s="23" t="s">
        <v>1723</v>
      </c>
      <c r="G634" s="23" t="s">
        <v>1724</v>
      </c>
      <c r="Q634" s="141" t="s">
        <v>3298</v>
      </c>
      <c r="S634" s="23" t="s">
        <v>300</v>
      </c>
      <c r="T634" s="23" t="s">
        <v>363</v>
      </c>
      <c r="U634" s="23" t="s">
        <v>363</v>
      </c>
      <c r="V634" s="23" t="s">
        <v>298</v>
      </c>
      <c r="W634" s="23" t="s">
        <v>3131</v>
      </c>
      <c r="Y634" s="37">
        <v>26600</v>
      </c>
      <c r="Z634" s="23">
        <v>135.37</v>
      </c>
      <c r="AB634" s="19" t="s">
        <v>3301</v>
      </c>
      <c r="AC634" s="23" t="s">
        <v>3133</v>
      </c>
      <c r="AD634" s="118">
        <v>0</v>
      </c>
      <c r="AE634" s="118">
        <v>3</v>
      </c>
      <c r="AF634" s="19" t="s">
        <v>3208</v>
      </c>
      <c r="AG634" s="23" t="s">
        <v>3209</v>
      </c>
      <c r="AH634" s="39">
        <v>44299</v>
      </c>
    </row>
    <row r="635" spans="1:34">
      <c r="A635" s="72" t="s">
        <v>3286</v>
      </c>
      <c r="B635" s="23" t="s">
        <v>3287</v>
      </c>
      <c r="C635" s="140">
        <v>44298</v>
      </c>
      <c r="F635" s="23" t="s">
        <v>1723</v>
      </c>
      <c r="G635" s="23" t="s">
        <v>1724</v>
      </c>
      <c r="Q635" s="141" t="s">
        <v>3298</v>
      </c>
      <c r="W635" s="23" t="s">
        <v>3288</v>
      </c>
      <c r="Y635" s="37">
        <v>8100</v>
      </c>
      <c r="Z635" s="23">
        <v>61.5</v>
      </c>
      <c r="AB635" s="23" t="s">
        <v>3302</v>
      </c>
      <c r="AC635" s="23" t="s">
        <v>3289</v>
      </c>
      <c r="AD635" s="118"/>
      <c r="AE635" s="118"/>
      <c r="AF635" s="23" t="s">
        <v>3193</v>
      </c>
      <c r="AG635" s="23" t="s">
        <v>1640</v>
      </c>
      <c r="AH635" s="39">
        <v>44299</v>
      </c>
    </row>
    <row r="636" spans="1:34" ht="48">
      <c r="A636" s="73" t="s">
        <v>3290</v>
      </c>
      <c r="B636" s="23" t="s">
        <v>3291</v>
      </c>
      <c r="C636" s="140">
        <v>44297</v>
      </c>
      <c r="D636" s="23" t="s">
        <v>729</v>
      </c>
      <c r="E636" s="23" t="s">
        <v>2919</v>
      </c>
      <c r="F636" s="23" t="s">
        <v>1723</v>
      </c>
      <c r="G636" s="23" t="s">
        <v>1724</v>
      </c>
      <c r="Q636" s="141" t="s">
        <v>3298</v>
      </c>
      <c r="S636" s="23" t="s">
        <v>300</v>
      </c>
      <c r="T636" s="23" t="s">
        <v>363</v>
      </c>
      <c r="U636" s="23" t="s">
        <v>363</v>
      </c>
      <c r="V636" s="23" t="s">
        <v>298</v>
      </c>
      <c r="W636" s="23" t="s">
        <v>3131</v>
      </c>
      <c r="Y636" s="37">
        <v>40100</v>
      </c>
      <c r="Z636" s="23">
        <v>203.13</v>
      </c>
      <c r="AB636" s="19" t="s">
        <v>3293</v>
      </c>
      <c r="AC636" s="23" t="s">
        <v>3292</v>
      </c>
      <c r="AD636" s="118">
        <v>0</v>
      </c>
      <c r="AE636" s="118">
        <v>4</v>
      </c>
      <c r="AF636" s="19" t="s">
        <v>3294</v>
      </c>
      <c r="AG636" s="23" t="s">
        <v>3134</v>
      </c>
      <c r="AH636" s="39">
        <v>44299</v>
      </c>
    </row>
    <row r="637" spans="1:34">
      <c r="A637" s="72" t="s">
        <v>3299</v>
      </c>
      <c r="B637" s="23" t="s">
        <v>3295</v>
      </c>
      <c r="C637" s="140">
        <v>44298</v>
      </c>
      <c r="F637" s="23" t="s">
        <v>1723</v>
      </c>
      <c r="G637" s="23" t="s">
        <v>1724</v>
      </c>
      <c r="Q637" s="141" t="s">
        <v>3298</v>
      </c>
      <c r="W637" s="23" t="s">
        <v>3288</v>
      </c>
      <c r="Y637" s="37">
        <v>8160</v>
      </c>
      <c r="Z637" s="23">
        <v>63.5</v>
      </c>
      <c r="AB637" s="23" t="s">
        <v>3296</v>
      </c>
      <c r="AC637" s="23" t="s">
        <v>3300</v>
      </c>
      <c r="AD637" s="118"/>
      <c r="AE637" s="118"/>
      <c r="AF637" s="23" t="s">
        <v>3297</v>
      </c>
      <c r="AG637" s="23" t="s">
        <v>3209</v>
      </c>
      <c r="AH637" s="39">
        <v>44299</v>
      </c>
    </row>
    <row r="638" spans="1:34">
      <c r="A638" s="73" t="s">
        <v>3303</v>
      </c>
      <c r="B638" s="23" t="s">
        <v>3304</v>
      </c>
      <c r="C638" s="140">
        <v>44299</v>
      </c>
      <c r="D638" s="23" t="s">
        <v>729</v>
      </c>
      <c r="E638" s="23" t="s">
        <v>2919</v>
      </c>
      <c r="F638" s="23" t="s">
        <v>1723</v>
      </c>
      <c r="G638" s="23" t="s">
        <v>1724</v>
      </c>
      <c r="Q638" s="141" t="s">
        <v>3305</v>
      </c>
      <c r="S638" s="23" t="s">
        <v>300</v>
      </c>
      <c r="T638" s="23" t="s">
        <v>363</v>
      </c>
      <c r="U638" s="23" t="s">
        <v>363</v>
      </c>
      <c r="V638" s="23" t="s">
        <v>298</v>
      </c>
      <c r="W638" s="23" t="s">
        <v>2710</v>
      </c>
      <c r="Y638" s="37">
        <v>24300</v>
      </c>
      <c r="Z638" s="23">
        <v>74</v>
      </c>
      <c r="AB638" s="23" t="s">
        <v>3306</v>
      </c>
      <c r="AC638" s="23" t="s">
        <v>2896</v>
      </c>
      <c r="AD638" s="118">
        <v>0</v>
      </c>
      <c r="AE638" s="118">
        <v>2</v>
      </c>
      <c r="AF638" s="23" t="s">
        <v>3181</v>
      </c>
      <c r="AG638" s="23" t="s">
        <v>637</v>
      </c>
      <c r="AH638" s="39">
        <v>44304</v>
      </c>
    </row>
    <row r="639" spans="1:34">
      <c r="A639" s="73" t="s">
        <v>3307</v>
      </c>
      <c r="B639" s="23" t="s">
        <v>3308</v>
      </c>
      <c r="C639" s="140">
        <v>44299</v>
      </c>
      <c r="F639" s="23" t="s">
        <v>1723</v>
      </c>
      <c r="Q639" s="141"/>
      <c r="W639" s="23" t="s">
        <v>1716</v>
      </c>
      <c r="Y639" s="37">
        <v>5696</v>
      </c>
      <c r="Z639" s="23">
        <v>74</v>
      </c>
      <c r="AB639" s="23" t="s">
        <v>3309</v>
      </c>
      <c r="AC639" s="23" t="s">
        <v>2924</v>
      </c>
      <c r="AD639" s="118"/>
      <c r="AE639" s="118"/>
      <c r="AF639" s="23" t="s">
        <v>3181</v>
      </c>
      <c r="AG639" s="23" t="s">
        <v>1640</v>
      </c>
      <c r="AH639" s="39">
        <v>44304</v>
      </c>
    </row>
    <row r="640" spans="1:34">
      <c r="A640" s="73" t="s">
        <v>3310</v>
      </c>
      <c r="B640" s="23" t="s">
        <v>3311</v>
      </c>
      <c r="C640" s="140">
        <v>44303</v>
      </c>
      <c r="D640" s="23" t="s">
        <v>729</v>
      </c>
      <c r="E640" s="23" t="s">
        <v>2919</v>
      </c>
      <c r="F640" s="23" t="s">
        <v>1723</v>
      </c>
      <c r="G640" s="23" t="s">
        <v>1724</v>
      </c>
      <c r="Q640" s="141" t="s">
        <v>3305</v>
      </c>
      <c r="S640" s="23" t="s">
        <v>300</v>
      </c>
      <c r="T640" s="23" t="s">
        <v>363</v>
      </c>
      <c r="U640" s="23" t="s">
        <v>363</v>
      </c>
      <c r="V640" s="23" t="s">
        <v>298</v>
      </c>
      <c r="W640" s="23" t="s">
        <v>1716</v>
      </c>
      <c r="Y640" s="37">
        <v>5680</v>
      </c>
      <c r="Z640" s="23">
        <v>74</v>
      </c>
      <c r="AB640" s="23" t="s">
        <v>3312</v>
      </c>
      <c r="AC640" s="23" t="s">
        <v>2900</v>
      </c>
      <c r="AD640" s="118">
        <v>0</v>
      </c>
      <c r="AE640" s="118">
        <v>2</v>
      </c>
      <c r="AF640" s="23" t="s">
        <v>3181</v>
      </c>
      <c r="AG640" s="23" t="s">
        <v>1640</v>
      </c>
      <c r="AH640" s="39">
        <v>44304</v>
      </c>
    </row>
    <row r="641" spans="1:35">
      <c r="A641" s="73" t="s">
        <v>3313</v>
      </c>
      <c r="B641" s="23" t="s">
        <v>3314</v>
      </c>
      <c r="C641" s="140">
        <v>44302</v>
      </c>
      <c r="F641" s="23" t="s">
        <v>1723</v>
      </c>
      <c r="W641" s="23" t="s">
        <v>3288</v>
      </c>
      <c r="Y641" s="37">
        <v>8232</v>
      </c>
      <c r="Z641" s="23">
        <v>75</v>
      </c>
      <c r="AB641" s="23" t="s">
        <v>3315</v>
      </c>
      <c r="AC641" s="23" t="s">
        <v>3316</v>
      </c>
      <c r="AD641" s="118"/>
      <c r="AE641" s="118"/>
      <c r="AF641" s="23" t="s">
        <v>3260</v>
      </c>
      <c r="AG641" s="23" t="s">
        <v>3209</v>
      </c>
      <c r="AH641" s="39">
        <v>44304</v>
      </c>
    </row>
    <row r="642" spans="1:35">
      <c r="A642" s="73" t="s">
        <v>3317</v>
      </c>
      <c r="B642" s="23" t="s">
        <v>3318</v>
      </c>
      <c r="C642" s="140">
        <v>44304</v>
      </c>
      <c r="D642" s="23" t="s">
        <v>729</v>
      </c>
      <c r="E642" s="23" t="s">
        <v>2919</v>
      </c>
      <c r="F642" s="23" t="s">
        <v>1723</v>
      </c>
      <c r="G642" s="23" t="s">
        <v>1724</v>
      </c>
      <c r="Q642" s="141" t="s">
        <v>3305</v>
      </c>
      <c r="S642" s="23" t="s">
        <v>300</v>
      </c>
      <c r="T642" s="23" t="s">
        <v>363</v>
      </c>
      <c r="U642" s="23" t="s">
        <v>363</v>
      </c>
      <c r="V642" s="23" t="s">
        <v>298</v>
      </c>
      <c r="W642" s="23" t="s">
        <v>2710</v>
      </c>
      <c r="Y642" s="37">
        <v>24030</v>
      </c>
      <c r="Z642" s="23">
        <v>74</v>
      </c>
      <c r="AB642" s="23" t="s">
        <v>3319</v>
      </c>
      <c r="AC642" s="23" t="s">
        <v>3320</v>
      </c>
      <c r="AD642" s="118">
        <v>0</v>
      </c>
      <c r="AE642" s="118">
        <v>1</v>
      </c>
      <c r="AF642" s="23" t="s">
        <v>3181</v>
      </c>
      <c r="AG642" s="23" t="s">
        <v>637</v>
      </c>
      <c r="AH642" s="39">
        <v>44305</v>
      </c>
    </row>
    <row r="643" spans="1:35">
      <c r="A643" s="73" t="s">
        <v>3324</v>
      </c>
      <c r="B643" s="23" t="s">
        <v>3325</v>
      </c>
      <c r="C643" s="140">
        <v>44305</v>
      </c>
      <c r="D643" s="23" t="s">
        <v>729</v>
      </c>
      <c r="E643" s="23" t="s">
        <v>752</v>
      </c>
      <c r="F643" s="23" t="s">
        <v>2969</v>
      </c>
      <c r="G643" s="23" t="s">
        <v>1724</v>
      </c>
      <c r="P643" s="23" t="s">
        <v>3333</v>
      </c>
      <c r="Q643" s="141" t="s">
        <v>3332</v>
      </c>
      <c r="S643" s="23" t="s">
        <v>319</v>
      </c>
      <c r="T643" s="23" t="s">
        <v>12031</v>
      </c>
      <c r="U643" s="23" t="s">
        <v>12031</v>
      </c>
      <c r="V643" s="23" t="s">
        <v>298</v>
      </c>
      <c r="W643" s="23" t="s">
        <v>3326</v>
      </c>
      <c r="Y643" s="23">
        <v>7335.08</v>
      </c>
      <c r="Z643" s="23" t="s">
        <v>2131</v>
      </c>
      <c r="AB643" s="23" t="s">
        <v>3373</v>
      </c>
      <c r="AC643" s="23" t="s">
        <v>1493</v>
      </c>
      <c r="AD643" s="118">
        <v>0</v>
      </c>
      <c r="AE643" s="118">
        <v>1</v>
      </c>
      <c r="AF643" s="23" t="s">
        <v>3260</v>
      </c>
      <c r="AG643" s="23" t="s">
        <v>3327</v>
      </c>
      <c r="AH643" s="39">
        <v>44305</v>
      </c>
    </row>
    <row r="644" spans="1:35">
      <c r="A644" s="73" t="s">
        <v>3328</v>
      </c>
      <c r="B644" s="23" t="s">
        <v>3329</v>
      </c>
      <c r="C644" s="140">
        <v>44304</v>
      </c>
      <c r="D644" s="23" t="s">
        <v>729</v>
      </c>
      <c r="E644" s="23" t="s">
        <v>2919</v>
      </c>
      <c r="F644" s="23" t="s">
        <v>1723</v>
      </c>
      <c r="G644" s="23" t="s">
        <v>1724</v>
      </c>
      <c r="Q644" s="141" t="s">
        <v>3330</v>
      </c>
      <c r="S644" s="23" t="s">
        <v>300</v>
      </c>
      <c r="T644" s="23" t="s">
        <v>363</v>
      </c>
      <c r="U644" s="23" t="s">
        <v>363</v>
      </c>
      <c r="V644" s="23" t="s">
        <v>298</v>
      </c>
      <c r="W644" s="23" t="s">
        <v>1716</v>
      </c>
      <c r="Y644" s="37">
        <v>5696</v>
      </c>
      <c r="Z644" s="23">
        <v>74</v>
      </c>
      <c r="AB644" s="23" t="s">
        <v>3331</v>
      </c>
      <c r="AC644" s="23" t="s">
        <v>2924</v>
      </c>
      <c r="AD644" s="118">
        <v>0</v>
      </c>
      <c r="AE644" s="118">
        <v>1</v>
      </c>
      <c r="AF644" s="23" t="s">
        <v>3181</v>
      </c>
      <c r="AG644" s="23" t="s">
        <v>1640</v>
      </c>
      <c r="AH644" s="39">
        <v>44305</v>
      </c>
    </row>
    <row r="645" spans="1:35">
      <c r="A645" s="73" t="s">
        <v>3334</v>
      </c>
      <c r="B645" s="23" t="s">
        <v>3335</v>
      </c>
      <c r="C645" s="140">
        <v>44279</v>
      </c>
      <c r="D645" s="23" t="s">
        <v>729</v>
      </c>
      <c r="E645" s="23" t="s">
        <v>752</v>
      </c>
      <c r="F645" s="23" t="s">
        <v>2944</v>
      </c>
      <c r="G645" s="23" t="s">
        <v>1989</v>
      </c>
      <c r="H645" s="23" t="s">
        <v>3336</v>
      </c>
      <c r="I645" s="23" t="s">
        <v>3336</v>
      </c>
      <c r="J645" s="140">
        <v>44270</v>
      </c>
      <c r="S645" s="23" t="s">
        <v>759</v>
      </c>
      <c r="T645" s="23" t="s">
        <v>12031</v>
      </c>
      <c r="U645" s="23" t="s">
        <v>12031</v>
      </c>
      <c r="V645" s="23" t="s">
        <v>299</v>
      </c>
      <c r="W645" s="23" t="s">
        <v>2946</v>
      </c>
      <c r="Y645" s="37">
        <v>5000</v>
      </c>
      <c r="Z645" s="23">
        <v>40</v>
      </c>
      <c r="AB645" s="23" t="s">
        <v>3353</v>
      </c>
      <c r="AC645" s="23" t="s">
        <v>123</v>
      </c>
      <c r="AD645" s="118">
        <v>0</v>
      </c>
      <c r="AE645" s="118">
        <v>1</v>
      </c>
      <c r="AG645" s="23" t="s">
        <v>2928</v>
      </c>
      <c r="AH645" s="39">
        <v>44305</v>
      </c>
      <c r="AI645" s="53" t="s">
        <v>3743</v>
      </c>
    </row>
    <row r="646" spans="1:35">
      <c r="A646" s="73" t="s">
        <v>3337</v>
      </c>
      <c r="B646" s="23" t="s">
        <v>3338</v>
      </c>
      <c r="C646" s="140">
        <v>44305</v>
      </c>
      <c r="D646" s="23" t="s">
        <v>729</v>
      </c>
      <c r="E646" s="23" t="s">
        <v>2919</v>
      </c>
      <c r="F646" s="23" t="s">
        <v>1723</v>
      </c>
      <c r="G646" s="23" t="s">
        <v>1724</v>
      </c>
      <c r="Q646" s="141" t="s">
        <v>3339</v>
      </c>
      <c r="S646" s="23" t="s">
        <v>300</v>
      </c>
      <c r="T646" s="23" t="s">
        <v>363</v>
      </c>
      <c r="U646" s="23" t="s">
        <v>363</v>
      </c>
      <c r="V646" s="23" t="s">
        <v>298</v>
      </c>
      <c r="W646" s="23" t="s">
        <v>3270</v>
      </c>
      <c r="Y646" s="37">
        <v>16260</v>
      </c>
      <c r="Z646" s="23">
        <v>76</v>
      </c>
      <c r="AB646" s="23" t="s">
        <v>3340</v>
      </c>
      <c r="AC646" s="23" t="s">
        <v>3087</v>
      </c>
      <c r="AD646" s="118">
        <v>3</v>
      </c>
      <c r="AE646" s="118">
        <v>1</v>
      </c>
      <c r="AF646" s="23" t="s">
        <v>3181</v>
      </c>
      <c r="AG646" s="23" t="s">
        <v>1640</v>
      </c>
      <c r="AH646" s="39">
        <v>44306</v>
      </c>
    </row>
    <row r="647" spans="1:35" ht="80">
      <c r="A647" s="72" t="s">
        <v>3341</v>
      </c>
      <c r="B647" s="23" t="s">
        <v>3342</v>
      </c>
      <c r="C647" s="140">
        <v>44302</v>
      </c>
      <c r="F647" s="23" t="s">
        <v>1723</v>
      </c>
      <c r="G647" s="23" t="s">
        <v>1724</v>
      </c>
      <c r="Q647" s="141" t="s">
        <v>3339</v>
      </c>
      <c r="W647" s="23" t="s">
        <v>3343</v>
      </c>
      <c r="Y647" s="37">
        <v>65140</v>
      </c>
      <c r="Z647" s="23">
        <v>108</v>
      </c>
      <c r="AB647" s="19" t="s">
        <v>3344</v>
      </c>
      <c r="AC647" s="23" t="s">
        <v>3346</v>
      </c>
      <c r="AD647" s="118"/>
      <c r="AE647" s="118"/>
      <c r="AF647" s="19" t="s">
        <v>3345</v>
      </c>
      <c r="AG647" s="23" t="s">
        <v>1640</v>
      </c>
      <c r="AH647" s="39">
        <v>44306</v>
      </c>
    </row>
    <row r="648" spans="1:35">
      <c r="A648" s="73" t="s">
        <v>3347</v>
      </c>
      <c r="B648" s="23" t="s">
        <v>3348</v>
      </c>
      <c r="C648" s="140">
        <v>44291</v>
      </c>
      <c r="D648" s="23" t="s">
        <v>729</v>
      </c>
      <c r="E648" s="23" t="s">
        <v>2919</v>
      </c>
      <c r="F648" s="23" t="s">
        <v>1723</v>
      </c>
      <c r="G648" s="23" t="s">
        <v>1724</v>
      </c>
      <c r="Q648" s="141" t="s">
        <v>3339</v>
      </c>
      <c r="S648" s="23" t="s">
        <v>300</v>
      </c>
      <c r="T648" s="23" t="s">
        <v>363</v>
      </c>
      <c r="U648" s="23" t="s">
        <v>363</v>
      </c>
      <c r="V648" s="23" t="s">
        <v>298</v>
      </c>
      <c r="W648" s="23" t="s">
        <v>3212</v>
      </c>
      <c r="Y648" s="37">
        <v>11500</v>
      </c>
      <c r="Z648" s="23">
        <v>50</v>
      </c>
      <c r="AB648" s="23" t="s">
        <v>3349</v>
      </c>
      <c r="AC648" s="23" t="s">
        <v>3350</v>
      </c>
      <c r="AD648" s="118">
        <v>0</v>
      </c>
      <c r="AE648" s="118">
        <v>1</v>
      </c>
      <c r="AF648" s="23" t="s">
        <v>3297</v>
      </c>
      <c r="AG648" s="23" t="s">
        <v>637</v>
      </c>
      <c r="AH648" s="39">
        <v>44306</v>
      </c>
    </row>
    <row r="649" spans="1:35" ht="192">
      <c r="A649" s="73" t="s">
        <v>3354</v>
      </c>
      <c r="B649" s="23" t="s">
        <v>3356</v>
      </c>
      <c r="C649" s="140">
        <v>44289</v>
      </c>
      <c r="D649" s="23" t="s">
        <v>729</v>
      </c>
      <c r="E649" s="23" t="s">
        <v>752</v>
      </c>
      <c r="F649" s="23" t="s">
        <v>2200</v>
      </c>
      <c r="G649" s="23" t="s">
        <v>301</v>
      </c>
      <c r="H649" s="23" t="s">
        <v>3355</v>
      </c>
      <c r="I649" s="23" t="s">
        <v>3355</v>
      </c>
      <c r="J649" s="140">
        <v>44265</v>
      </c>
      <c r="K649" s="23" t="s">
        <v>3495</v>
      </c>
      <c r="L649" s="140">
        <v>44292</v>
      </c>
      <c r="S649" s="23" t="s">
        <v>300</v>
      </c>
      <c r="T649" s="23" t="s">
        <v>305</v>
      </c>
      <c r="U649" s="23" t="s">
        <v>305</v>
      </c>
      <c r="V649" s="23" t="s">
        <v>299</v>
      </c>
      <c r="W649" s="23" t="s">
        <v>355</v>
      </c>
      <c r="Y649" s="37">
        <v>47448</v>
      </c>
      <c r="AB649" s="19" t="s">
        <v>3497</v>
      </c>
      <c r="AC649" s="23">
        <v>36</v>
      </c>
      <c r="AD649" s="118">
        <v>0</v>
      </c>
      <c r="AE649" s="118">
        <v>12</v>
      </c>
      <c r="AG649" s="23" t="s">
        <v>1553</v>
      </c>
      <c r="AH649" s="39">
        <v>44307</v>
      </c>
      <c r="AI649" s="53" t="s">
        <v>2803</v>
      </c>
    </row>
    <row r="650" spans="1:35">
      <c r="A650" s="73" t="s">
        <v>3357</v>
      </c>
      <c r="B650" s="23" t="s">
        <v>3358</v>
      </c>
      <c r="C650" s="140">
        <v>44296</v>
      </c>
      <c r="D650" s="23" t="s">
        <v>729</v>
      </c>
      <c r="E650" s="23" t="s">
        <v>752</v>
      </c>
      <c r="F650" s="23" t="s">
        <v>2944</v>
      </c>
      <c r="G650" s="23" t="s">
        <v>1989</v>
      </c>
      <c r="H650" s="23" t="s">
        <v>3359</v>
      </c>
      <c r="I650" s="23" t="s">
        <v>3359</v>
      </c>
      <c r="J650" s="140">
        <v>44288</v>
      </c>
      <c r="S650" s="23" t="s">
        <v>759</v>
      </c>
      <c r="T650" s="23" t="s">
        <v>12031</v>
      </c>
      <c r="U650" s="23" t="s">
        <v>12031</v>
      </c>
      <c r="V650" s="23" t="s">
        <v>299</v>
      </c>
      <c r="W650" s="23" t="s">
        <v>3360</v>
      </c>
      <c r="Y650" s="37">
        <v>5576</v>
      </c>
      <c r="Z650" s="23">
        <v>40</v>
      </c>
      <c r="AB650" s="23" t="s">
        <v>3361</v>
      </c>
      <c r="AC650" s="23">
        <v>2</v>
      </c>
      <c r="AD650" s="118">
        <v>0</v>
      </c>
      <c r="AE650" s="118">
        <v>1</v>
      </c>
      <c r="AG650" s="23" t="s">
        <v>3362</v>
      </c>
      <c r="AH650" s="39">
        <v>44308</v>
      </c>
      <c r="AI650" s="53" t="s">
        <v>2802</v>
      </c>
    </row>
    <row r="651" spans="1:35">
      <c r="A651" s="73" t="s">
        <v>3363</v>
      </c>
      <c r="B651" s="23" t="s">
        <v>3364</v>
      </c>
      <c r="C651" s="140">
        <v>44307</v>
      </c>
      <c r="D651" s="23" t="s">
        <v>729</v>
      </c>
      <c r="E651" s="23" t="s">
        <v>2919</v>
      </c>
      <c r="F651" s="23" t="s">
        <v>1723</v>
      </c>
      <c r="G651" s="23" t="s">
        <v>1724</v>
      </c>
      <c r="Q651" s="141" t="s">
        <v>3365</v>
      </c>
      <c r="S651" s="23" t="s">
        <v>300</v>
      </c>
      <c r="T651" s="23" t="s">
        <v>363</v>
      </c>
      <c r="U651" s="23" t="s">
        <v>363</v>
      </c>
      <c r="V651" s="23" t="s">
        <v>298</v>
      </c>
      <c r="W651" s="23" t="s">
        <v>2710</v>
      </c>
      <c r="Y651" s="37">
        <v>21600</v>
      </c>
      <c r="Z651" s="23">
        <v>74</v>
      </c>
      <c r="AB651" s="23" t="s">
        <v>3366</v>
      </c>
      <c r="AC651" s="23" t="s">
        <v>3081</v>
      </c>
      <c r="AD651" s="118">
        <v>0</v>
      </c>
      <c r="AE651" s="118">
        <v>1</v>
      </c>
      <c r="AF651" s="23" t="s">
        <v>3181</v>
      </c>
      <c r="AG651" s="23" t="s">
        <v>1640</v>
      </c>
      <c r="AH651" s="39">
        <v>44308</v>
      </c>
    </row>
    <row r="652" spans="1:35">
      <c r="A652" s="73" t="s">
        <v>3367</v>
      </c>
      <c r="B652" s="23" t="s">
        <v>3368</v>
      </c>
      <c r="C652" s="140">
        <v>44279</v>
      </c>
      <c r="D652" s="23" t="s">
        <v>729</v>
      </c>
      <c r="E652" s="23" t="s">
        <v>752</v>
      </c>
      <c r="F652" s="23" t="s">
        <v>2944</v>
      </c>
      <c r="G652" s="23" t="s">
        <v>1989</v>
      </c>
      <c r="H652" s="23" t="s">
        <v>3369</v>
      </c>
      <c r="I652" s="23" t="s">
        <v>3369</v>
      </c>
      <c r="J652" s="140">
        <v>44268</v>
      </c>
      <c r="S652" s="23" t="s">
        <v>3370</v>
      </c>
      <c r="T652" s="23" t="s">
        <v>12031</v>
      </c>
      <c r="U652" s="23" t="s">
        <v>12031</v>
      </c>
      <c r="V652" s="23" t="s">
        <v>299</v>
      </c>
      <c r="W652" s="23" t="s">
        <v>3371</v>
      </c>
      <c r="Y652" s="37">
        <v>2456</v>
      </c>
      <c r="Z652" s="23">
        <v>40</v>
      </c>
      <c r="AB652" s="23" t="s">
        <v>3372</v>
      </c>
      <c r="AC652" s="23">
        <v>2</v>
      </c>
      <c r="AD652" s="118">
        <v>0</v>
      </c>
      <c r="AE652" s="118">
        <v>1</v>
      </c>
      <c r="AG652" s="23" t="s">
        <v>310</v>
      </c>
      <c r="AH652" s="39">
        <v>44308</v>
      </c>
      <c r="AI652" s="53" t="s">
        <v>2802</v>
      </c>
    </row>
    <row r="653" spans="1:35">
      <c r="A653" s="73" t="s">
        <v>3376</v>
      </c>
      <c r="B653" s="23" t="s">
        <v>3377</v>
      </c>
      <c r="C653" s="140">
        <v>44307</v>
      </c>
      <c r="D653" s="23" t="s">
        <v>729</v>
      </c>
      <c r="E653" s="23" t="s">
        <v>2919</v>
      </c>
      <c r="F653" s="23" t="s">
        <v>1723</v>
      </c>
      <c r="G653" s="23" t="s">
        <v>1724</v>
      </c>
      <c r="Q653" s="141" t="s">
        <v>3378</v>
      </c>
      <c r="S653" s="23" t="s">
        <v>300</v>
      </c>
      <c r="T653" s="23" t="s">
        <v>363</v>
      </c>
      <c r="U653" s="23" t="s">
        <v>363</v>
      </c>
      <c r="V653" s="23" t="s">
        <v>298</v>
      </c>
      <c r="W653" s="23" t="s">
        <v>3379</v>
      </c>
      <c r="Y653" s="37">
        <v>20546</v>
      </c>
      <c r="Z653" s="23">
        <v>75</v>
      </c>
      <c r="AB653" s="23" t="s">
        <v>3380</v>
      </c>
      <c r="AC653" s="23" t="s">
        <v>3381</v>
      </c>
      <c r="AD653" s="118">
        <v>0</v>
      </c>
      <c r="AE653" s="118">
        <v>2</v>
      </c>
      <c r="AF653" s="23" t="s">
        <v>3181</v>
      </c>
      <c r="AG653" s="23" t="s">
        <v>1640</v>
      </c>
      <c r="AH653" s="39">
        <v>44309</v>
      </c>
    </row>
    <row r="654" spans="1:35">
      <c r="A654" s="72" t="s">
        <v>3395</v>
      </c>
      <c r="B654" s="23" t="s">
        <v>3382</v>
      </c>
      <c r="C654" s="140">
        <v>44308</v>
      </c>
      <c r="F654" s="23" t="s">
        <v>1723</v>
      </c>
      <c r="Q654" s="141" t="s">
        <v>3378</v>
      </c>
      <c r="W654" s="23" t="s">
        <v>1716</v>
      </c>
      <c r="Y654" s="37">
        <v>5680</v>
      </c>
      <c r="Z654" s="23">
        <v>74</v>
      </c>
      <c r="AB654" s="23" t="s">
        <v>3383</v>
      </c>
      <c r="AC654" s="23" t="s">
        <v>2900</v>
      </c>
      <c r="AD654" s="118"/>
      <c r="AE654" s="118"/>
      <c r="AF654" s="23" t="s">
        <v>3181</v>
      </c>
      <c r="AG654" s="23" t="s">
        <v>1640</v>
      </c>
      <c r="AH654" s="39">
        <v>44309</v>
      </c>
    </row>
    <row r="655" spans="1:35">
      <c r="A655" s="73" t="s">
        <v>3384</v>
      </c>
      <c r="B655" s="23" t="s">
        <v>3385</v>
      </c>
      <c r="C655" s="140">
        <v>44302</v>
      </c>
      <c r="D655" s="23" t="s">
        <v>729</v>
      </c>
      <c r="E655" s="23" t="s">
        <v>2919</v>
      </c>
      <c r="F655" s="23" t="s">
        <v>1723</v>
      </c>
      <c r="G655" s="23" t="s">
        <v>1724</v>
      </c>
      <c r="Q655" s="141" t="s">
        <v>3378</v>
      </c>
      <c r="S655" s="23" t="s">
        <v>300</v>
      </c>
      <c r="T655" s="23" t="s">
        <v>363</v>
      </c>
      <c r="U655" s="23" t="s">
        <v>363</v>
      </c>
      <c r="V655" s="23" t="s">
        <v>298</v>
      </c>
      <c r="W655" s="23" t="s">
        <v>3386</v>
      </c>
      <c r="Y655" s="37">
        <v>16375</v>
      </c>
      <c r="Z655" s="23">
        <v>60.52</v>
      </c>
      <c r="AB655" s="23" t="s">
        <v>3387</v>
      </c>
      <c r="AC655" s="23" t="s">
        <v>3388</v>
      </c>
      <c r="AD655" s="118">
        <v>0</v>
      </c>
      <c r="AE655" s="118">
        <v>3</v>
      </c>
      <c r="AF655" s="23" t="s">
        <v>3297</v>
      </c>
      <c r="AG655" s="23" t="s">
        <v>1845</v>
      </c>
      <c r="AH655" s="39">
        <v>44309</v>
      </c>
    </row>
    <row r="656" spans="1:35">
      <c r="A656" s="72" t="s">
        <v>3389</v>
      </c>
      <c r="B656" s="23" t="s">
        <v>3390</v>
      </c>
      <c r="C656" s="140">
        <v>44304</v>
      </c>
      <c r="F656" s="23" t="s">
        <v>1723</v>
      </c>
      <c r="Q656" s="141" t="s">
        <v>3378</v>
      </c>
      <c r="W656" s="23" t="s">
        <v>2903</v>
      </c>
      <c r="Y656" s="37">
        <v>13375</v>
      </c>
      <c r="Z656" s="23">
        <v>68.623999999999995</v>
      </c>
      <c r="AB656" s="23" t="s">
        <v>3391</v>
      </c>
      <c r="AC656" s="23" t="s">
        <v>3098</v>
      </c>
      <c r="AD656" s="118"/>
      <c r="AE656" s="118"/>
      <c r="AF656" s="23" t="s">
        <v>3193</v>
      </c>
      <c r="AG656" s="23" t="s">
        <v>3209</v>
      </c>
      <c r="AH656" s="39">
        <v>44309</v>
      </c>
    </row>
    <row r="657" spans="1:39">
      <c r="A657" s="72" t="s">
        <v>3392</v>
      </c>
      <c r="B657" s="23" t="s">
        <v>3393</v>
      </c>
      <c r="C657" s="140">
        <v>44304</v>
      </c>
      <c r="F657" s="23" t="s">
        <v>1723</v>
      </c>
      <c r="Q657" s="141" t="s">
        <v>3378</v>
      </c>
      <c r="W657" s="23" t="s">
        <v>3131</v>
      </c>
      <c r="Y657" s="37">
        <v>13300</v>
      </c>
      <c r="Z657" s="23">
        <v>69.385000000000005</v>
      </c>
      <c r="AB657" s="23" t="s">
        <v>3394</v>
      </c>
      <c r="AC657" s="23" t="s">
        <v>3010</v>
      </c>
      <c r="AD657" s="118"/>
      <c r="AE657" s="118"/>
      <c r="AF657" s="23" t="s">
        <v>3193</v>
      </c>
      <c r="AG657" s="23" t="s">
        <v>3209</v>
      </c>
      <c r="AH657" s="39">
        <v>44309</v>
      </c>
    </row>
    <row r="658" spans="1:39">
      <c r="A658" s="73" t="s">
        <v>3396</v>
      </c>
      <c r="B658" s="23" t="s">
        <v>3397</v>
      </c>
      <c r="C658" s="140">
        <v>44300</v>
      </c>
      <c r="D658" s="23" t="s">
        <v>729</v>
      </c>
      <c r="E658" s="23" t="s">
        <v>752</v>
      </c>
      <c r="F658" s="23" t="s">
        <v>3400</v>
      </c>
      <c r="G658" s="23" t="s">
        <v>3469</v>
      </c>
      <c r="H658" s="23" t="s">
        <v>3401</v>
      </c>
      <c r="I658" s="23" t="s">
        <v>3401</v>
      </c>
      <c r="J658" s="140">
        <v>44291</v>
      </c>
      <c r="S658" s="23" t="s">
        <v>300</v>
      </c>
      <c r="T658" s="23" t="s">
        <v>12031</v>
      </c>
      <c r="U658" s="23" t="s">
        <v>12031</v>
      </c>
      <c r="V658" s="23" t="s">
        <v>299</v>
      </c>
      <c r="W658" s="23" t="s">
        <v>3398</v>
      </c>
      <c r="Y658" s="37">
        <v>135000</v>
      </c>
      <c r="Z658" s="23">
        <v>765.45</v>
      </c>
      <c r="AB658" s="23" t="s">
        <v>3439</v>
      </c>
      <c r="AC658" s="23">
        <v>10</v>
      </c>
      <c r="AD658" s="118"/>
      <c r="AE658" s="118"/>
      <c r="AG658" s="23" t="s">
        <v>3399</v>
      </c>
      <c r="AH658" s="39">
        <v>44309</v>
      </c>
    </row>
    <row r="659" spans="1:39" ht="48">
      <c r="A659" s="73" t="s">
        <v>3402</v>
      </c>
      <c r="B659" s="23" t="s">
        <v>3403</v>
      </c>
      <c r="C659" s="140">
        <v>44295</v>
      </c>
      <c r="D659" s="23" t="s">
        <v>729</v>
      </c>
      <c r="E659" s="23" t="s">
        <v>752</v>
      </c>
      <c r="F659" s="23" t="s">
        <v>3404</v>
      </c>
      <c r="G659" s="23" t="s">
        <v>5538</v>
      </c>
      <c r="H659" s="23" t="s">
        <v>3405</v>
      </c>
      <c r="I659" s="23" t="s">
        <v>3405</v>
      </c>
      <c r="J659" s="140">
        <v>44279</v>
      </c>
      <c r="Q659" s="141" t="s">
        <v>3406</v>
      </c>
      <c r="S659" s="23" t="s">
        <v>300</v>
      </c>
      <c r="T659" s="23" t="s">
        <v>12031</v>
      </c>
      <c r="U659" s="23" t="s">
        <v>12031</v>
      </c>
      <c r="V659" s="23" t="s">
        <v>299</v>
      </c>
      <c r="W659" s="23" t="s">
        <v>3407</v>
      </c>
      <c r="Y659" s="37">
        <v>12590</v>
      </c>
      <c r="Z659" s="23">
        <v>104.5</v>
      </c>
      <c r="AB659" s="19" t="s">
        <v>3408</v>
      </c>
      <c r="AC659" s="23">
        <v>6</v>
      </c>
      <c r="AD659" s="118">
        <v>0</v>
      </c>
      <c r="AE659" s="118">
        <v>3</v>
      </c>
      <c r="AG659" s="23" t="s">
        <v>3409</v>
      </c>
      <c r="AH659" s="39">
        <v>44309</v>
      </c>
    </row>
    <row r="660" spans="1:39" ht="32">
      <c r="A660" s="73" t="s">
        <v>3410</v>
      </c>
      <c r="B660" s="23" t="s">
        <v>3411</v>
      </c>
      <c r="C660" s="140">
        <v>44298</v>
      </c>
      <c r="D660" s="23" t="s">
        <v>729</v>
      </c>
      <c r="E660" s="23" t="s">
        <v>752</v>
      </c>
      <c r="F660" s="23" t="s">
        <v>2200</v>
      </c>
      <c r="G660" s="23" t="s">
        <v>301</v>
      </c>
      <c r="H660" s="23" t="s">
        <v>3412</v>
      </c>
      <c r="I660" s="23" t="s">
        <v>3412</v>
      </c>
      <c r="J660" s="140">
        <v>44294</v>
      </c>
      <c r="K660" s="23" t="s">
        <v>3413</v>
      </c>
      <c r="L660" s="140">
        <v>44300</v>
      </c>
      <c r="S660" s="23" t="s">
        <v>300</v>
      </c>
      <c r="T660" s="23" t="s">
        <v>305</v>
      </c>
      <c r="U660" s="23" t="s">
        <v>305</v>
      </c>
      <c r="V660" s="23" t="s">
        <v>299</v>
      </c>
      <c r="W660" s="23" t="s">
        <v>3414</v>
      </c>
      <c r="Y660" s="37">
        <v>8144</v>
      </c>
      <c r="Z660" s="23">
        <v>82.686000000000007</v>
      </c>
      <c r="AB660" s="19" t="s">
        <v>3496</v>
      </c>
      <c r="AC660" s="23">
        <v>4</v>
      </c>
      <c r="AD660" s="118">
        <v>0</v>
      </c>
      <c r="AE660" s="118">
        <v>2</v>
      </c>
      <c r="AG660" s="23" t="s">
        <v>3415</v>
      </c>
      <c r="AH660" s="39">
        <v>44309</v>
      </c>
    </row>
    <row r="661" spans="1:39">
      <c r="A661" s="73" t="s">
        <v>3416</v>
      </c>
      <c r="B661" s="23" t="s">
        <v>3417</v>
      </c>
      <c r="C661" s="140">
        <v>44310</v>
      </c>
      <c r="D661" s="23" t="s">
        <v>729</v>
      </c>
      <c r="E661" s="23" t="s">
        <v>2919</v>
      </c>
      <c r="F661" s="23" t="s">
        <v>1723</v>
      </c>
      <c r="G661" s="23" t="s">
        <v>1724</v>
      </c>
      <c r="Q661" s="141" t="s">
        <v>3418</v>
      </c>
      <c r="S661" s="23" t="s">
        <v>300</v>
      </c>
      <c r="T661" s="23" t="s">
        <v>363</v>
      </c>
      <c r="U661" s="23" t="s">
        <v>363</v>
      </c>
      <c r="V661" s="23" t="s">
        <v>298</v>
      </c>
      <c r="W661" s="23" t="s">
        <v>1716</v>
      </c>
      <c r="Y661" s="37">
        <v>5664</v>
      </c>
      <c r="Z661" s="23">
        <v>74</v>
      </c>
      <c r="AB661" s="23" t="s">
        <v>3419</v>
      </c>
      <c r="AC661" s="23" t="s">
        <v>2986</v>
      </c>
      <c r="AD661" s="118">
        <v>0</v>
      </c>
      <c r="AE661" s="118">
        <v>1</v>
      </c>
      <c r="AF661" s="23" t="s">
        <v>3181</v>
      </c>
      <c r="AG661" s="23" t="s">
        <v>1640</v>
      </c>
      <c r="AH661" s="39">
        <v>44312</v>
      </c>
    </row>
    <row r="662" spans="1:39">
      <c r="A662" s="73" t="s">
        <v>3420</v>
      </c>
      <c r="B662" s="23" t="s">
        <v>3421</v>
      </c>
      <c r="C662" s="140">
        <v>44308</v>
      </c>
      <c r="D662" s="23" t="s">
        <v>729</v>
      </c>
      <c r="E662" s="23" t="s">
        <v>2919</v>
      </c>
      <c r="F662" s="23" t="s">
        <v>1723</v>
      </c>
      <c r="G662" s="23" t="s">
        <v>1724</v>
      </c>
      <c r="Q662" s="141" t="s">
        <v>3422</v>
      </c>
      <c r="S662" s="23" t="s">
        <v>300</v>
      </c>
      <c r="T662" s="23" t="s">
        <v>363</v>
      </c>
      <c r="U662" s="23" t="s">
        <v>363</v>
      </c>
      <c r="V662" s="23" t="s">
        <v>298</v>
      </c>
      <c r="W662" s="23" t="s">
        <v>2903</v>
      </c>
      <c r="Y662" s="37">
        <v>13375</v>
      </c>
      <c r="Z662" s="23">
        <v>66.81</v>
      </c>
      <c r="AB662" s="23" t="s">
        <v>3423</v>
      </c>
      <c r="AC662" s="23" t="s">
        <v>3098</v>
      </c>
      <c r="AD662" s="118">
        <v>0</v>
      </c>
      <c r="AE662" s="118">
        <v>4</v>
      </c>
      <c r="AF662" s="23" t="s">
        <v>3193</v>
      </c>
      <c r="AG662" s="23" t="s">
        <v>3209</v>
      </c>
      <c r="AH662" s="39">
        <v>44312</v>
      </c>
    </row>
    <row r="663" spans="1:39">
      <c r="A663" s="72" t="s">
        <v>3424</v>
      </c>
      <c r="B663" s="23" t="s">
        <v>3425</v>
      </c>
      <c r="C663" s="140">
        <v>44309</v>
      </c>
      <c r="F663" s="23" t="s">
        <v>1723</v>
      </c>
      <c r="W663" s="23" t="s">
        <v>3288</v>
      </c>
      <c r="Y663" s="37">
        <v>8184</v>
      </c>
      <c r="Z663" s="23">
        <v>63.6</v>
      </c>
      <c r="AB663" s="23" t="s">
        <v>3426</v>
      </c>
      <c r="AC663" s="23" t="s">
        <v>3427</v>
      </c>
      <c r="AD663" s="118"/>
      <c r="AE663" s="118"/>
      <c r="AF663" s="23" t="s">
        <v>3297</v>
      </c>
      <c r="AG663" s="23" t="s">
        <v>1845</v>
      </c>
      <c r="AH663" s="39">
        <v>44312</v>
      </c>
    </row>
    <row r="664" spans="1:39">
      <c r="A664" s="72" t="s">
        <v>3428</v>
      </c>
      <c r="B664" s="23" t="s">
        <v>3429</v>
      </c>
      <c r="C664" s="140">
        <v>44309</v>
      </c>
      <c r="F664" s="23" t="s">
        <v>1723</v>
      </c>
      <c r="W664" s="23" t="s">
        <v>3131</v>
      </c>
      <c r="Y664" s="37">
        <v>13300</v>
      </c>
      <c r="Z664" s="23">
        <v>66.88</v>
      </c>
      <c r="AB664" s="23" t="s">
        <v>3430</v>
      </c>
      <c r="AC664" s="23" t="s">
        <v>3010</v>
      </c>
      <c r="AD664" s="118"/>
      <c r="AE664" s="118"/>
      <c r="AF664" s="23" t="s">
        <v>3297</v>
      </c>
      <c r="AG664" s="23" t="s">
        <v>3209</v>
      </c>
      <c r="AH664" s="39">
        <v>44312</v>
      </c>
    </row>
    <row r="665" spans="1:39">
      <c r="A665" s="72" t="s">
        <v>3431</v>
      </c>
      <c r="B665" s="23" t="s">
        <v>3432</v>
      </c>
      <c r="C665" s="140">
        <v>44309</v>
      </c>
      <c r="F665" s="23" t="s">
        <v>1723</v>
      </c>
      <c r="W665" s="23" t="s">
        <v>3288</v>
      </c>
      <c r="Y665" s="37">
        <v>8100</v>
      </c>
      <c r="Z665" s="23">
        <v>62.53</v>
      </c>
      <c r="AB665" s="23" t="s">
        <v>3433</v>
      </c>
      <c r="AC665" s="23" t="s">
        <v>3289</v>
      </c>
      <c r="AD665" s="118"/>
      <c r="AE665" s="118"/>
      <c r="AF665" s="23" t="s">
        <v>3297</v>
      </c>
      <c r="AG665" s="23" t="s">
        <v>1845</v>
      </c>
      <c r="AH665" s="39">
        <v>44312</v>
      </c>
    </row>
    <row r="666" spans="1:39">
      <c r="A666" s="72" t="s">
        <v>3434</v>
      </c>
      <c r="B666" s="23" t="s">
        <v>3435</v>
      </c>
      <c r="C666" s="140">
        <v>44310</v>
      </c>
      <c r="D666" s="23" t="s">
        <v>729</v>
      </c>
      <c r="E666" s="23" t="s">
        <v>752</v>
      </c>
      <c r="F666" s="23" t="s">
        <v>57</v>
      </c>
      <c r="G666" s="23" t="s">
        <v>57</v>
      </c>
      <c r="H666" s="23" t="s">
        <v>3436</v>
      </c>
      <c r="I666" s="23" t="s">
        <v>3436</v>
      </c>
      <c r="J666" s="140">
        <v>44306</v>
      </c>
      <c r="K666" s="23" t="s">
        <v>3437</v>
      </c>
      <c r="L666" s="140">
        <v>44312</v>
      </c>
      <c r="M666" s="26">
        <v>44313</v>
      </c>
      <c r="Q666" s="140">
        <v>44313</v>
      </c>
      <c r="S666" s="23" t="s">
        <v>184</v>
      </c>
      <c r="T666" s="23" t="s">
        <v>302</v>
      </c>
      <c r="U666" s="23" t="s">
        <v>302</v>
      </c>
      <c r="V666" s="23" t="s">
        <v>233</v>
      </c>
      <c r="W666" s="23" t="s">
        <v>284</v>
      </c>
      <c r="X666" s="23">
        <v>9336</v>
      </c>
      <c r="Y666" s="23">
        <v>9636</v>
      </c>
      <c r="Z666" s="23">
        <v>9298.35</v>
      </c>
      <c r="AA666" s="23">
        <v>8798.44</v>
      </c>
      <c r="AB666" s="23" t="s">
        <v>3438</v>
      </c>
      <c r="AC666" s="23" t="s">
        <v>286</v>
      </c>
      <c r="AD666" s="118">
        <v>0</v>
      </c>
      <c r="AE666" s="118">
        <v>1</v>
      </c>
      <c r="AG666" s="23" t="s">
        <v>787</v>
      </c>
      <c r="AH666" s="39">
        <v>44313</v>
      </c>
      <c r="AJ666" s="75" t="s">
        <v>5342</v>
      </c>
      <c r="AL666" s="23" t="s">
        <v>5343</v>
      </c>
      <c r="AM666" s="102">
        <v>44319</v>
      </c>
    </row>
    <row r="667" spans="1:39" ht="48">
      <c r="A667" s="72" t="s">
        <v>3440</v>
      </c>
      <c r="B667" s="23" t="s">
        <v>3441</v>
      </c>
      <c r="C667" s="140">
        <v>44315</v>
      </c>
      <c r="D667" s="23" t="s">
        <v>729</v>
      </c>
      <c r="E667" s="23" t="s">
        <v>2919</v>
      </c>
      <c r="F667" s="23" t="s">
        <v>1723</v>
      </c>
      <c r="G667" s="23" t="s">
        <v>1724</v>
      </c>
      <c r="Q667" s="141" t="s">
        <v>3466</v>
      </c>
      <c r="S667" s="23" t="s">
        <v>300</v>
      </c>
      <c r="T667" s="23" t="s">
        <v>363</v>
      </c>
      <c r="U667" s="23" t="s">
        <v>363</v>
      </c>
      <c r="V667" s="23" t="s">
        <v>298</v>
      </c>
      <c r="W667" s="23" t="s">
        <v>2903</v>
      </c>
      <c r="Y667" s="37">
        <v>40000</v>
      </c>
      <c r="Z667" s="23">
        <v>202.67</v>
      </c>
      <c r="AB667" s="19" t="s">
        <v>3442</v>
      </c>
      <c r="AC667" s="23" t="s">
        <v>3443</v>
      </c>
      <c r="AD667" s="118">
        <v>1</v>
      </c>
      <c r="AE667" s="118">
        <v>4</v>
      </c>
      <c r="AF667" s="19" t="s">
        <v>3294</v>
      </c>
      <c r="AG667" s="23" t="s">
        <v>3134</v>
      </c>
      <c r="AH667" s="39">
        <v>44319</v>
      </c>
    </row>
    <row r="668" spans="1:39">
      <c r="A668" s="72" t="s">
        <v>3444</v>
      </c>
      <c r="B668" s="23" t="s">
        <v>3445</v>
      </c>
      <c r="C668" s="140">
        <v>44315</v>
      </c>
      <c r="F668" s="23" t="s">
        <v>1723</v>
      </c>
      <c r="Q668" s="141" t="s">
        <v>3466</v>
      </c>
      <c r="W668" s="23" t="s">
        <v>3288</v>
      </c>
      <c r="Y668" s="37">
        <v>8076</v>
      </c>
      <c r="Z668" s="23">
        <v>61.5</v>
      </c>
      <c r="AB668" s="23" t="s">
        <v>3446</v>
      </c>
      <c r="AC668" s="23" t="s">
        <v>3447</v>
      </c>
      <c r="AD668" s="118"/>
      <c r="AE668" s="118"/>
      <c r="AF668" s="23" t="s">
        <v>3297</v>
      </c>
      <c r="AG668" s="23" t="s">
        <v>1640</v>
      </c>
      <c r="AH668" s="39">
        <v>44319</v>
      </c>
    </row>
    <row r="669" spans="1:39">
      <c r="A669" s="72" t="s">
        <v>3453</v>
      </c>
      <c r="B669" s="23" t="s">
        <v>3448</v>
      </c>
      <c r="C669" s="140">
        <v>44302</v>
      </c>
      <c r="F669" s="23" t="s">
        <v>1723</v>
      </c>
      <c r="Q669" s="141" t="s">
        <v>3466</v>
      </c>
      <c r="W669" s="23" t="s">
        <v>3449</v>
      </c>
      <c r="Y669" s="37">
        <v>13916</v>
      </c>
      <c r="Z669" s="23">
        <v>35.6</v>
      </c>
      <c r="AB669" s="23" t="s">
        <v>3450</v>
      </c>
      <c r="AC669" s="23" t="s">
        <v>3452</v>
      </c>
      <c r="AD669" s="118"/>
      <c r="AE669" s="118"/>
      <c r="AF669" s="23" t="s">
        <v>3451</v>
      </c>
      <c r="AG669" s="23" t="s">
        <v>1640</v>
      </c>
      <c r="AH669" s="39">
        <v>44319</v>
      </c>
    </row>
    <row r="670" spans="1:39" ht="48">
      <c r="A670" s="72" t="s">
        <v>3454</v>
      </c>
      <c r="B670" s="23" t="s">
        <v>3455</v>
      </c>
      <c r="C670" s="140">
        <v>44270</v>
      </c>
      <c r="D670" s="23" t="s">
        <v>729</v>
      </c>
      <c r="E670" s="23" t="s">
        <v>752</v>
      </c>
      <c r="F670" s="23" t="s">
        <v>3456</v>
      </c>
      <c r="G670" s="23" t="s">
        <v>3480</v>
      </c>
      <c r="H670" s="23" t="s">
        <v>3457</v>
      </c>
      <c r="I670" s="23" t="s">
        <v>3457</v>
      </c>
      <c r="J670" s="140">
        <v>44270</v>
      </c>
      <c r="S670" s="23" t="s">
        <v>300</v>
      </c>
      <c r="T670" s="23" t="s">
        <v>12031</v>
      </c>
      <c r="U670" s="23" t="s">
        <v>12031</v>
      </c>
      <c r="V670" s="23" t="s">
        <v>299</v>
      </c>
      <c r="W670" s="19" t="s">
        <v>3458</v>
      </c>
      <c r="Y670" s="37">
        <v>6390</v>
      </c>
      <c r="Z670" s="23">
        <v>48.319000000000003</v>
      </c>
      <c r="AC670" s="23">
        <v>3</v>
      </c>
      <c r="AD670" s="118"/>
      <c r="AE670" s="118"/>
      <c r="AG670" s="23" t="s">
        <v>3459</v>
      </c>
      <c r="AH670" s="39">
        <v>44320</v>
      </c>
    </row>
    <row r="671" spans="1:39" ht="16">
      <c r="A671" s="72" t="s">
        <v>3460</v>
      </c>
      <c r="B671" s="23">
        <v>209064258</v>
      </c>
      <c r="C671" s="140">
        <v>44271</v>
      </c>
      <c r="D671" s="23" t="s">
        <v>729</v>
      </c>
      <c r="E671" s="23" t="s">
        <v>752</v>
      </c>
      <c r="F671" s="23" t="s">
        <v>2944</v>
      </c>
      <c r="G671" s="23" t="s">
        <v>1989</v>
      </c>
      <c r="H671" s="19" t="s">
        <v>3461</v>
      </c>
      <c r="I671" s="23" t="s">
        <v>3461</v>
      </c>
      <c r="J671" s="140">
        <v>44265</v>
      </c>
      <c r="S671" s="23" t="s">
        <v>319</v>
      </c>
      <c r="T671" s="23" t="s">
        <v>12031</v>
      </c>
      <c r="U671" s="23" t="s">
        <v>12031</v>
      </c>
      <c r="V671" s="23" t="s">
        <v>299</v>
      </c>
      <c r="W671" s="23" t="s">
        <v>3371</v>
      </c>
      <c r="Y671" s="37">
        <v>4912</v>
      </c>
      <c r="AB671" s="23" t="s">
        <v>3462</v>
      </c>
      <c r="AC671" s="23">
        <v>2</v>
      </c>
      <c r="AD671" s="118">
        <v>0</v>
      </c>
      <c r="AE671" s="118">
        <v>1</v>
      </c>
      <c r="AG671" s="23" t="s">
        <v>3463</v>
      </c>
      <c r="AH671" s="39">
        <v>44320</v>
      </c>
    </row>
    <row r="672" spans="1:39">
      <c r="A672" s="72" t="s">
        <v>3464</v>
      </c>
      <c r="B672" s="23" t="s">
        <v>3465</v>
      </c>
      <c r="C672" s="140">
        <v>44321</v>
      </c>
      <c r="D672" s="23" t="s">
        <v>729</v>
      </c>
      <c r="E672" s="23" t="s">
        <v>2919</v>
      </c>
      <c r="F672" s="23" t="s">
        <v>1723</v>
      </c>
      <c r="G672" s="23" t="s">
        <v>1724</v>
      </c>
      <c r="Q672" s="141" t="s">
        <v>3467</v>
      </c>
      <c r="S672" s="23" t="s">
        <v>300</v>
      </c>
      <c r="T672" s="23" t="s">
        <v>363</v>
      </c>
      <c r="U672" s="23" t="s">
        <v>363</v>
      </c>
      <c r="V672" s="23" t="s">
        <v>298</v>
      </c>
      <c r="W672" s="23" t="s">
        <v>2710</v>
      </c>
      <c r="Y672" s="37">
        <v>21900</v>
      </c>
      <c r="Z672" s="23">
        <v>74.2</v>
      </c>
      <c r="AB672" s="23" t="s">
        <v>3468</v>
      </c>
      <c r="AC672" s="23" t="s">
        <v>3117</v>
      </c>
      <c r="AD672" s="118">
        <v>0</v>
      </c>
      <c r="AE672" s="118">
        <v>1</v>
      </c>
      <c r="AF672" s="23" t="s">
        <v>3181</v>
      </c>
      <c r="AG672" s="23" t="s">
        <v>1640</v>
      </c>
      <c r="AH672" s="39">
        <v>44321</v>
      </c>
      <c r="AJ672" s="75" t="s">
        <v>5347</v>
      </c>
      <c r="AL672" s="23" t="s">
        <v>5345</v>
      </c>
      <c r="AM672" s="102">
        <v>44319</v>
      </c>
    </row>
    <row r="673" spans="1:39">
      <c r="A673" s="72" t="s">
        <v>3471</v>
      </c>
      <c r="B673" s="23" t="s">
        <v>3472</v>
      </c>
      <c r="C673" s="140">
        <v>44323</v>
      </c>
      <c r="D673" s="23" t="s">
        <v>729</v>
      </c>
      <c r="E673" s="23" t="s">
        <v>2919</v>
      </c>
      <c r="F673" s="23" t="s">
        <v>1723</v>
      </c>
      <c r="G673" s="23" t="s">
        <v>1724</v>
      </c>
      <c r="Q673" s="141" t="s">
        <v>3473</v>
      </c>
      <c r="S673" s="23" t="s">
        <v>300</v>
      </c>
      <c r="T673" s="23" t="s">
        <v>363</v>
      </c>
      <c r="U673" s="23" t="s">
        <v>363</v>
      </c>
      <c r="V673" s="23" t="s">
        <v>298</v>
      </c>
      <c r="W673" s="23" t="s">
        <v>3266</v>
      </c>
      <c r="Y673" s="37">
        <v>9190</v>
      </c>
      <c r="Z673" s="23">
        <v>76</v>
      </c>
      <c r="AB673" s="23" t="s">
        <v>3474</v>
      </c>
      <c r="AC673" s="23" t="s">
        <v>3475</v>
      </c>
      <c r="AD673" s="118">
        <v>0</v>
      </c>
      <c r="AE673" s="118">
        <v>2</v>
      </c>
      <c r="AF673" s="23" t="s">
        <v>3181</v>
      </c>
      <c r="AG673" s="23" t="s">
        <v>1640</v>
      </c>
      <c r="AH673" s="39">
        <v>44324</v>
      </c>
    </row>
    <row r="674" spans="1:39">
      <c r="A674" s="72" t="s">
        <v>3476</v>
      </c>
      <c r="B674" s="23" t="s">
        <v>3477</v>
      </c>
      <c r="C674" s="140">
        <v>44323</v>
      </c>
      <c r="F674" s="23" t="s">
        <v>1723</v>
      </c>
      <c r="Q674" s="141" t="s">
        <v>3473</v>
      </c>
      <c r="W674" s="23" t="s">
        <v>2710</v>
      </c>
      <c r="Y674" s="37">
        <v>24000</v>
      </c>
      <c r="Z674" s="37">
        <v>74</v>
      </c>
      <c r="AB674" s="23" t="s">
        <v>3478</v>
      </c>
      <c r="AC674" s="23" t="s">
        <v>2712</v>
      </c>
      <c r="AD674" s="118"/>
      <c r="AE674" s="118"/>
      <c r="AF674" s="23" t="s">
        <v>3181</v>
      </c>
      <c r="AG674" s="23" t="s">
        <v>637</v>
      </c>
      <c r="AH674" s="39">
        <v>44324</v>
      </c>
    </row>
    <row r="675" spans="1:39" ht="32">
      <c r="A675" s="72" t="s">
        <v>3479</v>
      </c>
      <c r="B675" s="23" t="s">
        <v>3481</v>
      </c>
      <c r="C675" s="140">
        <v>44276</v>
      </c>
      <c r="D675" s="23" t="s">
        <v>729</v>
      </c>
      <c r="E675" s="23" t="s">
        <v>752</v>
      </c>
      <c r="F675" s="23" t="s">
        <v>3456</v>
      </c>
      <c r="G675" s="23" t="s">
        <v>3480</v>
      </c>
      <c r="S675" s="23" t="s">
        <v>300</v>
      </c>
      <c r="T675" s="23" t="s">
        <v>12031</v>
      </c>
      <c r="U675" s="23" t="s">
        <v>12031</v>
      </c>
      <c r="V675" s="23" t="s">
        <v>299</v>
      </c>
      <c r="W675" s="23" t="s">
        <v>3482</v>
      </c>
      <c r="Y675" s="37">
        <v>3750</v>
      </c>
      <c r="AB675" s="19" t="s">
        <v>3483</v>
      </c>
      <c r="AC675" s="23">
        <v>2</v>
      </c>
      <c r="AD675" s="118">
        <v>2</v>
      </c>
      <c r="AE675" s="118">
        <v>0</v>
      </c>
      <c r="AG675" s="23" t="s">
        <v>3484</v>
      </c>
      <c r="AH675" s="39">
        <v>44324</v>
      </c>
    </row>
    <row r="676" spans="1:39" ht="224">
      <c r="A676" s="73" t="s">
        <v>3485</v>
      </c>
      <c r="B676" s="23" t="s">
        <v>3487</v>
      </c>
      <c r="C676" s="140">
        <v>44309</v>
      </c>
      <c r="D676" s="23" t="s">
        <v>729</v>
      </c>
      <c r="E676" s="23" t="s">
        <v>752</v>
      </c>
      <c r="F676" s="23" t="s">
        <v>2200</v>
      </c>
      <c r="G676" s="23" t="s">
        <v>301</v>
      </c>
      <c r="H676" s="23" t="s">
        <v>3488</v>
      </c>
      <c r="I676" s="23" t="s">
        <v>3488</v>
      </c>
      <c r="J676" s="140">
        <v>44296</v>
      </c>
      <c r="K676" s="23" t="s">
        <v>3489</v>
      </c>
      <c r="L676" s="140">
        <v>44312</v>
      </c>
      <c r="M676" s="26">
        <v>44326</v>
      </c>
      <c r="S676" s="23" t="s">
        <v>300</v>
      </c>
      <c r="T676" s="23" t="s">
        <v>305</v>
      </c>
      <c r="U676" s="23" t="s">
        <v>305</v>
      </c>
      <c r="V676" s="23" t="s">
        <v>299</v>
      </c>
      <c r="W676" s="23" t="s">
        <v>355</v>
      </c>
      <c r="Y676" s="37">
        <v>51402</v>
      </c>
      <c r="Z676" s="23">
        <v>504.27</v>
      </c>
      <c r="AB676" s="60" t="s">
        <v>3490</v>
      </c>
      <c r="AC676" s="23">
        <v>39</v>
      </c>
      <c r="AD676" s="118">
        <v>0</v>
      </c>
      <c r="AE676" s="118">
        <v>13</v>
      </c>
      <c r="AF676" s="23" t="s">
        <v>3193</v>
      </c>
      <c r="AG676" s="23" t="s">
        <v>1553</v>
      </c>
      <c r="AH676" s="39">
        <v>44326</v>
      </c>
    </row>
    <row r="677" spans="1:39">
      <c r="A677" s="73" t="s">
        <v>3486</v>
      </c>
      <c r="B677" s="23" t="s">
        <v>3491</v>
      </c>
      <c r="C677" s="140">
        <v>44309</v>
      </c>
      <c r="D677" s="23" t="s">
        <v>729</v>
      </c>
      <c r="E677" s="23" t="s">
        <v>752</v>
      </c>
      <c r="F677" s="23" t="s">
        <v>2200</v>
      </c>
      <c r="G677" s="23" t="s">
        <v>301</v>
      </c>
      <c r="H677" s="23" t="s">
        <v>3492</v>
      </c>
      <c r="I677" s="23" t="s">
        <v>3492</v>
      </c>
      <c r="J677" s="140">
        <v>44296</v>
      </c>
      <c r="K677" s="23" t="s">
        <v>3493</v>
      </c>
      <c r="L677" s="140">
        <v>44311</v>
      </c>
      <c r="M677" s="26">
        <v>44326</v>
      </c>
      <c r="S677" s="23" t="s">
        <v>300</v>
      </c>
      <c r="T677" s="23" t="s">
        <v>305</v>
      </c>
      <c r="U677" s="23" t="s">
        <v>305</v>
      </c>
      <c r="V677" s="23" t="s">
        <v>299</v>
      </c>
      <c r="W677" s="23" t="s">
        <v>1677</v>
      </c>
      <c r="Y677" s="37">
        <v>4230</v>
      </c>
      <c r="Z677" s="23">
        <v>34.4</v>
      </c>
      <c r="AB677" s="59" t="s">
        <v>3494</v>
      </c>
      <c r="AC677" s="23">
        <v>2</v>
      </c>
      <c r="AD677" s="118">
        <v>0</v>
      </c>
      <c r="AE677" s="118">
        <v>1</v>
      </c>
      <c r="AG677" s="23" t="s">
        <v>3415</v>
      </c>
      <c r="AH677" s="39">
        <v>44326</v>
      </c>
    </row>
    <row r="678" spans="1:39">
      <c r="A678" s="72" t="s">
        <v>3498</v>
      </c>
      <c r="B678" s="23" t="s">
        <v>3499</v>
      </c>
      <c r="C678" s="140">
        <v>44326</v>
      </c>
      <c r="D678" s="23" t="s">
        <v>729</v>
      </c>
      <c r="E678" s="23" t="s">
        <v>2919</v>
      </c>
      <c r="F678" s="23" t="s">
        <v>1723</v>
      </c>
      <c r="G678" s="23" t="s">
        <v>1724</v>
      </c>
      <c r="Q678" s="141" t="s">
        <v>3500</v>
      </c>
      <c r="S678" s="23" t="s">
        <v>300</v>
      </c>
      <c r="T678" s="23" t="s">
        <v>363</v>
      </c>
      <c r="U678" s="23" t="s">
        <v>363</v>
      </c>
      <c r="V678" s="23" t="s">
        <v>298</v>
      </c>
      <c r="W678" s="23" t="s">
        <v>3501</v>
      </c>
      <c r="Y678" s="37">
        <v>15100</v>
      </c>
      <c r="Z678" s="23">
        <v>76</v>
      </c>
      <c r="AB678" s="23" t="s">
        <v>3502</v>
      </c>
      <c r="AC678" s="23" t="s">
        <v>3087</v>
      </c>
      <c r="AD678" s="118">
        <v>0</v>
      </c>
      <c r="AE678" s="118">
        <v>1</v>
      </c>
      <c r="AF678" s="23" t="s">
        <v>3181</v>
      </c>
      <c r="AG678" s="23" t="s">
        <v>1640</v>
      </c>
      <c r="AH678" s="39">
        <v>44327</v>
      </c>
    </row>
    <row r="679" spans="1:39" ht="16">
      <c r="A679" s="73" t="s">
        <v>3503</v>
      </c>
      <c r="B679" s="23" t="s">
        <v>3504</v>
      </c>
      <c r="C679" s="140">
        <v>44303</v>
      </c>
      <c r="D679" s="23" t="s">
        <v>729</v>
      </c>
      <c r="E679" s="23" t="s">
        <v>752</v>
      </c>
      <c r="F679" s="23" t="s">
        <v>2200</v>
      </c>
      <c r="G679" s="23" t="s">
        <v>301</v>
      </c>
      <c r="H679" s="23">
        <v>55005272</v>
      </c>
      <c r="I679" s="23">
        <v>55005272</v>
      </c>
      <c r="J679" s="140">
        <v>44297</v>
      </c>
      <c r="K679" s="23" t="s">
        <v>3515</v>
      </c>
      <c r="L679" s="140">
        <v>44306</v>
      </c>
      <c r="P679" s="23" t="s">
        <v>3505</v>
      </c>
      <c r="Q679" s="141" t="s">
        <v>3603</v>
      </c>
      <c r="S679" s="23" t="s">
        <v>3506</v>
      </c>
      <c r="T679" s="23" t="s">
        <v>305</v>
      </c>
      <c r="U679" s="23" t="s">
        <v>305</v>
      </c>
      <c r="V679" s="23" t="s">
        <v>298</v>
      </c>
      <c r="W679" s="19" t="s">
        <v>3141</v>
      </c>
      <c r="Y679" s="37">
        <v>8371</v>
      </c>
      <c r="Z679" s="23">
        <v>63.9</v>
      </c>
      <c r="AB679" s="59" t="s">
        <v>3517</v>
      </c>
      <c r="AC679" s="23" t="s">
        <v>3516</v>
      </c>
      <c r="AD679" s="118">
        <v>0</v>
      </c>
      <c r="AE679" s="118">
        <v>1</v>
      </c>
      <c r="AF679" s="23" t="s">
        <v>3518</v>
      </c>
      <c r="AG679" s="23" t="s">
        <v>3507</v>
      </c>
      <c r="AH679" s="39">
        <v>44327</v>
      </c>
    </row>
    <row r="680" spans="1:39">
      <c r="A680" s="72" t="s">
        <v>3508</v>
      </c>
      <c r="B680" s="27" t="s">
        <v>3514</v>
      </c>
      <c r="C680" s="140">
        <v>44328</v>
      </c>
      <c r="D680" s="23" t="s">
        <v>729</v>
      </c>
      <c r="E680" s="23" t="s">
        <v>2919</v>
      </c>
      <c r="F680" s="23" t="s">
        <v>1723</v>
      </c>
      <c r="G680" s="23" t="s">
        <v>1724</v>
      </c>
      <c r="Q680" s="141" t="s">
        <v>3509</v>
      </c>
      <c r="S680" s="23" t="s">
        <v>2755</v>
      </c>
      <c r="T680" s="23" t="s">
        <v>363</v>
      </c>
      <c r="U680" s="23" t="s">
        <v>363</v>
      </c>
      <c r="V680" s="23" t="s">
        <v>298</v>
      </c>
      <c r="W680" s="23" t="s">
        <v>3288</v>
      </c>
      <c r="Y680" s="37">
        <v>8076</v>
      </c>
      <c r="Z680" s="23">
        <v>61.5</v>
      </c>
      <c r="AB680" s="23" t="s">
        <v>3510</v>
      </c>
      <c r="AC680" s="23" t="s">
        <v>3447</v>
      </c>
      <c r="AD680" s="118">
        <v>0</v>
      </c>
      <c r="AE680" s="118">
        <v>1</v>
      </c>
      <c r="AF680" s="23" t="s">
        <v>3297</v>
      </c>
      <c r="AG680" s="23" t="s">
        <v>1640</v>
      </c>
      <c r="AH680" s="39">
        <v>44328</v>
      </c>
    </row>
    <row r="681" spans="1:39">
      <c r="A681" s="72" t="s">
        <v>3511</v>
      </c>
      <c r="B681" s="23" t="s">
        <v>3512</v>
      </c>
      <c r="C681" s="140">
        <v>44328</v>
      </c>
      <c r="D681" s="23" t="s">
        <v>729</v>
      </c>
      <c r="E681" s="23" t="s">
        <v>2919</v>
      </c>
      <c r="F681" s="23" t="s">
        <v>1723</v>
      </c>
      <c r="G681" s="23" t="s">
        <v>1724</v>
      </c>
      <c r="Q681" s="141" t="s">
        <v>3509</v>
      </c>
      <c r="S681" s="23" t="s">
        <v>2755</v>
      </c>
      <c r="T681" s="23" t="s">
        <v>363</v>
      </c>
      <c r="U681" s="23" t="s">
        <v>363</v>
      </c>
      <c r="V681" s="23" t="s">
        <v>298</v>
      </c>
      <c r="W681" s="23" t="s">
        <v>2710</v>
      </c>
      <c r="Y681" s="37">
        <v>21600</v>
      </c>
      <c r="Z681" s="23">
        <v>74</v>
      </c>
      <c r="AB681" s="23" t="s">
        <v>3513</v>
      </c>
      <c r="AC681" s="23" t="s">
        <v>3081</v>
      </c>
      <c r="AD681" s="118">
        <v>0</v>
      </c>
      <c r="AE681" s="118">
        <v>1</v>
      </c>
      <c r="AF681" s="23" t="s">
        <v>3181</v>
      </c>
      <c r="AG681" s="23" t="s">
        <v>1640</v>
      </c>
      <c r="AH681" s="39">
        <v>44329</v>
      </c>
    </row>
    <row r="682" spans="1:39" ht="16">
      <c r="A682" s="72" t="s">
        <v>3519</v>
      </c>
      <c r="B682" s="23" t="s">
        <v>3562</v>
      </c>
      <c r="C682" s="140">
        <v>44330</v>
      </c>
      <c r="D682" s="23" t="s">
        <v>729</v>
      </c>
      <c r="E682" s="23" t="s">
        <v>2919</v>
      </c>
      <c r="F682" s="23" t="s">
        <v>57</v>
      </c>
      <c r="G682" s="23" t="s">
        <v>57</v>
      </c>
      <c r="H682" s="23" t="s">
        <v>3564</v>
      </c>
      <c r="I682" s="23" t="s">
        <v>3564</v>
      </c>
      <c r="J682" s="140">
        <v>44328</v>
      </c>
      <c r="K682" s="23" t="s">
        <v>3831</v>
      </c>
      <c r="L682" s="140">
        <v>44333</v>
      </c>
      <c r="S682" s="23" t="s">
        <v>184</v>
      </c>
      <c r="T682" s="23" t="s">
        <v>302</v>
      </c>
      <c r="U682" s="23" t="s">
        <v>302</v>
      </c>
      <c r="V682" s="23" t="s">
        <v>233</v>
      </c>
      <c r="W682" s="19" t="s">
        <v>3565</v>
      </c>
      <c r="X682" s="23">
        <v>27482.6</v>
      </c>
      <c r="Y682" s="23">
        <v>27650</v>
      </c>
      <c r="Z682" s="23">
        <v>28905.59</v>
      </c>
      <c r="AA682" s="23">
        <v>27373.5</v>
      </c>
      <c r="AB682" s="23" t="s">
        <v>3569</v>
      </c>
      <c r="AC682" s="23" t="s">
        <v>3568</v>
      </c>
      <c r="AD682" s="118">
        <v>0</v>
      </c>
      <c r="AE682" s="118">
        <v>2</v>
      </c>
      <c r="AG682" s="23" t="s">
        <v>787</v>
      </c>
      <c r="AH682" s="39">
        <v>44333</v>
      </c>
    </row>
    <row r="683" spans="1:39" ht="32">
      <c r="A683" s="72" t="s">
        <v>3566</v>
      </c>
      <c r="B683" s="23" t="s">
        <v>3562</v>
      </c>
      <c r="C683" s="140">
        <v>44330</v>
      </c>
      <c r="D683" s="23" t="s">
        <v>729</v>
      </c>
      <c r="E683" s="23" t="s">
        <v>2919</v>
      </c>
      <c r="F683" s="23" t="s">
        <v>57</v>
      </c>
      <c r="G683" s="23" t="s">
        <v>57</v>
      </c>
      <c r="H683" s="23" t="s">
        <v>3563</v>
      </c>
      <c r="I683" s="23" t="s">
        <v>3563</v>
      </c>
      <c r="J683" s="140">
        <v>44327</v>
      </c>
      <c r="S683" s="23" t="s">
        <v>184</v>
      </c>
      <c r="T683" s="23" t="s">
        <v>302</v>
      </c>
      <c r="U683" s="23" t="s">
        <v>302</v>
      </c>
      <c r="V683" s="23" t="s">
        <v>233</v>
      </c>
      <c r="W683" s="19" t="s">
        <v>3567</v>
      </c>
      <c r="X683" s="23">
        <v>12569.3</v>
      </c>
      <c r="Y683" s="23">
        <v>12848.5</v>
      </c>
      <c r="Z683" s="23">
        <v>23926.07</v>
      </c>
      <c r="AB683" s="23" t="s">
        <v>3570</v>
      </c>
      <c r="AC683" s="23" t="s">
        <v>3571</v>
      </c>
      <c r="AD683" s="118">
        <v>1</v>
      </c>
      <c r="AE683" s="118">
        <v>1</v>
      </c>
      <c r="AG683" s="23" t="s">
        <v>787</v>
      </c>
      <c r="AH683" s="39">
        <v>44333</v>
      </c>
      <c r="AJ683" s="75" t="s">
        <v>5348</v>
      </c>
      <c r="AL683" s="23" t="s">
        <v>5346</v>
      </c>
      <c r="AM683" s="102">
        <v>44337</v>
      </c>
    </row>
    <row r="684" spans="1:39">
      <c r="A684" s="72" t="s">
        <v>3520</v>
      </c>
      <c r="B684" s="23" t="s">
        <v>3521</v>
      </c>
      <c r="C684" s="140">
        <v>44329</v>
      </c>
      <c r="D684" s="23" t="s">
        <v>729</v>
      </c>
      <c r="E684" s="23" t="s">
        <v>2919</v>
      </c>
      <c r="F684" s="23" t="s">
        <v>1723</v>
      </c>
      <c r="G684" s="23" t="s">
        <v>1724</v>
      </c>
      <c r="Q684" s="141" t="s">
        <v>3523</v>
      </c>
      <c r="T684" s="23" t="s">
        <v>363</v>
      </c>
      <c r="U684" s="23" t="s">
        <v>363</v>
      </c>
      <c r="V684" s="23" t="s">
        <v>298</v>
      </c>
      <c r="W684" s="23" t="s">
        <v>3522</v>
      </c>
      <c r="Y684" s="37">
        <v>7000</v>
      </c>
      <c r="Z684" s="23">
        <v>75</v>
      </c>
      <c r="AB684" s="23" t="s">
        <v>3549</v>
      </c>
      <c r="AC684" s="23" t="s">
        <v>3550</v>
      </c>
      <c r="AD684" s="118">
        <v>0</v>
      </c>
      <c r="AE684" s="118">
        <v>1</v>
      </c>
      <c r="AF684" s="23" t="s">
        <v>3181</v>
      </c>
      <c r="AG684" s="23" t="s">
        <v>1640</v>
      </c>
      <c r="AH684" s="39">
        <v>44394</v>
      </c>
    </row>
    <row r="685" spans="1:39">
      <c r="A685" s="72" t="s">
        <v>3524</v>
      </c>
      <c r="B685" s="23" t="s">
        <v>3525</v>
      </c>
      <c r="C685" s="140">
        <v>44299</v>
      </c>
      <c r="D685" s="23" t="s">
        <v>729</v>
      </c>
      <c r="E685" s="23" t="s">
        <v>752</v>
      </c>
      <c r="F685" s="23" t="s">
        <v>2944</v>
      </c>
      <c r="G685" s="23" t="s">
        <v>1989</v>
      </c>
      <c r="H685" s="23" t="s">
        <v>3526</v>
      </c>
      <c r="I685" s="23" t="s">
        <v>3526</v>
      </c>
      <c r="J685" s="140">
        <v>44291</v>
      </c>
      <c r="S685" s="23" t="s">
        <v>759</v>
      </c>
      <c r="T685" s="23" t="s">
        <v>12031</v>
      </c>
      <c r="U685" s="23" t="s">
        <v>12031</v>
      </c>
      <c r="V685" s="23" t="s">
        <v>299</v>
      </c>
      <c r="W685" s="23" t="s">
        <v>3360</v>
      </c>
      <c r="Y685" s="37">
        <v>5000</v>
      </c>
      <c r="Z685" s="23">
        <v>40</v>
      </c>
      <c r="AB685" s="23" t="s">
        <v>3527</v>
      </c>
      <c r="AC685" s="23">
        <v>2</v>
      </c>
      <c r="AD685" s="118">
        <v>0</v>
      </c>
      <c r="AE685" s="118">
        <v>1</v>
      </c>
      <c r="AG685" s="23" t="s">
        <v>2238</v>
      </c>
      <c r="AH685" s="39">
        <v>44332</v>
      </c>
      <c r="AJ685" s="75" t="s">
        <v>5328</v>
      </c>
      <c r="AK685" s="53">
        <v>44334</v>
      </c>
      <c r="AL685" s="23" t="s">
        <v>5329</v>
      </c>
      <c r="AM685" s="102">
        <v>44344</v>
      </c>
    </row>
    <row r="686" spans="1:39">
      <c r="A686" s="72" t="s">
        <v>3528</v>
      </c>
      <c r="B686" s="23" t="s">
        <v>3529</v>
      </c>
      <c r="C686" s="140">
        <v>44295</v>
      </c>
      <c r="D686" s="23" t="s">
        <v>729</v>
      </c>
      <c r="E686" s="23" t="s">
        <v>752</v>
      </c>
      <c r="F686" s="23" t="s">
        <v>2944</v>
      </c>
      <c r="G686" s="23" t="s">
        <v>1989</v>
      </c>
      <c r="H686" s="23" t="s">
        <v>3530</v>
      </c>
      <c r="I686" s="23" t="s">
        <v>3530</v>
      </c>
      <c r="J686" s="140">
        <v>44287</v>
      </c>
      <c r="S686" s="23" t="s">
        <v>2121</v>
      </c>
      <c r="T686" s="23" t="s">
        <v>12031</v>
      </c>
      <c r="U686" s="23" t="s">
        <v>12031</v>
      </c>
      <c r="V686" s="23" t="s">
        <v>299</v>
      </c>
      <c r="W686" s="23" t="s">
        <v>3531</v>
      </c>
      <c r="Y686" s="37">
        <v>6986</v>
      </c>
      <c r="AB686" s="23" t="s">
        <v>3532</v>
      </c>
      <c r="AC686" s="23">
        <v>2</v>
      </c>
      <c r="AD686" s="118">
        <v>0</v>
      </c>
      <c r="AE686" s="118">
        <v>1</v>
      </c>
      <c r="AG686" s="23" t="s">
        <v>3533</v>
      </c>
      <c r="AH686" s="39">
        <v>44332</v>
      </c>
    </row>
    <row r="687" spans="1:39">
      <c r="A687" s="72" t="s">
        <v>3534</v>
      </c>
      <c r="B687" s="23" t="s">
        <v>3535</v>
      </c>
      <c r="C687" s="140">
        <v>44287</v>
      </c>
      <c r="D687" s="23" t="s">
        <v>729</v>
      </c>
      <c r="E687" s="23" t="s">
        <v>752</v>
      </c>
      <c r="F687" s="23" t="s">
        <v>2944</v>
      </c>
      <c r="G687" s="23" t="s">
        <v>1989</v>
      </c>
      <c r="H687" s="23" t="s">
        <v>3536</v>
      </c>
      <c r="I687" s="23" t="s">
        <v>3536</v>
      </c>
      <c r="J687" s="140">
        <v>44277</v>
      </c>
      <c r="S687" s="23" t="s">
        <v>759</v>
      </c>
      <c r="T687" s="23" t="s">
        <v>12031</v>
      </c>
      <c r="U687" s="23" t="s">
        <v>12031</v>
      </c>
      <c r="V687" s="23" t="s">
        <v>299</v>
      </c>
      <c r="W687" s="23" t="s">
        <v>3360</v>
      </c>
      <c r="Y687" s="37">
        <v>2500</v>
      </c>
      <c r="Z687" s="23">
        <v>20</v>
      </c>
      <c r="AB687" s="23" t="s">
        <v>3537</v>
      </c>
      <c r="AC687" s="23">
        <v>1</v>
      </c>
      <c r="AD687" s="118">
        <v>1</v>
      </c>
      <c r="AE687" s="118">
        <v>0</v>
      </c>
      <c r="AG687" s="23" t="s">
        <v>3538</v>
      </c>
      <c r="AH687" s="39">
        <v>44333</v>
      </c>
    </row>
    <row r="688" spans="1:39">
      <c r="A688" s="72" t="s">
        <v>3539</v>
      </c>
      <c r="B688" s="23" t="s">
        <v>3540</v>
      </c>
      <c r="C688" s="140">
        <v>44331</v>
      </c>
      <c r="D688" s="23" t="s">
        <v>729</v>
      </c>
      <c r="E688" s="23" t="s">
        <v>2919</v>
      </c>
      <c r="F688" s="23" t="s">
        <v>1723</v>
      </c>
      <c r="G688" s="23" t="s">
        <v>1724</v>
      </c>
      <c r="Q688" s="141" t="s">
        <v>3541</v>
      </c>
      <c r="S688" s="23" t="s">
        <v>2755</v>
      </c>
      <c r="T688" s="23" t="s">
        <v>363</v>
      </c>
      <c r="U688" s="23" t="s">
        <v>363</v>
      </c>
      <c r="V688" s="23" t="s">
        <v>298</v>
      </c>
      <c r="W688" s="23" t="s">
        <v>3542</v>
      </c>
      <c r="Y688" s="37">
        <v>18220</v>
      </c>
      <c r="Z688" s="23">
        <v>76</v>
      </c>
      <c r="AB688" s="23" t="s">
        <v>3543</v>
      </c>
      <c r="AC688" s="23" t="s">
        <v>3544</v>
      </c>
      <c r="AD688" s="118">
        <v>0</v>
      </c>
      <c r="AE688" s="118">
        <v>2</v>
      </c>
      <c r="AF688" s="23" t="s">
        <v>3181</v>
      </c>
      <c r="AG688" s="23" t="s">
        <v>1640</v>
      </c>
      <c r="AH688" s="39">
        <v>44333</v>
      </c>
    </row>
    <row r="689" spans="1:39">
      <c r="A689" s="72" t="s">
        <v>3545</v>
      </c>
      <c r="B689" s="23" t="s">
        <v>3546</v>
      </c>
      <c r="C689" s="140">
        <v>44331</v>
      </c>
      <c r="F689" s="23" t="s">
        <v>1723</v>
      </c>
      <c r="Q689" s="141" t="s">
        <v>3541</v>
      </c>
      <c r="W689" s="23" t="s">
        <v>3288</v>
      </c>
      <c r="Y689" s="37">
        <v>8280</v>
      </c>
      <c r="Z689" s="23">
        <v>76</v>
      </c>
      <c r="AB689" s="23" t="s">
        <v>3547</v>
      </c>
      <c r="AC689" s="23" t="s">
        <v>3548</v>
      </c>
      <c r="AD689" s="118"/>
      <c r="AE689" s="118"/>
      <c r="AF689" s="23" t="s">
        <v>3181</v>
      </c>
      <c r="AG689" s="23" t="s">
        <v>1640</v>
      </c>
      <c r="AH689" s="39">
        <v>44333</v>
      </c>
    </row>
    <row r="690" spans="1:39">
      <c r="A690" s="72" t="s">
        <v>3551</v>
      </c>
      <c r="B690" s="23" t="s">
        <v>3552</v>
      </c>
      <c r="C690" s="140">
        <v>44331</v>
      </c>
      <c r="D690" s="23" t="s">
        <v>729</v>
      </c>
      <c r="E690" s="23" t="s">
        <v>2919</v>
      </c>
      <c r="F690" s="23" t="s">
        <v>1723</v>
      </c>
      <c r="G690" s="23" t="s">
        <v>1724</v>
      </c>
      <c r="Q690" s="141" t="s">
        <v>3553</v>
      </c>
      <c r="S690" s="23" t="s">
        <v>2755</v>
      </c>
      <c r="T690" s="23" t="s">
        <v>363</v>
      </c>
      <c r="U690" s="23" t="s">
        <v>363</v>
      </c>
      <c r="V690" s="23" t="s">
        <v>298</v>
      </c>
      <c r="W690" s="23" t="s">
        <v>3288</v>
      </c>
      <c r="Y690" s="37">
        <v>8076</v>
      </c>
      <c r="Z690" s="23">
        <v>61.5</v>
      </c>
      <c r="AB690" s="23" t="s">
        <v>3554</v>
      </c>
      <c r="AC690" s="23" t="s">
        <v>3447</v>
      </c>
      <c r="AD690" s="118">
        <v>0</v>
      </c>
      <c r="AE690" s="118">
        <v>1</v>
      </c>
      <c r="AF690" s="23" t="s">
        <v>3193</v>
      </c>
      <c r="AG690" s="23" t="s">
        <v>1640</v>
      </c>
      <c r="AH690" s="39">
        <v>44333</v>
      </c>
    </row>
    <row r="691" spans="1:39">
      <c r="A691" s="72" t="s">
        <v>3555</v>
      </c>
      <c r="B691" s="23" t="s">
        <v>3556</v>
      </c>
      <c r="C691" s="140">
        <v>44333</v>
      </c>
      <c r="D691" s="23" t="s">
        <v>729</v>
      </c>
      <c r="E691" s="23" t="s">
        <v>2919</v>
      </c>
      <c r="F691" s="23" t="s">
        <v>1723</v>
      </c>
      <c r="G691" s="23" t="s">
        <v>1724</v>
      </c>
      <c r="Q691" s="141" t="s">
        <v>3553</v>
      </c>
      <c r="S691" s="23" t="s">
        <v>2755</v>
      </c>
      <c r="T691" s="23" t="s">
        <v>363</v>
      </c>
      <c r="U691" s="23" t="s">
        <v>363</v>
      </c>
      <c r="V691" s="23" t="s">
        <v>298</v>
      </c>
      <c r="W691" s="23" t="s">
        <v>2710</v>
      </c>
      <c r="Y691" s="37">
        <v>21900</v>
      </c>
      <c r="Z691" s="23">
        <v>74.5</v>
      </c>
      <c r="AB691" s="23" t="s">
        <v>3558</v>
      </c>
      <c r="AC691" s="23" t="s">
        <v>3117</v>
      </c>
      <c r="AD691" s="118">
        <v>0</v>
      </c>
      <c r="AE691" s="118">
        <v>2</v>
      </c>
      <c r="AF691" s="23" t="s">
        <v>3181</v>
      </c>
      <c r="AG691" s="23" t="s">
        <v>1640</v>
      </c>
      <c r="AH691" s="39">
        <v>44333</v>
      </c>
    </row>
    <row r="692" spans="1:39">
      <c r="A692" s="72" t="s">
        <v>3557</v>
      </c>
      <c r="B692" s="23" t="s">
        <v>3559</v>
      </c>
      <c r="C692" s="140">
        <v>44333</v>
      </c>
      <c r="F692" s="23" t="s">
        <v>1723</v>
      </c>
      <c r="W692" s="23" t="s">
        <v>3560</v>
      </c>
      <c r="Y692" s="37">
        <v>7800</v>
      </c>
      <c r="Z692" s="23">
        <v>75</v>
      </c>
      <c r="AB692" s="23" t="s">
        <v>3561</v>
      </c>
      <c r="AD692" s="118"/>
      <c r="AE692" s="118"/>
      <c r="AF692" s="23" t="s">
        <v>3181</v>
      </c>
      <c r="AG692" s="23" t="s">
        <v>1640</v>
      </c>
      <c r="AH692" s="39">
        <v>44333</v>
      </c>
    </row>
    <row r="693" spans="1:39">
      <c r="A693" s="73" t="s">
        <v>3572</v>
      </c>
      <c r="B693" s="23" t="s">
        <v>3574</v>
      </c>
      <c r="C693" s="140">
        <v>44334</v>
      </c>
      <c r="D693" s="23" t="s">
        <v>729</v>
      </c>
      <c r="E693" s="23" t="s">
        <v>2919</v>
      </c>
      <c r="F693" s="23" t="s">
        <v>1723</v>
      </c>
      <c r="G693" s="23" t="s">
        <v>1724</v>
      </c>
      <c r="Q693" s="141" t="s">
        <v>3575</v>
      </c>
      <c r="S693" s="23" t="s">
        <v>2755</v>
      </c>
      <c r="T693" s="23" t="s">
        <v>363</v>
      </c>
      <c r="U693" s="23" t="s">
        <v>363</v>
      </c>
      <c r="V693" s="23" t="s">
        <v>298</v>
      </c>
      <c r="W693" s="23" t="s">
        <v>3542</v>
      </c>
      <c r="Y693" s="37">
        <v>18940</v>
      </c>
      <c r="Z693" s="23">
        <v>76</v>
      </c>
      <c r="AB693" s="23" t="s">
        <v>3576</v>
      </c>
      <c r="AC693" s="23" t="s">
        <v>3579</v>
      </c>
      <c r="AD693" s="118">
        <v>0</v>
      </c>
      <c r="AE693" s="118">
        <v>2</v>
      </c>
      <c r="AF693" s="23" t="s">
        <v>3181</v>
      </c>
      <c r="AG693" s="23" t="s">
        <v>1640</v>
      </c>
      <c r="AH693" s="39">
        <v>44337</v>
      </c>
    </row>
    <row r="694" spans="1:39">
      <c r="A694" s="72" t="s">
        <v>3573</v>
      </c>
      <c r="B694" s="23" t="s">
        <v>3577</v>
      </c>
      <c r="C694" s="140">
        <v>44336</v>
      </c>
      <c r="F694" s="23" t="s">
        <v>1723</v>
      </c>
      <c r="W694" s="23" t="s">
        <v>3288</v>
      </c>
      <c r="Y694" s="37">
        <v>7200</v>
      </c>
      <c r="Z694" s="23">
        <v>76</v>
      </c>
      <c r="AB694" s="23" t="s">
        <v>3578</v>
      </c>
      <c r="AC694" s="23" t="s">
        <v>3580</v>
      </c>
      <c r="AD694" s="118"/>
      <c r="AE694" s="118"/>
      <c r="AF694" s="23" t="s">
        <v>3181</v>
      </c>
      <c r="AG694" s="23" t="s">
        <v>1640</v>
      </c>
      <c r="AH694" s="39">
        <v>44337</v>
      </c>
    </row>
    <row r="695" spans="1:39">
      <c r="A695" s="72" t="s">
        <v>3581</v>
      </c>
      <c r="B695" s="23" t="s">
        <v>3582</v>
      </c>
      <c r="C695" s="140">
        <v>44337</v>
      </c>
      <c r="D695" s="23" t="s">
        <v>729</v>
      </c>
      <c r="E695" s="23" t="s">
        <v>2919</v>
      </c>
      <c r="F695" s="23" t="s">
        <v>1723</v>
      </c>
      <c r="G695" s="23" t="s">
        <v>1724</v>
      </c>
      <c r="Q695" s="141" t="s">
        <v>3587</v>
      </c>
      <c r="S695" s="23" t="s">
        <v>2755</v>
      </c>
      <c r="T695" s="23" t="s">
        <v>363</v>
      </c>
      <c r="U695" s="23" t="s">
        <v>363</v>
      </c>
      <c r="V695" s="23" t="s">
        <v>298</v>
      </c>
      <c r="W695" s="23" t="s">
        <v>1716</v>
      </c>
      <c r="Y695" s="37">
        <v>5664</v>
      </c>
      <c r="Z695" s="23">
        <v>75</v>
      </c>
      <c r="AB695" s="23" t="s">
        <v>3584</v>
      </c>
      <c r="AC695" s="23" t="s">
        <v>2921</v>
      </c>
      <c r="AD695" s="118">
        <v>0</v>
      </c>
      <c r="AE695" s="118">
        <v>2</v>
      </c>
      <c r="AF695" s="23" t="s">
        <v>3181</v>
      </c>
      <c r="AG695" s="23" t="s">
        <v>1640</v>
      </c>
      <c r="AH695" s="39">
        <v>44338</v>
      </c>
    </row>
    <row r="696" spans="1:39">
      <c r="A696" s="72" t="s">
        <v>3583</v>
      </c>
      <c r="B696" s="23" t="s">
        <v>3585</v>
      </c>
      <c r="C696" s="140">
        <v>44337</v>
      </c>
      <c r="F696" s="23" t="s">
        <v>1723</v>
      </c>
      <c r="W696" s="23" t="s">
        <v>2710</v>
      </c>
      <c r="Y696" s="37">
        <v>24000</v>
      </c>
      <c r="Z696" s="23">
        <v>76</v>
      </c>
      <c r="AB696" s="23" t="s">
        <v>3586</v>
      </c>
      <c r="AC696" s="23" t="s">
        <v>2712</v>
      </c>
      <c r="AD696" s="118"/>
      <c r="AE696" s="118"/>
      <c r="AF696" s="23" t="s">
        <v>3181</v>
      </c>
      <c r="AG696" s="23" t="s">
        <v>1640</v>
      </c>
      <c r="AH696" s="39">
        <v>44338</v>
      </c>
    </row>
    <row r="697" spans="1:39">
      <c r="A697" s="72" t="s">
        <v>3588</v>
      </c>
      <c r="B697" s="23" t="s">
        <v>3589</v>
      </c>
      <c r="C697" s="140">
        <v>44338</v>
      </c>
      <c r="D697" s="23" t="s">
        <v>729</v>
      </c>
      <c r="E697" s="23" t="s">
        <v>2919</v>
      </c>
      <c r="F697" s="23" t="s">
        <v>1723</v>
      </c>
      <c r="G697" s="23" t="s">
        <v>1724</v>
      </c>
      <c r="Q697" s="141" t="s">
        <v>3590</v>
      </c>
      <c r="S697" s="23" t="s">
        <v>2755</v>
      </c>
      <c r="T697" s="23" t="s">
        <v>363</v>
      </c>
      <c r="U697" s="23" t="s">
        <v>363</v>
      </c>
      <c r="V697" s="23" t="s">
        <v>298</v>
      </c>
      <c r="W697" s="23" t="s">
        <v>3288</v>
      </c>
      <c r="Y697" s="37">
        <v>7300</v>
      </c>
      <c r="Z697" s="23">
        <v>76</v>
      </c>
      <c r="AB697" s="23" t="s">
        <v>3592</v>
      </c>
      <c r="AC697" s="23" t="s">
        <v>3591</v>
      </c>
      <c r="AD697" s="118">
        <v>0</v>
      </c>
      <c r="AE697" s="118">
        <v>1</v>
      </c>
      <c r="AF697" s="23" t="s">
        <v>3181</v>
      </c>
      <c r="AG697" s="23" t="s">
        <v>637</v>
      </c>
      <c r="AH697" s="39">
        <v>44340</v>
      </c>
    </row>
    <row r="698" spans="1:39">
      <c r="A698" s="72" t="s">
        <v>3593</v>
      </c>
      <c r="B698" s="23" t="s">
        <v>3594</v>
      </c>
      <c r="C698" s="140">
        <v>44293</v>
      </c>
      <c r="D698" s="23" t="s">
        <v>729</v>
      </c>
      <c r="E698" s="23" t="s">
        <v>752</v>
      </c>
      <c r="F698" s="23" t="s">
        <v>2944</v>
      </c>
      <c r="G698" s="23" t="s">
        <v>1989</v>
      </c>
      <c r="H698" s="23" t="s">
        <v>3595</v>
      </c>
      <c r="I698" s="23" t="s">
        <v>3595</v>
      </c>
      <c r="J698" s="140">
        <v>44287</v>
      </c>
      <c r="S698" s="23" t="s">
        <v>2121</v>
      </c>
      <c r="T698" s="23" t="s">
        <v>12031</v>
      </c>
      <c r="U698" s="23" t="s">
        <v>12031</v>
      </c>
      <c r="V698" s="23" t="s">
        <v>299</v>
      </c>
      <c r="W698" s="23" t="s">
        <v>3596</v>
      </c>
      <c r="Y698" s="37">
        <v>5000</v>
      </c>
      <c r="AB698" s="23" t="s">
        <v>3597</v>
      </c>
      <c r="AC698" s="23">
        <v>2</v>
      </c>
      <c r="AD698" s="118">
        <v>0</v>
      </c>
      <c r="AE698" s="118">
        <v>1</v>
      </c>
      <c r="AH698" s="39">
        <v>44340</v>
      </c>
      <c r="AJ698" s="75" t="s">
        <v>5332</v>
      </c>
      <c r="AK698" s="53">
        <v>44348</v>
      </c>
      <c r="AL698" s="23" t="s">
        <v>5333</v>
      </c>
      <c r="AM698" s="102">
        <v>44351</v>
      </c>
    </row>
    <row r="699" spans="1:39">
      <c r="A699" s="72" t="s">
        <v>3598</v>
      </c>
      <c r="B699" s="23" t="s">
        <v>3599</v>
      </c>
      <c r="C699" s="140">
        <v>44340</v>
      </c>
      <c r="D699" s="23" t="s">
        <v>729</v>
      </c>
      <c r="E699" s="23" t="s">
        <v>2919</v>
      </c>
      <c r="F699" s="23" t="s">
        <v>1723</v>
      </c>
      <c r="G699" s="23" t="s">
        <v>1724</v>
      </c>
      <c r="Q699" s="141" t="s">
        <v>3600</v>
      </c>
      <c r="S699" s="23" t="s">
        <v>2755</v>
      </c>
      <c r="T699" s="23" t="s">
        <v>363</v>
      </c>
      <c r="U699" s="23" t="s">
        <v>363</v>
      </c>
      <c r="V699" s="23" t="s">
        <v>298</v>
      </c>
      <c r="W699" s="23" t="s">
        <v>1716</v>
      </c>
      <c r="Y699" s="37">
        <v>5664</v>
      </c>
      <c r="Z699" s="23">
        <v>75</v>
      </c>
      <c r="AB699" s="23" t="s">
        <v>3601</v>
      </c>
      <c r="AC699" s="23" t="s">
        <v>3602</v>
      </c>
      <c r="AD699" s="118">
        <v>0</v>
      </c>
      <c r="AE699" s="118">
        <v>1</v>
      </c>
      <c r="AF699" s="23" t="s">
        <v>3181</v>
      </c>
      <c r="AG699" s="23" t="s">
        <v>1640</v>
      </c>
      <c r="AH699" s="39">
        <v>44341</v>
      </c>
    </row>
    <row r="700" spans="1:39">
      <c r="A700" s="72" t="s">
        <v>3604</v>
      </c>
      <c r="B700" s="23" t="s">
        <v>3605</v>
      </c>
      <c r="C700" s="140">
        <v>44341</v>
      </c>
      <c r="D700" s="23" t="s">
        <v>729</v>
      </c>
      <c r="E700" s="23" t="s">
        <v>2919</v>
      </c>
      <c r="F700" s="23" t="s">
        <v>1723</v>
      </c>
      <c r="G700" s="23" t="s">
        <v>1724</v>
      </c>
      <c r="Q700" s="141" t="s">
        <v>3606</v>
      </c>
      <c r="S700" s="23" t="s">
        <v>2755</v>
      </c>
      <c r="T700" s="23" t="s">
        <v>363</v>
      </c>
      <c r="U700" s="23" t="s">
        <v>363</v>
      </c>
      <c r="V700" s="23" t="s">
        <v>298</v>
      </c>
      <c r="W700" s="23" t="s">
        <v>2710</v>
      </c>
      <c r="Y700" s="37">
        <v>21600</v>
      </c>
      <c r="Z700" s="23">
        <v>74</v>
      </c>
      <c r="AB700" s="23" t="s">
        <v>3607</v>
      </c>
      <c r="AC700" s="23" t="s">
        <v>3608</v>
      </c>
      <c r="AD700" s="118">
        <v>0</v>
      </c>
      <c r="AE700" s="118">
        <v>1</v>
      </c>
      <c r="AF700" s="23" t="s">
        <v>3181</v>
      </c>
      <c r="AG700" s="23" t="s">
        <v>1640</v>
      </c>
      <c r="AH700" s="39">
        <v>44341</v>
      </c>
    </row>
    <row r="701" spans="1:39">
      <c r="A701" s="72" t="s">
        <v>3609</v>
      </c>
      <c r="B701" s="23" t="s">
        <v>3610</v>
      </c>
      <c r="C701" s="140">
        <v>44289</v>
      </c>
      <c r="D701" s="23" t="s">
        <v>729</v>
      </c>
      <c r="E701" s="23" t="s">
        <v>752</v>
      </c>
      <c r="F701" s="23" t="s">
        <v>2926</v>
      </c>
      <c r="G701" s="23" t="s">
        <v>2197</v>
      </c>
      <c r="H701" s="23" t="s">
        <v>3611</v>
      </c>
      <c r="I701" s="23" t="s">
        <v>3611</v>
      </c>
      <c r="J701" s="140">
        <v>44287</v>
      </c>
      <c r="S701" s="23" t="s">
        <v>2121</v>
      </c>
      <c r="T701" s="23" t="s">
        <v>12031</v>
      </c>
      <c r="U701" s="23" t="s">
        <v>12031</v>
      </c>
      <c r="V701" s="23" t="s">
        <v>299</v>
      </c>
      <c r="W701" s="23" t="s">
        <v>3612</v>
      </c>
      <c r="Y701" s="37">
        <v>6000</v>
      </c>
      <c r="AB701" s="23" t="s">
        <v>3613</v>
      </c>
      <c r="AC701" s="23">
        <v>2</v>
      </c>
      <c r="AD701" s="118">
        <v>0</v>
      </c>
      <c r="AE701" s="118">
        <v>1</v>
      </c>
      <c r="AF701" s="23" t="s">
        <v>3181</v>
      </c>
      <c r="AG701" s="23" t="s">
        <v>3614</v>
      </c>
      <c r="AH701" s="39">
        <v>44342</v>
      </c>
      <c r="AI701" s="23" t="s">
        <v>3712</v>
      </c>
    </row>
    <row r="702" spans="1:39">
      <c r="A702" s="72" t="s">
        <v>3615</v>
      </c>
      <c r="B702" s="23" t="s">
        <v>3652</v>
      </c>
      <c r="C702" s="140">
        <v>44342</v>
      </c>
      <c r="D702" s="23" t="s">
        <v>729</v>
      </c>
      <c r="E702" s="23" t="s">
        <v>2919</v>
      </c>
      <c r="F702" s="23" t="s">
        <v>1723</v>
      </c>
      <c r="G702" s="23" t="s">
        <v>1724</v>
      </c>
      <c r="Q702" s="141" t="s">
        <v>3541</v>
      </c>
      <c r="S702" s="23" t="s">
        <v>2755</v>
      </c>
      <c r="T702" s="23" t="s">
        <v>363</v>
      </c>
      <c r="U702" s="23" t="s">
        <v>363</v>
      </c>
      <c r="V702" s="23" t="s">
        <v>298</v>
      </c>
      <c r="W702" s="23" t="s">
        <v>3653</v>
      </c>
      <c r="Y702" s="23">
        <v>16660</v>
      </c>
      <c r="Z702" s="23">
        <v>75</v>
      </c>
      <c r="AB702" s="23" t="s">
        <v>3654</v>
      </c>
      <c r="AC702" s="23" t="s">
        <v>3178</v>
      </c>
      <c r="AD702" s="118">
        <v>0</v>
      </c>
      <c r="AE702" s="118">
        <v>1</v>
      </c>
      <c r="AF702" s="23" t="s">
        <v>3181</v>
      </c>
      <c r="AG702" s="23" t="s">
        <v>1640</v>
      </c>
      <c r="AH702" s="39">
        <v>44341</v>
      </c>
      <c r="AJ702" s="75">
        <v>44344</v>
      </c>
    </row>
    <row r="703" spans="1:39">
      <c r="A703" s="72" t="s">
        <v>3616</v>
      </c>
      <c r="B703" s="23" t="s">
        <v>3655</v>
      </c>
      <c r="C703" s="140">
        <v>44305</v>
      </c>
      <c r="D703" s="23" t="s">
        <v>729</v>
      </c>
      <c r="E703" s="23" t="s">
        <v>2919</v>
      </c>
      <c r="F703" s="23" t="s">
        <v>1723</v>
      </c>
      <c r="G703" s="23" t="s">
        <v>1724</v>
      </c>
      <c r="P703" s="23" t="s">
        <v>3656</v>
      </c>
      <c r="Q703" s="141" t="s">
        <v>3541</v>
      </c>
      <c r="S703" s="23" t="s">
        <v>2755</v>
      </c>
      <c r="T703" s="23" t="s">
        <v>12031</v>
      </c>
      <c r="U703" s="23" t="s">
        <v>12031</v>
      </c>
      <c r="V703" s="23" t="s">
        <v>298</v>
      </c>
      <c r="W703" s="23" t="s">
        <v>3657</v>
      </c>
      <c r="Y703" s="23">
        <v>1430</v>
      </c>
      <c r="Z703" s="23">
        <v>12.084</v>
      </c>
      <c r="AB703" s="23" t="s">
        <v>3658</v>
      </c>
      <c r="AC703" s="23" t="s">
        <v>131</v>
      </c>
      <c r="AD703" s="118">
        <v>1</v>
      </c>
      <c r="AE703" s="118">
        <v>0</v>
      </c>
      <c r="AF703" s="23" t="s">
        <v>3451</v>
      </c>
      <c r="AH703" s="39">
        <v>44341</v>
      </c>
      <c r="AJ703" s="75">
        <v>44344</v>
      </c>
    </row>
    <row r="704" spans="1:39">
      <c r="A704" s="72" t="s">
        <v>3617</v>
      </c>
      <c r="B704" s="23" t="s">
        <v>3647</v>
      </c>
      <c r="C704" s="140">
        <v>44316</v>
      </c>
      <c r="D704" s="23" t="s">
        <v>729</v>
      </c>
      <c r="E704" s="23" t="s">
        <v>752</v>
      </c>
      <c r="F704" s="23" t="s">
        <v>2944</v>
      </c>
      <c r="G704" s="23" t="s">
        <v>1989</v>
      </c>
      <c r="H704" s="61" t="s">
        <v>3648</v>
      </c>
      <c r="I704" s="61" t="s">
        <v>3648</v>
      </c>
      <c r="J704" s="140">
        <v>44301</v>
      </c>
      <c r="S704" s="23" t="s">
        <v>759</v>
      </c>
      <c r="T704" s="23" t="s">
        <v>12031</v>
      </c>
      <c r="U704" s="23" t="s">
        <v>12031</v>
      </c>
      <c r="V704" s="23" t="s">
        <v>299</v>
      </c>
      <c r="W704" s="23" t="s">
        <v>2821</v>
      </c>
      <c r="Y704" s="38">
        <v>5360</v>
      </c>
      <c r="AB704" s="23" t="s">
        <v>3649</v>
      </c>
      <c r="AC704" s="23">
        <v>2</v>
      </c>
      <c r="AD704" s="118">
        <v>0</v>
      </c>
      <c r="AE704" s="118">
        <v>1</v>
      </c>
      <c r="AF704" s="23" t="s">
        <v>3297</v>
      </c>
      <c r="AG704" s="23" t="s">
        <v>2948</v>
      </c>
      <c r="AH704" s="39">
        <v>44344</v>
      </c>
      <c r="AI704" s="53" t="s">
        <v>3743</v>
      </c>
    </row>
    <row r="705" spans="1:39" ht="32">
      <c r="A705" s="72" t="s">
        <v>3618</v>
      </c>
      <c r="B705" s="23" t="s">
        <v>3623</v>
      </c>
      <c r="C705" s="140">
        <v>44333</v>
      </c>
      <c r="D705" s="23" t="s">
        <v>729</v>
      </c>
      <c r="E705" s="23" t="s">
        <v>752</v>
      </c>
      <c r="F705" s="23" t="s">
        <v>2200</v>
      </c>
      <c r="G705" s="23" t="s">
        <v>301</v>
      </c>
      <c r="H705" s="23" t="s">
        <v>3624</v>
      </c>
      <c r="I705" s="23" t="s">
        <v>3624</v>
      </c>
      <c r="J705" s="140">
        <v>44324</v>
      </c>
      <c r="K705" s="23" t="s">
        <v>3625</v>
      </c>
      <c r="L705" s="140">
        <v>44335</v>
      </c>
      <c r="M705" s="26">
        <v>44344</v>
      </c>
      <c r="S705" s="23" t="s">
        <v>2755</v>
      </c>
      <c r="T705" s="23" t="s">
        <v>305</v>
      </c>
      <c r="U705" s="23" t="s">
        <v>305</v>
      </c>
      <c r="V705" s="23" t="s">
        <v>4877</v>
      </c>
      <c r="W705" s="23" t="s">
        <v>3626</v>
      </c>
      <c r="Y705" s="37">
        <v>9300</v>
      </c>
      <c r="Z705" s="23">
        <v>85.68</v>
      </c>
      <c r="AB705" s="19" t="s">
        <v>3627</v>
      </c>
      <c r="AC705" s="23">
        <v>6</v>
      </c>
      <c r="AD705" s="118">
        <v>0</v>
      </c>
      <c r="AE705" s="118">
        <v>2</v>
      </c>
      <c r="AG705" s="23" t="s">
        <v>1553</v>
      </c>
      <c r="AH705" s="39">
        <v>44344</v>
      </c>
      <c r="AI705" s="53" t="s">
        <v>301</v>
      </c>
      <c r="AJ705" s="75" t="s">
        <v>5336</v>
      </c>
      <c r="AK705" s="53">
        <v>44349</v>
      </c>
      <c r="AL705" s="23" t="s">
        <v>5337</v>
      </c>
      <c r="AM705" s="102">
        <v>44351</v>
      </c>
    </row>
    <row r="706" spans="1:39" ht="96">
      <c r="A706" s="72" t="s">
        <v>3619</v>
      </c>
      <c r="B706" s="23" t="s">
        <v>3628</v>
      </c>
      <c r="C706" s="140">
        <v>44333</v>
      </c>
      <c r="D706" s="23" t="s">
        <v>729</v>
      </c>
      <c r="E706" s="23" t="s">
        <v>752</v>
      </c>
      <c r="F706" s="23" t="s">
        <v>2200</v>
      </c>
      <c r="G706" s="23" t="s">
        <v>301</v>
      </c>
      <c r="H706" s="23" t="s">
        <v>3629</v>
      </c>
      <c r="I706" s="23" t="s">
        <v>3629</v>
      </c>
      <c r="J706" s="140">
        <v>44324</v>
      </c>
      <c r="K706" s="23" t="s">
        <v>3630</v>
      </c>
      <c r="L706" s="140">
        <v>44335</v>
      </c>
      <c r="M706" s="26">
        <v>44344</v>
      </c>
      <c r="S706" s="23" t="s">
        <v>2755</v>
      </c>
      <c r="T706" s="23" t="s">
        <v>305</v>
      </c>
      <c r="U706" s="23" t="s">
        <v>305</v>
      </c>
      <c r="V706" s="23" t="s">
        <v>299</v>
      </c>
      <c r="W706" s="23" t="s">
        <v>3631</v>
      </c>
      <c r="Y706" s="37">
        <v>27900</v>
      </c>
      <c r="Z706" s="23">
        <v>257.04000000000002</v>
      </c>
      <c r="AB706" s="19" t="s">
        <v>5217</v>
      </c>
      <c r="AC706" s="23">
        <v>18</v>
      </c>
      <c r="AD706" s="118">
        <v>0</v>
      </c>
      <c r="AE706" s="118">
        <v>6</v>
      </c>
      <c r="AG706" s="23" t="s">
        <v>1553</v>
      </c>
      <c r="AH706" s="39">
        <v>44344</v>
      </c>
      <c r="AI706" s="53" t="s">
        <v>301</v>
      </c>
      <c r="AJ706" s="75" t="s">
        <v>5338</v>
      </c>
      <c r="AK706" s="53">
        <v>44349</v>
      </c>
      <c r="AL706" s="23" t="s">
        <v>5339</v>
      </c>
      <c r="AM706" s="102">
        <v>44351</v>
      </c>
    </row>
    <row r="707" spans="1:39" ht="48">
      <c r="A707" s="72" t="s">
        <v>3620</v>
      </c>
      <c r="B707" s="23" t="s">
        <v>3632</v>
      </c>
      <c r="C707" s="140">
        <v>44333</v>
      </c>
      <c r="D707" s="23" t="s">
        <v>729</v>
      </c>
      <c r="E707" s="23" t="s">
        <v>752</v>
      </c>
      <c r="F707" s="23" t="s">
        <v>2200</v>
      </c>
      <c r="G707" s="23" t="s">
        <v>301</v>
      </c>
      <c r="H707" s="23" t="s">
        <v>3633</v>
      </c>
      <c r="I707" s="23" t="s">
        <v>3633</v>
      </c>
      <c r="J707" s="140">
        <v>44301</v>
      </c>
      <c r="K707" s="23" t="s">
        <v>3634</v>
      </c>
      <c r="L707" s="140">
        <v>44335</v>
      </c>
      <c r="M707" s="26">
        <v>44344</v>
      </c>
      <c r="S707" s="23" t="s">
        <v>2755</v>
      </c>
      <c r="T707" s="23" t="s">
        <v>305</v>
      </c>
      <c r="U707" s="23" t="s">
        <v>305</v>
      </c>
      <c r="V707" s="23" t="s">
        <v>299</v>
      </c>
      <c r="W707" s="23" t="s">
        <v>3635</v>
      </c>
      <c r="Y707" s="37">
        <v>11880</v>
      </c>
      <c r="Z707" s="23">
        <v>114.12</v>
      </c>
      <c r="AB707" s="19" t="s">
        <v>3636</v>
      </c>
      <c r="AC707" s="23">
        <v>9</v>
      </c>
      <c r="AD707" s="118">
        <v>0</v>
      </c>
      <c r="AE707" s="118">
        <v>3</v>
      </c>
      <c r="AG707" s="23" t="s">
        <v>3415</v>
      </c>
      <c r="AH707" s="39">
        <v>44344</v>
      </c>
      <c r="AI707" s="53" t="s">
        <v>301</v>
      </c>
      <c r="AJ707" s="75" t="s">
        <v>5334</v>
      </c>
      <c r="AK707" s="53">
        <v>44349</v>
      </c>
      <c r="AL707" s="23" t="s">
        <v>5335</v>
      </c>
      <c r="AM707" s="102">
        <v>44351</v>
      </c>
    </row>
    <row r="708" spans="1:39" ht="380">
      <c r="A708" s="72" t="s">
        <v>3621</v>
      </c>
      <c r="B708" s="23" t="s">
        <v>3637</v>
      </c>
      <c r="C708" s="140">
        <v>44333</v>
      </c>
      <c r="D708" s="23" t="s">
        <v>729</v>
      </c>
      <c r="E708" s="23" t="s">
        <v>752</v>
      </c>
      <c r="F708" s="23" t="s">
        <v>2200</v>
      </c>
      <c r="G708" s="23" t="s">
        <v>301</v>
      </c>
      <c r="H708" s="23" t="s">
        <v>3638</v>
      </c>
      <c r="I708" s="23" t="s">
        <v>3638</v>
      </c>
      <c r="J708" s="140">
        <v>44301</v>
      </c>
      <c r="K708" s="23" t="s">
        <v>3639</v>
      </c>
      <c r="L708" s="140">
        <v>44335</v>
      </c>
      <c r="M708" s="26">
        <v>44344</v>
      </c>
      <c r="S708" s="23" t="s">
        <v>2755</v>
      </c>
      <c r="T708" s="23" t="s">
        <v>305</v>
      </c>
      <c r="U708" s="23" t="s">
        <v>305</v>
      </c>
      <c r="V708" s="23" t="s">
        <v>298</v>
      </c>
      <c r="W708" s="23" t="s">
        <v>1677</v>
      </c>
      <c r="Y708" s="37">
        <v>49140</v>
      </c>
      <c r="Z708" s="23">
        <v>434.64</v>
      </c>
      <c r="AB708" s="19" t="s">
        <v>3640</v>
      </c>
      <c r="AC708" s="23">
        <v>30</v>
      </c>
      <c r="AD708" s="118">
        <v>0</v>
      </c>
      <c r="AE708" s="118">
        <v>12</v>
      </c>
      <c r="AF708" s="19" t="s">
        <v>3641</v>
      </c>
      <c r="AG708" s="23" t="s">
        <v>3415</v>
      </c>
      <c r="AH708" s="39">
        <v>44344</v>
      </c>
      <c r="AI708" s="53" t="s">
        <v>301</v>
      </c>
      <c r="AJ708" s="75" t="s">
        <v>5317</v>
      </c>
      <c r="AK708" s="53">
        <v>44349</v>
      </c>
      <c r="AL708" s="23" t="s">
        <v>5318</v>
      </c>
      <c r="AM708" s="102">
        <v>44351</v>
      </c>
    </row>
    <row r="709" spans="1:39" ht="160">
      <c r="A709" s="72" t="s">
        <v>3622</v>
      </c>
      <c r="B709" s="23" t="s">
        <v>3642</v>
      </c>
      <c r="C709" s="140">
        <v>44333</v>
      </c>
      <c r="D709" s="23" t="s">
        <v>729</v>
      </c>
      <c r="E709" s="23" t="s">
        <v>752</v>
      </c>
      <c r="F709" s="23" t="s">
        <v>2200</v>
      </c>
      <c r="G709" s="23" t="s">
        <v>301</v>
      </c>
      <c r="H709" s="23" t="s">
        <v>3643</v>
      </c>
      <c r="I709" s="23" t="s">
        <v>3643</v>
      </c>
      <c r="J709" s="140">
        <v>44306</v>
      </c>
      <c r="K709" s="23" t="s">
        <v>3644</v>
      </c>
      <c r="L709" s="140">
        <v>44335</v>
      </c>
      <c r="M709" s="26">
        <v>44344</v>
      </c>
      <c r="S709" s="23" t="s">
        <v>2755</v>
      </c>
      <c r="T709" s="23" t="s">
        <v>305</v>
      </c>
      <c r="U709" s="23" t="s">
        <v>305</v>
      </c>
      <c r="V709" s="23" t="s">
        <v>298</v>
      </c>
      <c r="W709" s="23" t="s">
        <v>355</v>
      </c>
      <c r="Y709" s="37">
        <v>19770</v>
      </c>
      <c r="Z709" s="23">
        <v>193.95</v>
      </c>
      <c r="AB709" s="19" t="s">
        <v>3645</v>
      </c>
      <c r="AC709" s="23">
        <v>15</v>
      </c>
      <c r="AD709" s="118">
        <v>0</v>
      </c>
      <c r="AE709" s="118">
        <v>5</v>
      </c>
      <c r="AF709" s="19" t="s">
        <v>3646</v>
      </c>
      <c r="AG709" s="23" t="s">
        <v>1553</v>
      </c>
      <c r="AH709" s="39">
        <v>44344</v>
      </c>
      <c r="AI709" s="53" t="s">
        <v>301</v>
      </c>
      <c r="AJ709" s="75" t="s">
        <v>5319</v>
      </c>
      <c r="AK709" s="53">
        <v>44349</v>
      </c>
      <c r="AL709" s="23" t="s">
        <v>5320</v>
      </c>
      <c r="AM709" s="102">
        <v>44351</v>
      </c>
    </row>
    <row r="710" spans="1:39">
      <c r="A710" s="72" t="s">
        <v>3659</v>
      </c>
      <c r="B710" s="23" t="s">
        <v>3660</v>
      </c>
      <c r="C710" s="140">
        <v>44344</v>
      </c>
      <c r="D710" s="23" t="s">
        <v>729</v>
      </c>
      <c r="E710" s="23" t="s">
        <v>2919</v>
      </c>
      <c r="F710" s="23" t="s">
        <v>1723</v>
      </c>
      <c r="G710" s="23" t="s">
        <v>1724</v>
      </c>
      <c r="Q710" s="141" t="s">
        <v>3661</v>
      </c>
      <c r="S710" s="23" t="s">
        <v>2755</v>
      </c>
      <c r="T710" s="23" t="s">
        <v>3715</v>
      </c>
      <c r="U710" s="23" t="s">
        <v>3715</v>
      </c>
      <c r="V710" s="23" t="s">
        <v>298</v>
      </c>
      <c r="W710" s="23" t="s">
        <v>3662</v>
      </c>
      <c r="Y710" s="37">
        <v>7800</v>
      </c>
      <c r="Z710" s="23">
        <v>76</v>
      </c>
      <c r="AB710" s="23" t="s">
        <v>3663</v>
      </c>
      <c r="AC710" s="23" t="s">
        <v>3664</v>
      </c>
      <c r="AD710" s="118">
        <v>0</v>
      </c>
      <c r="AE710" s="118">
        <v>1</v>
      </c>
      <c r="AF710" s="23" t="s">
        <v>3181</v>
      </c>
      <c r="AG710" s="23" t="s">
        <v>637</v>
      </c>
      <c r="AH710" s="39">
        <v>44345</v>
      </c>
      <c r="AJ710" s="75">
        <v>44348</v>
      </c>
    </row>
    <row r="711" spans="1:39">
      <c r="A711" s="72" t="s">
        <v>3665</v>
      </c>
      <c r="B711" s="23" t="s">
        <v>3666</v>
      </c>
      <c r="C711" s="140">
        <v>44345</v>
      </c>
      <c r="D711" s="23" t="s">
        <v>729</v>
      </c>
      <c r="E711" s="23" t="s">
        <v>2919</v>
      </c>
      <c r="F711" s="23" t="s">
        <v>1723</v>
      </c>
      <c r="G711" s="23" t="s">
        <v>1724</v>
      </c>
      <c r="Q711" s="141" t="s">
        <v>3661</v>
      </c>
      <c r="S711" s="23" t="s">
        <v>2755</v>
      </c>
      <c r="T711" s="23" t="s">
        <v>3715</v>
      </c>
      <c r="U711" s="23" t="s">
        <v>3715</v>
      </c>
      <c r="V711" s="23" t="s">
        <v>298</v>
      </c>
      <c r="W711" s="23" t="s">
        <v>3288</v>
      </c>
      <c r="Y711" s="37">
        <v>7220</v>
      </c>
      <c r="Z711" s="23">
        <v>76</v>
      </c>
      <c r="AB711" s="23" t="s">
        <v>3667</v>
      </c>
      <c r="AC711" s="23" t="s">
        <v>3669</v>
      </c>
      <c r="AD711" s="118">
        <v>0</v>
      </c>
      <c r="AE711" s="118">
        <v>2</v>
      </c>
      <c r="AF711" s="23" t="s">
        <v>3181</v>
      </c>
      <c r="AG711" s="23" t="s">
        <v>637</v>
      </c>
      <c r="AH711" s="39">
        <v>44347</v>
      </c>
      <c r="AJ711" s="75">
        <v>44348</v>
      </c>
    </row>
    <row r="712" spans="1:39">
      <c r="A712" s="72" t="s">
        <v>3670</v>
      </c>
      <c r="B712" s="23" t="s">
        <v>3671</v>
      </c>
      <c r="C712" s="140">
        <v>44346</v>
      </c>
      <c r="F712" s="23" t="s">
        <v>1723</v>
      </c>
      <c r="G712" s="23" t="s">
        <v>1724</v>
      </c>
      <c r="Q712" s="141" t="s">
        <v>3661</v>
      </c>
      <c r="W712" s="23" t="s">
        <v>3542</v>
      </c>
      <c r="Y712" s="37">
        <v>15700</v>
      </c>
      <c r="Z712" s="23">
        <v>76</v>
      </c>
      <c r="AB712" s="23" t="s">
        <v>3672</v>
      </c>
      <c r="AC712" s="23" t="s">
        <v>3673</v>
      </c>
      <c r="AD712" s="118"/>
      <c r="AE712" s="118"/>
      <c r="AF712" s="23" t="s">
        <v>3181</v>
      </c>
      <c r="AG712" s="23" t="s">
        <v>1640</v>
      </c>
      <c r="AH712" s="39">
        <v>44347</v>
      </c>
      <c r="AJ712" s="75">
        <v>44348</v>
      </c>
    </row>
    <row r="713" spans="1:39">
      <c r="A713" s="72" t="s">
        <v>3674</v>
      </c>
      <c r="B713" s="23" t="s">
        <v>3675</v>
      </c>
      <c r="C713" s="140">
        <v>44289</v>
      </c>
      <c r="D713" s="23" t="s">
        <v>729</v>
      </c>
      <c r="E713" s="23" t="s">
        <v>752</v>
      </c>
      <c r="F713" s="23" t="s">
        <v>2944</v>
      </c>
      <c r="G713" s="23" t="s">
        <v>1989</v>
      </c>
      <c r="H713" s="23" t="s">
        <v>3676</v>
      </c>
      <c r="I713" s="23" t="s">
        <v>3676</v>
      </c>
      <c r="J713" s="140">
        <v>44265</v>
      </c>
      <c r="S713" s="23" t="s">
        <v>2121</v>
      </c>
      <c r="T713" s="23" t="s">
        <v>12031</v>
      </c>
      <c r="U713" s="23" t="s">
        <v>12031</v>
      </c>
      <c r="V713" s="23" t="s">
        <v>299</v>
      </c>
      <c r="W713" s="23" t="s">
        <v>3677</v>
      </c>
      <c r="Y713" s="37">
        <v>4912</v>
      </c>
      <c r="Z713" s="23">
        <v>40</v>
      </c>
      <c r="AB713" s="23" t="s">
        <v>3678</v>
      </c>
      <c r="AC713" s="23">
        <v>2</v>
      </c>
      <c r="AD713" s="118">
        <v>0</v>
      </c>
      <c r="AE713" s="118">
        <v>1</v>
      </c>
      <c r="AG713" s="23" t="s">
        <v>3679</v>
      </c>
      <c r="AH713" s="39">
        <v>44347</v>
      </c>
      <c r="AJ713" s="75" t="s">
        <v>5330</v>
      </c>
      <c r="AK713" s="53">
        <v>44348</v>
      </c>
      <c r="AL713" s="23" t="s">
        <v>5331</v>
      </c>
      <c r="AM713" s="102">
        <v>44349</v>
      </c>
    </row>
    <row r="714" spans="1:39">
      <c r="A714" s="72" t="s">
        <v>3680</v>
      </c>
      <c r="B714" s="23" t="s">
        <v>3681</v>
      </c>
      <c r="C714" s="140">
        <v>44336</v>
      </c>
      <c r="D714" s="23" t="s">
        <v>729</v>
      </c>
      <c r="E714" s="23" t="s">
        <v>3773</v>
      </c>
      <c r="F714" s="23" t="s">
        <v>2926</v>
      </c>
      <c r="G714" s="23" t="s">
        <v>2165</v>
      </c>
      <c r="H714" s="23" t="s">
        <v>3682</v>
      </c>
      <c r="I714" s="23" t="s">
        <v>3682</v>
      </c>
      <c r="J714" s="140">
        <v>44335</v>
      </c>
      <c r="S714" s="23" t="s">
        <v>184</v>
      </c>
      <c r="T714" s="23" t="s">
        <v>3684</v>
      </c>
      <c r="U714" s="23" t="s">
        <v>2726</v>
      </c>
      <c r="V714" s="23" t="s">
        <v>299</v>
      </c>
      <c r="W714" s="23" t="s">
        <v>3683</v>
      </c>
      <c r="Y714" s="23">
        <v>2560</v>
      </c>
      <c r="Z714" s="23">
        <v>20</v>
      </c>
      <c r="AB714" s="23" t="s">
        <v>97</v>
      </c>
      <c r="AC714" s="23">
        <v>1</v>
      </c>
      <c r="AD714" s="118">
        <v>0</v>
      </c>
      <c r="AE714" s="118">
        <v>0</v>
      </c>
      <c r="AG714" s="23" t="s">
        <v>2852</v>
      </c>
      <c r="AH714" s="39">
        <v>44347</v>
      </c>
      <c r="AI714" s="23" t="s">
        <v>3728</v>
      </c>
      <c r="AJ714" s="75">
        <v>44348</v>
      </c>
    </row>
    <row r="715" spans="1:39">
      <c r="A715" s="72" t="s">
        <v>3685</v>
      </c>
      <c r="B715" s="23" t="s">
        <v>3686</v>
      </c>
      <c r="C715" s="140">
        <v>44333</v>
      </c>
      <c r="D715" s="23" t="s">
        <v>729</v>
      </c>
      <c r="E715" s="23" t="s">
        <v>752</v>
      </c>
      <c r="F715" s="23" t="s">
        <v>2166</v>
      </c>
      <c r="G715" s="23" t="s">
        <v>2165</v>
      </c>
      <c r="P715" s="23" t="s">
        <v>3689</v>
      </c>
      <c r="Q715" s="141" t="s">
        <v>3714</v>
      </c>
      <c r="S715" s="23" t="s">
        <v>300</v>
      </c>
      <c r="T715" s="23" t="s">
        <v>305</v>
      </c>
      <c r="U715" s="23" t="s">
        <v>305</v>
      </c>
      <c r="V715" s="23" t="s">
        <v>298</v>
      </c>
      <c r="W715" s="23" t="s">
        <v>406</v>
      </c>
      <c r="Y715" s="37">
        <v>2775</v>
      </c>
      <c r="Z715" s="23">
        <v>36.590000000000003</v>
      </c>
      <c r="AB715" s="23" t="s">
        <v>3688</v>
      </c>
      <c r="AC715" s="23" t="s">
        <v>3687</v>
      </c>
      <c r="AD715" s="118">
        <v>0</v>
      </c>
      <c r="AE715" s="118">
        <v>1</v>
      </c>
      <c r="AF715" s="23" t="s">
        <v>3297</v>
      </c>
      <c r="AG715" s="23" t="s">
        <v>1553</v>
      </c>
      <c r="AH715" s="39">
        <v>44348</v>
      </c>
      <c r="AJ715" s="75">
        <v>44349</v>
      </c>
    </row>
    <row r="716" spans="1:39">
      <c r="A716" s="72" t="s">
        <v>3690</v>
      </c>
      <c r="B716" s="23" t="s">
        <v>3691</v>
      </c>
      <c r="C716" s="140">
        <v>44347</v>
      </c>
      <c r="D716" s="23" t="s">
        <v>729</v>
      </c>
      <c r="E716" s="23" t="s">
        <v>2919</v>
      </c>
      <c r="F716" s="23" t="s">
        <v>1723</v>
      </c>
      <c r="G716" s="23" t="s">
        <v>1724</v>
      </c>
      <c r="Q716" s="141" t="s">
        <v>3700</v>
      </c>
      <c r="S716" s="23" t="s">
        <v>300</v>
      </c>
      <c r="T716" s="23" t="s">
        <v>3715</v>
      </c>
      <c r="U716" s="23" t="s">
        <v>3715</v>
      </c>
      <c r="V716" s="23" t="s">
        <v>298</v>
      </c>
      <c r="W716" s="23" t="s">
        <v>2710</v>
      </c>
      <c r="Y716" s="37">
        <v>21900</v>
      </c>
      <c r="Z716" s="23">
        <v>74.2</v>
      </c>
      <c r="AB716" s="23" t="s">
        <v>3692</v>
      </c>
      <c r="AC716" s="23" t="s">
        <v>3117</v>
      </c>
      <c r="AD716" s="118">
        <v>0</v>
      </c>
      <c r="AE716" s="118">
        <v>3</v>
      </c>
      <c r="AF716" s="23" t="s">
        <v>3181</v>
      </c>
      <c r="AG716" s="23" t="s">
        <v>1640</v>
      </c>
      <c r="AH716" s="39">
        <v>44348</v>
      </c>
    </row>
    <row r="717" spans="1:39">
      <c r="A717" s="72" t="s">
        <v>3693</v>
      </c>
      <c r="B717" s="23" t="s">
        <v>3694</v>
      </c>
      <c r="C717" s="140">
        <v>44347</v>
      </c>
      <c r="F717" s="23" t="s">
        <v>1723</v>
      </c>
      <c r="W717" s="23" t="s">
        <v>3542</v>
      </c>
      <c r="Y717" s="37">
        <v>16600</v>
      </c>
      <c r="Z717" s="23">
        <v>76</v>
      </c>
      <c r="AB717" s="23" t="s">
        <v>3695</v>
      </c>
      <c r="AC717" s="23" t="s">
        <v>3277</v>
      </c>
      <c r="AD717" s="118"/>
      <c r="AE717" s="118"/>
      <c r="AF717" s="23" t="s">
        <v>3181</v>
      </c>
      <c r="AG717" s="23" t="s">
        <v>1640</v>
      </c>
      <c r="AH717" s="39">
        <v>44348</v>
      </c>
    </row>
    <row r="718" spans="1:39">
      <c r="A718" s="72" t="s">
        <v>3696</v>
      </c>
      <c r="B718" s="23" t="s">
        <v>3697</v>
      </c>
      <c r="C718" s="140">
        <v>44343</v>
      </c>
      <c r="F718" s="23" t="s">
        <v>1723</v>
      </c>
      <c r="W718" s="23" t="s">
        <v>2903</v>
      </c>
      <c r="Y718" s="37">
        <v>13375</v>
      </c>
      <c r="Z718" s="23">
        <v>67.5</v>
      </c>
      <c r="AB718" s="23" t="s">
        <v>3698</v>
      </c>
      <c r="AC718" s="23" t="s">
        <v>3098</v>
      </c>
      <c r="AD718" s="118"/>
      <c r="AE718" s="118"/>
      <c r="AF718" s="23" t="s">
        <v>3297</v>
      </c>
      <c r="AG718" s="23" t="s">
        <v>1640</v>
      </c>
      <c r="AH718" s="39">
        <v>44348</v>
      </c>
    </row>
    <row r="719" spans="1:39">
      <c r="A719" s="63" t="s">
        <v>3699</v>
      </c>
      <c r="B719" s="59" t="s">
        <v>3701</v>
      </c>
      <c r="C719" s="140">
        <v>44311</v>
      </c>
      <c r="D719" s="23" t="s">
        <v>729</v>
      </c>
      <c r="E719" s="23" t="s">
        <v>752</v>
      </c>
      <c r="F719" s="23" t="s">
        <v>3702</v>
      </c>
      <c r="G719" s="23" t="s">
        <v>1724</v>
      </c>
      <c r="H719" s="23" t="s">
        <v>3703</v>
      </c>
      <c r="I719" s="23" t="s">
        <v>3703</v>
      </c>
      <c r="J719" s="140">
        <v>44311</v>
      </c>
      <c r="S719" s="23" t="s">
        <v>300</v>
      </c>
      <c r="T719" s="23" t="s">
        <v>12031</v>
      </c>
      <c r="U719" s="23" t="s">
        <v>305</v>
      </c>
      <c r="V719" s="23" t="s">
        <v>299</v>
      </c>
      <c r="W719" s="23" t="s">
        <v>3704</v>
      </c>
      <c r="Y719" s="37">
        <v>25000</v>
      </c>
      <c r="AB719" s="23" t="s">
        <v>97</v>
      </c>
      <c r="AC719" s="23">
        <v>20</v>
      </c>
      <c r="AD719" s="118">
        <v>0</v>
      </c>
      <c r="AE719" s="118">
        <v>0</v>
      </c>
      <c r="AF719" s="23" t="s">
        <v>97</v>
      </c>
      <c r="AH719" s="39">
        <v>44348</v>
      </c>
      <c r="AI719" s="53" t="s">
        <v>3711</v>
      </c>
    </row>
    <row r="720" spans="1:39">
      <c r="A720" s="72" t="s">
        <v>3705</v>
      </c>
      <c r="B720" s="23" t="s">
        <v>3706</v>
      </c>
      <c r="C720" s="140">
        <v>44348</v>
      </c>
      <c r="D720" s="23" t="s">
        <v>729</v>
      </c>
      <c r="E720" s="23" t="s">
        <v>2861</v>
      </c>
      <c r="F720" s="23" t="s">
        <v>3707</v>
      </c>
      <c r="G720" s="23" t="s">
        <v>2165</v>
      </c>
      <c r="H720" s="23" t="s">
        <v>3708</v>
      </c>
      <c r="I720" s="23" t="s">
        <v>3708</v>
      </c>
      <c r="J720" s="140">
        <v>44347</v>
      </c>
      <c r="S720" s="23" t="s">
        <v>184</v>
      </c>
      <c r="T720" s="23" t="s">
        <v>3713</v>
      </c>
      <c r="U720" s="23" t="s">
        <v>2726</v>
      </c>
      <c r="V720" s="23" t="s">
        <v>299</v>
      </c>
      <c r="W720" s="23" t="s">
        <v>3710</v>
      </c>
      <c r="Y720" s="37">
        <v>2680</v>
      </c>
      <c r="AB720" s="23" t="s">
        <v>3799</v>
      </c>
      <c r="AC720" s="23">
        <v>1</v>
      </c>
      <c r="AD720" s="118">
        <v>0</v>
      </c>
      <c r="AE720" s="118">
        <v>0</v>
      </c>
      <c r="AF720" s="23" t="s">
        <v>97</v>
      </c>
      <c r="AG720" s="23" t="s">
        <v>3709</v>
      </c>
      <c r="AH720" s="39">
        <v>44349</v>
      </c>
      <c r="AI720" s="53" t="s">
        <v>3712</v>
      </c>
    </row>
    <row r="721" spans="1:40" ht="64">
      <c r="A721" s="72" t="s">
        <v>3716</v>
      </c>
      <c r="B721" s="23" t="s">
        <v>3809</v>
      </c>
      <c r="C721" s="140">
        <v>44347</v>
      </c>
      <c r="D721" s="23" t="s">
        <v>729</v>
      </c>
      <c r="E721" s="23" t="s">
        <v>752</v>
      </c>
      <c r="F721" s="23" t="s">
        <v>3404</v>
      </c>
      <c r="G721" s="23" t="s">
        <v>3810</v>
      </c>
      <c r="H721" s="23" t="s">
        <v>3811</v>
      </c>
      <c r="I721" s="23" t="s">
        <v>3811</v>
      </c>
      <c r="J721" s="140">
        <v>44341</v>
      </c>
      <c r="N721" s="59"/>
      <c r="Q721" s="141"/>
      <c r="S721" s="23" t="s">
        <v>2755</v>
      </c>
      <c r="T721" s="23" t="s">
        <v>305</v>
      </c>
      <c r="U721" s="23" t="s">
        <v>305</v>
      </c>
      <c r="V721" s="23" t="s">
        <v>299</v>
      </c>
      <c r="W721" s="19" t="s">
        <v>3812</v>
      </c>
      <c r="Y721" s="37">
        <v>15650</v>
      </c>
      <c r="Z721" s="23">
        <v>119.78</v>
      </c>
      <c r="AB721" s="19" t="s">
        <v>3813</v>
      </c>
      <c r="AC721" s="23">
        <v>8</v>
      </c>
      <c r="AD721" s="118">
        <v>0</v>
      </c>
      <c r="AE721" s="118">
        <v>4</v>
      </c>
      <c r="AG721" s="23" t="s">
        <v>3409</v>
      </c>
      <c r="AH721" s="39">
        <v>44357</v>
      </c>
      <c r="AI721" s="53" t="s">
        <v>3051</v>
      </c>
    </row>
    <row r="722" spans="1:40">
      <c r="A722" s="72" t="s">
        <v>3717</v>
      </c>
      <c r="B722" s="23" t="s">
        <v>3718</v>
      </c>
      <c r="C722" s="140">
        <v>44350</v>
      </c>
      <c r="D722" s="23" t="s">
        <v>729</v>
      </c>
      <c r="E722" s="23" t="s">
        <v>2919</v>
      </c>
      <c r="F722" s="23" t="s">
        <v>1723</v>
      </c>
      <c r="G722" s="23" t="s">
        <v>1724</v>
      </c>
      <c r="Q722" s="141" t="s">
        <v>3719</v>
      </c>
      <c r="S722" s="23" t="s">
        <v>2755</v>
      </c>
      <c r="T722" s="23" t="s">
        <v>3715</v>
      </c>
      <c r="U722" s="23" t="s">
        <v>3715</v>
      </c>
      <c r="V722" s="23" t="s">
        <v>298</v>
      </c>
      <c r="W722" s="23" t="s">
        <v>2710</v>
      </c>
      <c r="Y722" s="37">
        <v>24000</v>
      </c>
      <c r="Z722" s="23">
        <v>76</v>
      </c>
      <c r="AB722" s="23" t="s">
        <v>3720</v>
      </c>
      <c r="AC722" s="23" t="s">
        <v>3721</v>
      </c>
      <c r="AD722" s="118">
        <v>0</v>
      </c>
      <c r="AE722" s="118">
        <v>2</v>
      </c>
      <c r="AF722" s="23" t="s">
        <v>3181</v>
      </c>
      <c r="AG722" s="23" t="s">
        <v>1640</v>
      </c>
      <c r="AH722" s="39">
        <v>44350</v>
      </c>
    </row>
    <row r="723" spans="1:40">
      <c r="A723" s="72" t="s">
        <v>3722</v>
      </c>
      <c r="B723" s="23" t="s">
        <v>3723</v>
      </c>
      <c r="C723" s="140">
        <v>44349</v>
      </c>
      <c r="F723" s="23" t="s">
        <v>1723</v>
      </c>
      <c r="Q723" s="141" t="s">
        <v>3719</v>
      </c>
      <c r="W723" s="23" t="s">
        <v>3724</v>
      </c>
      <c r="Y723" s="37">
        <v>16600</v>
      </c>
      <c r="Z723" s="23">
        <v>68</v>
      </c>
      <c r="AB723" s="23" t="s">
        <v>3725</v>
      </c>
      <c r="AC723" s="23" t="s">
        <v>3726</v>
      </c>
      <c r="AD723" s="118"/>
      <c r="AE723" s="118"/>
      <c r="AF723" s="23" t="s">
        <v>3193</v>
      </c>
      <c r="AG723" s="23" t="s">
        <v>1845</v>
      </c>
      <c r="AH723" s="39">
        <v>44350</v>
      </c>
    </row>
    <row r="724" spans="1:40">
      <c r="A724" s="72" t="s">
        <v>3729</v>
      </c>
      <c r="B724" s="23" t="s">
        <v>3730</v>
      </c>
      <c r="C724" s="140">
        <v>44350</v>
      </c>
      <c r="D724" s="23" t="s">
        <v>729</v>
      </c>
      <c r="E724" s="23" t="s">
        <v>2919</v>
      </c>
      <c r="F724" s="23" t="s">
        <v>1723</v>
      </c>
      <c r="G724" s="23" t="s">
        <v>1724</v>
      </c>
      <c r="Q724" s="141" t="s">
        <v>3731</v>
      </c>
      <c r="S724" s="23" t="s">
        <v>2755</v>
      </c>
      <c r="T724" s="23" t="s">
        <v>3715</v>
      </c>
      <c r="U724" s="23" t="s">
        <v>3715</v>
      </c>
      <c r="V724" s="23" t="s">
        <v>298</v>
      </c>
      <c r="W724" s="23" t="s">
        <v>1716</v>
      </c>
      <c r="Y724" s="37">
        <v>5696</v>
      </c>
      <c r="Z724" s="23">
        <v>75</v>
      </c>
      <c r="AB724" s="23" t="s">
        <v>3732</v>
      </c>
      <c r="AC724" s="23" t="s">
        <v>2924</v>
      </c>
      <c r="AD724" s="118">
        <v>0</v>
      </c>
      <c r="AE724" s="118">
        <v>1</v>
      </c>
      <c r="AF724" s="23" t="s">
        <v>3181</v>
      </c>
      <c r="AG724" s="23" t="s">
        <v>1640</v>
      </c>
      <c r="AH724" s="39">
        <v>44351</v>
      </c>
    </row>
    <row r="725" spans="1:40">
      <c r="A725" s="72" t="s">
        <v>3733</v>
      </c>
      <c r="B725" s="23" t="s">
        <v>3734</v>
      </c>
      <c r="C725" s="140">
        <v>44303</v>
      </c>
      <c r="D725" s="23" t="s">
        <v>729</v>
      </c>
      <c r="E725" s="23" t="s">
        <v>752</v>
      </c>
      <c r="F725" s="23" t="s">
        <v>3735</v>
      </c>
      <c r="G725" s="23" t="s">
        <v>2131</v>
      </c>
      <c r="H725" s="23" t="s">
        <v>3736</v>
      </c>
      <c r="I725" s="23" t="s">
        <v>3736</v>
      </c>
      <c r="J725" s="140">
        <v>44302</v>
      </c>
      <c r="S725" s="23" t="s">
        <v>759</v>
      </c>
      <c r="T725" s="23" t="s">
        <v>12031</v>
      </c>
      <c r="U725" s="23" t="s">
        <v>12031</v>
      </c>
      <c r="V725" s="23" t="s">
        <v>299</v>
      </c>
      <c r="W725" s="23" t="s">
        <v>2946</v>
      </c>
      <c r="Y725" s="37">
        <v>5360</v>
      </c>
      <c r="Z725" s="23">
        <v>40</v>
      </c>
      <c r="AB725" s="23" t="s">
        <v>3737</v>
      </c>
      <c r="AC725" s="23">
        <v>2</v>
      </c>
      <c r="AD725" s="118">
        <v>0</v>
      </c>
      <c r="AE725" s="118">
        <v>1</v>
      </c>
      <c r="AG725" s="23" t="s">
        <v>2837</v>
      </c>
      <c r="AH725" s="39">
        <v>44351</v>
      </c>
      <c r="AI725" s="53" t="s">
        <v>3932</v>
      </c>
      <c r="AJ725" s="75" t="s">
        <v>5340</v>
      </c>
      <c r="AK725" s="53">
        <v>44355</v>
      </c>
      <c r="AL725" s="39" t="s">
        <v>5341</v>
      </c>
      <c r="AM725" s="102">
        <v>44356</v>
      </c>
      <c r="AN725" s="39"/>
    </row>
    <row r="726" spans="1:40">
      <c r="A726" s="72" t="s">
        <v>3738</v>
      </c>
      <c r="B726" s="23" t="s">
        <v>3739</v>
      </c>
      <c r="C726" s="140">
        <v>44332</v>
      </c>
      <c r="D726" s="23" t="s">
        <v>729</v>
      </c>
      <c r="E726" s="23" t="s">
        <v>752</v>
      </c>
      <c r="F726" s="23" t="s">
        <v>2944</v>
      </c>
      <c r="G726" s="23" t="s">
        <v>1989</v>
      </c>
      <c r="H726" s="23" t="s">
        <v>3740</v>
      </c>
      <c r="I726" s="23" t="s">
        <v>3740</v>
      </c>
      <c r="J726" s="140">
        <v>44321</v>
      </c>
      <c r="S726" s="23" t="s">
        <v>759</v>
      </c>
      <c r="T726" s="23" t="s">
        <v>12031</v>
      </c>
      <c r="U726" s="23" t="s">
        <v>12031</v>
      </c>
      <c r="V726" s="23" t="s">
        <v>299</v>
      </c>
      <c r="W726" s="23" t="s">
        <v>2946</v>
      </c>
      <c r="Y726" s="37">
        <v>5360</v>
      </c>
      <c r="Z726" s="23">
        <v>40</v>
      </c>
      <c r="AB726" s="23" t="s">
        <v>3741</v>
      </c>
      <c r="AC726" s="23">
        <v>2</v>
      </c>
      <c r="AD726" s="118">
        <v>0</v>
      </c>
      <c r="AE726" s="118">
        <v>1</v>
      </c>
      <c r="AG726" s="23" t="s">
        <v>3742</v>
      </c>
      <c r="AH726" s="39">
        <v>44351</v>
      </c>
      <c r="AI726" s="53" t="s">
        <v>3743</v>
      </c>
      <c r="AJ726" s="75" t="s">
        <v>5321</v>
      </c>
      <c r="AK726" s="53">
        <v>44355</v>
      </c>
      <c r="AL726" s="39" t="s">
        <v>5322</v>
      </c>
      <c r="AM726" s="102">
        <v>44357</v>
      </c>
      <c r="AN726" s="39"/>
    </row>
    <row r="727" spans="1:40">
      <c r="A727" s="72" t="s">
        <v>3744</v>
      </c>
      <c r="B727" s="23" t="s">
        <v>3745</v>
      </c>
      <c r="C727" s="140">
        <v>44261</v>
      </c>
      <c r="D727" s="23" t="s">
        <v>729</v>
      </c>
      <c r="E727" s="23" t="s">
        <v>752</v>
      </c>
      <c r="F727" s="23" t="s">
        <v>2926</v>
      </c>
      <c r="G727" s="23" t="s">
        <v>2165</v>
      </c>
      <c r="H727" s="23" t="s">
        <v>3746</v>
      </c>
      <c r="I727" s="23" t="s">
        <v>3746</v>
      </c>
      <c r="J727" s="140">
        <v>44256</v>
      </c>
      <c r="S727" s="23" t="s">
        <v>759</v>
      </c>
      <c r="T727" s="23" t="s">
        <v>12031</v>
      </c>
      <c r="U727" s="23" t="s">
        <v>12031</v>
      </c>
      <c r="V727" s="23" t="s">
        <v>299</v>
      </c>
      <c r="W727" s="23" t="s">
        <v>3747</v>
      </c>
      <c r="Y727" s="37">
        <v>3500</v>
      </c>
      <c r="Z727" s="23">
        <v>50</v>
      </c>
      <c r="AB727" s="23" t="s">
        <v>3748</v>
      </c>
      <c r="AC727" s="23">
        <v>1</v>
      </c>
      <c r="AD727" s="118">
        <v>0</v>
      </c>
      <c r="AE727" s="118">
        <v>1</v>
      </c>
      <c r="AG727" s="23" t="s">
        <v>2928</v>
      </c>
      <c r="AH727" s="39">
        <v>44351</v>
      </c>
      <c r="AI727" s="53" t="s">
        <v>3712</v>
      </c>
      <c r="AL727" s="39"/>
      <c r="AN727" s="39"/>
    </row>
    <row r="728" spans="1:40">
      <c r="A728" s="72" t="s">
        <v>3749</v>
      </c>
      <c r="B728" s="23" t="s">
        <v>3750</v>
      </c>
      <c r="C728" s="140">
        <v>44270</v>
      </c>
      <c r="D728" s="23" t="s">
        <v>729</v>
      </c>
      <c r="E728" s="23" t="s">
        <v>752</v>
      </c>
      <c r="F728" s="23" t="s">
        <v>2926</v>
      </c>
      <c r="G728" s="23" t="s">
        <v>2165</v>
      </c>
      <c r="H728" s="23" t="s">
        <v>3751</v>
      </c>
      <c r="I728" s="23" t="s">
        <v>3751</v>
      </c>
      <c r="J728" s="140">
        <v>44265</v>
      </c>
      <c r="S728" s="23" t="s">
        <v>759</v>
      </c>
      <c r="T728" s="23" t="s">
        <v>12031</v>
      </c>
      <c r="U728" s="23" t="s">
        <v>12031</v>
      </c>
      <c r="V728" s="23" t="s">
        <v>299</v>
      </c>
      <c r="W728" s="23" t="s">
        <v>3752</v>
      </c>
      <c r="Y728" s="37">
        <v>5130</v>
      </c>
      <c r="Z728" s="23">
        <v>40</v>
      </c>
      <c r="AB728" s="23" t="s">
        <v>3753</v>
      </c>
      <c r="AC728" s="23">
        <v>2</v>
      </c>
      <c r="AD728" s="118">
        <v>0</v>
      </c>
      <c r="AE728" s="118">
        <v>1</v>
      </c>
      <c r="AG728" s="23" t="s">
        <v>2823</v>
      </c>
      <c r="AH728" s="39">
        <v>44351</v>
      </c>
      <c r="AI728" s="53" t="s">
        <v>3712</v>
      </c>
      <c r="AL728" s="39"/>
      <c r="AN728" s="39"/>
    </row>
    <row r="729" spans="1:40">
      <c r="A729" s="72" t="s">
        <v>3754</v>
      </c>
      <c r="B729" s="23" t="s">
        <v>3755</v>
      </c>
      <c r="C729" s="140">
        <v>44244</v>
      </c>
      <c r="D729" s="23" t="s">
        <v>729</v>
      </c>
      <c r="E729" s="23" t="s">
        <v>752</v>
      </c>
      <c r="F729" s="23" t="s">
        <v>2926</v>
      </c>
      <c r="G729" s="23" t="s">
        <v>10431</v>
      </c>
      <c r="H729" s="23" t="s">
        <v>3756</v>
      </c>
      <c r="I729" s="23" t="s">
        <v>3756</v>
      </c>
      <c r="J729" s="140">
        <v>44275</v>
      </c>
      <c r="S729" s="23" t="s">
        <v>3757</v>
      </c>
      <c r="T729" s="23" t="s">
        <v>12031</v>
      </c>
      <c r="U729" s="23" t="s">
        <v>12031</v>
      </c>
      <c r="V729" s="23" t="s">
        <v>299</v>
      </c>
      <c r="W729" s="23" t="s">
        <v>3758</v>
      </c>
      <c r="Y729" s="37">
        <v>5000</v>
      </c>
      <c r="Z729" s="23">
        <v>40</v>
      </c>
      <c r="AB729" s="23" t="s">
        <v>3759</v>
      </c>
      <c r="AC729" s="23">
        <v>2</v>
      </c>
      <c r="AD729" s="118">
        <v>0</v>
      </c>
      <c r="AE729" s="118">
        <v>1</v>
      </c>
      <c r="AG729" s="23" t="s">
        <v>3760</v>
      </c>
      <c r="AH729" s="39">
        <v>44351</v>
      </c>
      <c r="AI729" s="53" t="s">
        <v>3712</v>
      </c>
      <c r="AL729" s="39"/>
      <c r="AN729" s="39"/>
    </row>
    <row r="730" spans="1:40">
      <c r="A730" s="72" t="s">
        <v>3761</v>
      </c>
      <c r="B730" s="23" t="s">
        <v>3762</v>
      </c>
      <c r="C730" s="140">
        <v>44351</v>
      </c>
      <c r="D730" s="23" t="s">
        <v>729</v>
      </c>
      <c r="E730" s="23" t="s">
        <v>2919</v>
      </c>
      <c r="F730" s="23" t="s">
        <v>1723</v>
      </c>
      <c r="G730" s="23" t="s">
        <v>1724</v>
      </c>
      <c r="Q730" s="141" t="s">
        <v>3763</v>
      </c>
      <c r="S730" s="23" t="s">
        <v>2755</v>
      </c>
      <c r="T730" s="23" t="s">
        <v>3715</v>
      </c>
      <c r="U730" s="23" t="s">
        <v>3715</v>
      </c>
      <c r="V730" s="23" t="s">
        <v>298</v>
      </c>
      <c r="W730" s="23" t="s">
        <v>2710</v>
      </c>
      <c r="Y730" s="37">
        <v>21600</v>
      </c>
      <c r="Z730" s="23">
        <v>74</v>
      </c>
      <c r="AB730" s="23" t="s">
        <v>3764</v>
      </c>
      <c r="AC730" s="23" t="s">
        <v>3081</v>
      </c>
      <c r="AD730" s="118">
        <v>0</v>
      </c>
      <c r="AE730" s="118">
        <v>1</v>
      </c>
      <c r="AF730" s="23" t="s">
        <v>3181</v>
      </c>
      <c r="AG730" s="23" t="s">
        <v>1640</v>
      </c>
      <c r="AH730" s="39">
        <v>44352</v>
      </c>
    </row>
    <row r="731" spans="1:40">
      <c r="A731" s="72" t="s">
        <v>3765</v>
      </c>
      <c r="B731" s="23" t="s">
        <v>3766</v>
      </c>
      <c r="C731" s="140">
        <v>44353</v>
      </c>
      <c r="D731" s="23" t="s">
        <v>729</v>
      </c>
      <c r="E731" s="23" t="s">
        <v>2919</v>
      </c>
      <c r="F731" s="23" t="s">
        <v>1723</v>
      </c>
      <c r="G731" s="23" t="s">
        <v>1724</v>
      </c>
      <c r="Q731" s="141" t="s">
        <v>3767</v>
      </c>
      <c r="S731" s="23" t="s">
        <v>2755</v>
      </c>
      <c r="T731" s="23" t="s">
        <v>3715</v>
      </c>
      <c r="U731" s="23" t="s">
        <v>3715</v>
      </c>
      <c r="V731" s="23" t="s">
        <v>298</v>
      </c>
      <c r="W731" s="23" t="s">
        <v>3542</v>
      </c>
      <c r="Y731" s="37">
        <v>16170</v>
      </c>
      <c r="Z731" s="23">
        <v>76</v>
      </c>
      <c r="AB731" s="23" t="s">
        <v>3768</v>
      </c>
      <c r="AC731" s="23" t="s">
        <v>3769</v>
      </c>
      <c r="AD731" s="118">
        <v>0</v>
      </c>
      <c r="AE731" s="118">
        <v>2</v>
      </c>
      <c r="AF731" s="23" t="s">
        <v>3181</v>
      </c>
      <c r="AG731" s="23" t="s">
        <v>1640</v>
      </c>
      <c r="AH731" s="39">
        <v>44354</v>
      </c>
    </row>
    <row r="732" spans="1:40">
      <c r="A732" s="72" t="s">
        <v>3772</v>
      </c>
      <c r="B732" s="23" t="s">
        <v>3770</v>
      </c>
      <c r="C732" s="140">
        <v>44353</v>
      </c>
      <c r="F732" s="23" t="s">
        <v>1723</v>
      </c>
      <c r="Q732" s="141" t="s">
        <v>3767</v>
      </c>
      <c r="W732" s="23" t="s">
        <v>3288</v>
      </c>
      <c r="Y732" s="37">
        <v>7200</v>
      </c>
      <c r="Z732" s="23">
        <v>76</v>
      </c>
      <c r="AB732" s="23" t="s">
        <v>3771</v>
      </c>
      <c r="AC732" s="23" t="s">
        <v>3081</v>
      </c>
      <c r="AD732" s="118"/>
      <c r="AE732" s="118"/>
      <c r="AF732" s="23" t="s">
        <v>3181</v>
      </c>
      <c r="AG732" s="23" t="s">
        <v>637</v>
      </c>
      <c r="AH732" s="39">
        <v>44354</v>
      </c>
    </row>
    <row r="733" spans="1:40">
      <c r="A733" s="72" t="s">
        <v>3774</v>
      </c>
      <c r="B733" s="23" t="s">
        <v>3775</v>
      </c>
      <c r="C733" s="140">
        <v>44326</v>
      </c>
      <c r="D733" s="23" t="s">
        <v>729</v>
      </c>
      <c r="E733" s="23" t="s">
        <v>752</v>
      </c>
      <c r="F733" s="23" t="s">
        <v>2926</v>
      </c>
      <c r="G733" s="23" t="s">
        <v>2165</v>
      </c>
      <c r="P733" s="23" t="s">
        <v>3776</v>
      </c>
      <c r="Q733" s="141" t="s">
        <v>3767</v>
      </c>
      <c r="S733" s="23" t="s">
        <v>759</v>
      </c>
      <c r="T733" s="23" t="s">
        <v>12031</v>
      </c>
      <c r="U733" s="23" t="s">
        <v>12031</v>
      </c>
      <c r="V733" s="23" t="s">
        <v>298</v>
      </c>
      <c r="W733" s="23" t="s">
        <v>3783</v>
      </c>
      <c r="Y733" s="37">
        <v>2500</v>
      </c>
      <c r="Z733" s="23">
        <v>20</v>
      </c>
      <c r="AB733" s="23" t="s">
        <v>3777</v>
      </c>
      <c r="AC733" s="23">
        <v>1</v>
      </c>
      <c r="AD733" s="118">
        <v>1</v>
      </c>
      <c r="AE733" s="118">
        <v>0</v>
      </c>
      <c r="AF733" s="23" t="s">
        <v>3451</v>
      </c>
      <c r="AG733" s="23" t="s">
        <v>2823</v>
      </c>
      <c r="AH733" s="39">
        <v>44355</v>
      </c>
    </row>
    <row r="734" spans="1:40">
      <c r="A734" s="72" t="s">
        <v>3778</v>
      </c>
      <c r="B734" s="23" t="s">
        <v>3779</v>
      </c>
      <c r="C734" s="140">
        <v>44314</v>
      </c>
      <c r="D734" s="23" t="s">
        <v>729</v>
      </c>
      <c r="E734" s="23" t="s">
        <v>752</v>
      </c>
      <c r="F734" s="23" t="s">
        <v>2926</v>
      </c>
      <c r="G734" s="23" t="s">
        <v>2165</v>
      </c>
      <c r="P734" s="23" t="s">
        <v>3776</v>
      </c>
      <c r="Q734" s="141" t="s">
        <v>3767</v>
      </c>
      <c r="S734" s="23" t="s">
        <v>759</v>
      </c>
      <c r="T734" s="23" t="s">
        <v>12031</v>
      </c>
      <c r="U734" s="23" t="s">
        <v>12031</v>
      </c>
      <c r="V734" s="23" t="s">
        <v>298</v>
      </c>
      <c r="W734" s="23" t="s">
        <v>3780</v>
      </c>
      <c r="Y734" s="37">
        <v>1200</v>
      </c>
      <c r="Z734" s="23" t="s">
        <v>3727</v>
      </c>
      <c r="AB734" s="23" t="s">
        <v>3781</v>
      </c>
      <c r="AC734" s="23">
        <v>6</v>
      </c>
      <c r="AD734" s="118">
        <v>0</v>
      </c>
      <c r="AE734" s="118">
        <v>1</v>
      </c>
      <c r="AF734" s="23" t="s">
        <v>3193</v>
      </c>
      <c r="AG734" s="23" t="s">
        <v>3782</v>
      </c>
      <c r="AH734" s="39">
        <v>44355</v>
      </c>
    </row>
    <row r="735" spans="1:40" ht="32">
      <c r="A735" s="72" t="s">
        <v>3785</v>
      </c>
      <c r="B735" s="23" t="s">
        <v>3786</v>
      </c>
      <c r="C735" s="140">
        <v>44354</v>
      </c>
      <c r="D735" s="23" t="s">
        <v>729</v>
      </c>
      <c r="E735" s="23" t="s">
        <v>2919</v>
      </c>
      <c r="F735" s="23" t="s">
        <v>1723</v>
      </c>
      <c r="G735" s="23" t="s">
        <v>1724</v>
      </c>
      <c r="Q735" s="141" t="s">
        <v>3787</v>
      </c>
      <c r="S735" s="23" t="s">
        <v>2755</v>
      </c>
      <c r="T735" s="23" t="s">
        <v>3715</v>
      </c>
      <c r="U735" s="23" t="s">
        <v>3715</v>
      </c>
      <c r="V735" s="23" t="s">
        <v>298</v>
      </c>
      <c r="W735" s="23" t="s">
        <v>2903</v>
      </c>
      <c r="Y735" s="37">
        <v>26625</v>
      </c>
      <c r="Z735" s="23">
        <v>135.19999999999999</v>
      </c>
      <c r="AB735" s="19" t="s">
        <v>3788</v>
      </c>
      <c r="AC735" s="23" t="s">
        <v>3789</v>
      </c>
      <c r="AD735" s="118"/>
      <c r="AE735" s="118">
        <v>4</v>
      </c>
      <c r="AF735" s="19" t="s">
        <v>3208</v>
      </c>
      <c r="AG735" s="23" t="s">
        <v>1845</v>
      </c>
      <c r="AH735" s="39">
        <v>44355</v>
      </c>
    </row>
    <row r="736" spans="1:40">
      <c r="A736" s="72" t="s">
        <v>3790</v>
      </c>
      <c r="B736" s="23" t="s">
        <v>3791</v>
      </c>
      <c r="C736" s="140">
        <v>44354</v>
      </c>
      <c r="F736" s="23" t="s">
        <v>1723</v>
      </c>
      <c r="Q736" s="141" t="s">
        <v>3787</v>
      </c>
      <c r="W736" s="23" t="s">
        <v>3288</v>
      </c>
      <c r="Y736" s="37">
        <v>7150</v>
      </c>
      <c r="Z736" s="23">
        <v>61.5</v>
      </c>
      <c r="AB736" s="23" t="s">
        <v>3792</v>
      </c>
      <c r="AC736" s="23" t="s">
        <v>3793</v>
      </c>
      <c r="AD736" s="118"/>
      <c r="AE736" s="118"/>
      <c r="AF736" s="23" t="s">
        <v>3193</v>
      </c>
      <c r="AG736" s="23" t="s">
        <v>1640</v>
      </c>
      <c r="AH736" s="39">
        <v>44355</v>
      </c>
    </row>
    <row r="737" spans="1:35">
      <c r="A737" s="72" t="s">
        <v>3794</v>
      </c>
      <c r="B737" s="23" t="s">
        <v>3795</v>
      </c>
      <c r="C737" s="140">
        <v>44355</v>
      </c>
      <c r="F737" s="23" t="s">
        <v>1723</v>
      </c>
      <c r="Q737" s="141" t="s">
        <v>3787</v>
      </c>
      <c r="W737" s="23" t="s">
        <v>3288</v>
      </c>
      <c r="Y737" s="37">
        <v>7300</v>
      </c>
      <c r="Z737" s="23">
        <v>76.2</v>
      </c>
      <c r="AB737" s="23" t="s">
        <v>3796</v>
      </c>
      <c r="AC737" s="23" t="s">
        <v>3797</v>
      </c>
      <c r="AD737" s="118"/>
      <c r="AE737" s="118"/>
      <c r="AF737" s="23" t="s">
        <v>3181</v>
      </c>
      <c r="AG737" s="23" t="s">
        <v>637</v>
      </c>
      <c r="AH737" s="39">
        <v>44355</v>
      </c>
    </row>
    <row r="738" spans="1:35">
      <c r="A738" s="72" t="s">
        <v>3800</v>
      </c>
      <c r="B738" s="23" t="s">
        <v>3802</v>
      </c>
      <c r="C738" s="140">
        <v>44356</v>
      </c>
      <c r="D738" s="23" t="s">
        <v>729</v>
      </c>
      <c r="E738" s="23" t="s">
        <v>2919</v>
      </c>
      <c r="F738" s="23" t="s">
        <v>1723</v>
      </c>
      <c r="G738" s="23" t="s">
        <v>1724</v>
      </c>
      <c r="Q738" s="141" t="s">
        <v>3798</v>
      </c>
      <c r="S738" s="23" t="s">
        <v>2755</v>
      </c>
      <c r="T738" s="23" t="s">
        <v>3715</v>
      </c>
      <c r="U738" s="23" t="s">
        <v>3715</v>
      </c>
      <c r="V738" s="23" t="s">
        <v>298</v>
      </c>
      <c r="W738" s="23" t="s">
        <v>3803</v>
      </c>
      <c r="Y738" s="37">
        <v>6080</v>
      </c>
      <c r="Z738" s="23">
        <v>76</v>
      </c>
      <c r="AB738" s="23" t="s">
        <v>3804</v>
      </c>
      <c r="AC738" s="23" t="s">
        <v>3805</v>
      </c>
      <c r="AD738" s="118">
        <v>0</v>
      </c>
      <c r="AE738" s="118">
        <v>1</v>
      </c>
      <c r="AF738" s="23" t="s">
        <v>3181</v>
      </c>
      <c r="AG738" s="23" t="s">
        <v>666</v>
      </c>
      <c r="AH738" s="39">
        <v>44357</v>
      </c>
    </row>
    <row r="739" spans="1:35">
      <c r="A739" s="72" t="s">
        <v>3801</v>
      </c>
      <c r="B739" s="23" t="s">
        <v>3806</v>
      </c>
      <c r="C739" s="140">
        <v>44352</v>
      </c>
      <c r="D739" s="23" t="s">
        <v>729</v>
      </c>
      <c r="E739" s="23" t="s">
        <v>2919</v>
      </c>
      <c r="F739" s="23" t="s">
        <v>1723</v>
      </c>
      <c r="G739" s="23" t="s">
        <v>1724</v>
      </c>
      <c r="Q739" s="141" t="s">
        <v>3807</v>
      </c>
      <c r="S739" s="23" t="s">
        <v>2755</v>
      </c>
      <c r="T739" s="23" t="s">
        <v>3715</v>
      </c>
      <c r="U739" s="23" t="s">
        <v>3715</v>
      </c>
      <c r="V739" s="23" t="s">
        <v>298</v>
      </c>
      <c r="W739" s="23" t="s">
        <v>1716</v>
      </c>
      <c r="Y739" s="37">
        <v>5664</v>
      </c>
      <c r="Z739" s="23">
        <v>66</v>
      </c>
      <c r="AB739" s="23" t="s">
        <v>3808</v>
      </c>
      <c r="AC739" s="23" t="s">
        <v>2986</v>
      </c>
      <c r="AD739" s="118">
        <v>0</v>
      </c>
      <c r="AE739" s="118">
        <v>1</v>
      </c>
      <c r="AF739" s="23" t="s">
        <v>3193</v>
      </c>
      <c r="AG739" s="23" t="s">
        <v>1640</v>
      </c>
      <c r="AH739" s="39">
        <v>44357</v>
      </c>
    </row>
    <row r="740" spans="1:35">
      <c r="A740" s="72" t="s">
        <v>3814</v>
      </c>
      <c r="B740" s="23" t="s">
        <v>3832</v>
      </c>
      <c r="C740" s="140">
        <v>44355</v>
      </c>
      <c r="D740" s="23" t="s">
        <v>729</v>
      </c>
      <c r="E740" s="23" t="s">
        <v>2919</v>
      </c>
      <c r="F740" s="23" t="s">
        <v>1723</v>
      </c>
      <c r="G740" s="23" t="s">
        <v>1724</v>
      </c>
      <c r="Q740" s="141" t="s">
        <v>3807</v>
      </c>
      <c r="S740" s="23" t="s">
        <v>2755</v>
      </c>
      <c r="T740" s="23" t="s">
        <v>3715</v>
      </c>
      <c r="U740" s="23" t="s">
        <v>3715</v>
      </c>
      <c r="V740" s="23" t="s">
        <v>298</v>
      </c>
      <c r="W740" s="23" t="s">
        <v>2710</v>
      </c>
      <c r="Y740" s="37" t="s">
        <v>3833</v>
      </c>
      <c r="Z740" s="23">
        <v>76</v>
      </c>
      <c r="AB740" s="23" t="s">
        <v>3834</v>
      </c>
      <c r="AC740" s="23" t="s">
        <v>2712</v>
      </c>
      <c r="AD740" s="118">
        <v>0</v>
      </c>
      <c r="AE740" s="118">
        <v>1</v>
      </c>
      <c r="AF740" s="23" t="s">
        <v>3181</v>
      </c>
      <c r="AG740" s="23" t="s">
        <v>1640</v>
      </c>
      <c r="AH740" s="39">
        <v>44357</v>
      </c>
    </row>
    <row r="741" spans="1:35">
      <c r="A741" s="72" t="s">
        <v>3823</v>
      </c>
      <c r="B741" s="23" t="s">
        <v>3815</v>
      </c>
      <c r="C741" s="140">
        <v>44358</v>
      </c>
      <c r="D741" s="23" t="s">
        <v>729</v>
      </c>
      <c r="E741" s="23" t="s">
        <v>2919</v>
      </c>
      <c r="F741" s="23" t="s">
        <v>1723</v>
      </c>
      <c r="G741" s="23" t="s">
        <v>1724</v>
      </c>
      <c r="Q741" s="141" t="s">
        <v>3816</v>
      </c>
      <c r="S741" s="23" t="s">
        <v>2755</v>
      </c>
      <c r="T741" s="23" t="s">
        <v>3715</v>
      </c>
      <c r="U741" s="23" t="s">
        <v>3715</v>
      </c>
      <c r="V741" s="23" t="s">
        <v>298</v>
      </c>
      <c r="W741" s="23" t="s">
        <v>3288</v>
      </c>
      <c r="Y741" s="37">
        <v>7160</v>
      </c>
      <c r="Z741" s="23">
        <v>76</v>
      </c>
      <c r="AB741" s="23" t="s">
        <v>3817</v>
      </c>
      <c r="AC741" s="23" t="s">
        <v>3818</v>
      </c>
      <c r="AD741" s="118"/>
      <c r="AE741" s="118">
        <v>2</v>
      </c>
      <c r="AF741" s="23" t="s">
        <v>3181</v>
      </c>
      <c r="AG741" s="23" t="s">
        <v>637</v>
      </c>
      <c r="AH741" s="39">
        <v>44360</v>
      </c>
    </row>
    <row r="742" spans="1:35">
      <c r="A742" s="72" t="s">
        <v>3819</v>
      </c>
      <c r="B742" s="23" t="s">
        <v>3820</v>
      </c>
      <c r="C742" s="140">
        <v>44358</v>
      </c>
      <c r="F742" s="23" t="s">
        <v>1723</v>
      </c>
      <c r="Q742" s="141" t="s">
        <v>3816</v>
      </c>
      <c r="W742" s="23" t="s">
        <v>3542</v>
      </c>
      <c r="Y742" s="37">
        <v>16200</v>
      </c>
      <c r="Z742" s="23">
        <v>76</v>
      </c>
      <c r="AB742" s="23" t="s">
        <v>3821</v>
      </c>
      <c r="AC742" s="23" t="s">
        <v>3822</v>
      </c>
      <c r="AD742" s="118"/>
      <c r="AE742" s="118"/>
      <c r="AF742" s="23" t="s">
        <v>3181</v>
      </c>
      <c r="AG742" s="23" t="s">
        <v>1640</v>
      </c>
      <c r="AH742" s="39">
        <v>44360</v>
      </c>
    </row>
    <row r="743" spans="1:35">
      <c r="A743" s="72" t="s">
        <v>3824</v>
      </c>
      <c r="B743" s="23" t="s">
        <v>3825</v>
      </c>
      <c r="C743" s="140">
        <v>44347</v>
      </c>
      <c r="D743" s="23" t="s">
        <v>729</v>
      </c>
      <c r="E743" s="23" t="s">
        <v>752</v>
      </c>
      <c r="F743" s="23" t="s">
        <v>2200</v>
      </c>
      <c r="G743" s="23" t="s">
        <v>301</v>
      </c>
      <c r="H743" s="23" t="s">
        <v>3826</v>
      </c>
      <c r="I743" s="23" t="s">
        <v>3826</v>
      </c>
      <c r="J743" s="140">
        <v>44334</v>
      </c>
      <c r="K743" s="23" t="s">
        <v>3827</v>
      </c>
      <c r="L743" s="140">
        <v>44348</v>
      </c>
      <c r="S743" s="23" t="s">
        <v>2755</v>
      </c>
      <c r="T743" s="23" t="s">
        <v>305</v>
      </c>
      <c r="U743" s="23" t="s">
        <v>305</v>
      </c>
      <c r="V743" s="23" t="s">
        <v>299</v>
      </c>
      <c r="W743" s="23" t="s">
        <v>3828</v>
      </c>
      <c r="Y743" s="37">
        <v>2120</v>
      </c>
      <c r="Z743" s="23">
        <v>24.23</v>
      </c>
      <c r="AB743" s="59" t="s">
        <v>3829</v>
      </c>
      <c r="AC743" s="23">
        <v>1</v>
      </c>
      <c r="AD743" s="118">
        <v>1</v>
      </c>
      <c r="AE743" s="118">
        <v>0</v>
      </c>
      <c r="AF743" s="23" t="s">
        <v>3830</v>
      </c>
      <c r="AG743" s="23" t="s">
        <v>3415</v>
      </c>
      <c r="AH743" s="39">
        <v>44361</v>
      </c>
      <c r="AI743" s="53" t="s">
        <v>301</v>
      </c>
    </row>
    <row r="744" spans="1:35">
      <c r="A744" s="72" t="s">
        <v>3835</v>
      </c>
      <c r="B744" s="23" t="s">
        <v>3836</v>
      </c>
      <c r="C744" s="140">
        <v>44361</v>
      </c>
      <c r="D744" s="23" t="s">
        <v>729</v>
      </c>
      <c r="E744" s="23" t="s">
        <v>2919</v>
      </c>
      <c r="F744" s="23" t="s">
        <v>1723</v>
      </c>
      <c r="G744" s="23" t="s">
        <v>1724</v>
      </c>
      <c r="Q744" s="141" t="s">
        <v>3837</v>
      </c>
      <c r="S744" s="23" t="s">
        <v>2755</v>
      </c>
      <c r="T744" s="23" t="s">
        <v>3715</v>
      </c>
      <c r="U744" s="23" t="s">
        <v>3715</v>
      </c>
      <c r="V744" s="23" t="s">
        <v>298</v>
      </c>
      <c r="W744" s="23" t="s">
        <v>2710</v>
      </c>
      <c r="Y744" s="37">
        <v>21600</v>
      </c>
      <c r="Z744" s="23">
        <v>74</v>
      </c>
      <c r="AB744" s="23" t="s">
        <v>3838</v>
      </c>
      <c r="AC744" s="23" t="s">
        <v>3608</v>
      </c>
      <c r="AD744" s="118"/>
      <c r="AE744" s="118">
        <v>2</v>
      </c>
      <c r="AF744" s="23" t="s">
        <v>3181</v>
      </c>
      <c r="AG744" s="23" t="s">
        <v>1640</v>
      </c>
      <c r="AH744" s="39">
        <v>44362</v>
      </c>
    </row>
    <row r="745" spans="1:35">
      <c r="A745" s="72" t="s">
        <v>3839</v>
      </c>
      <c r="B745" s="23" t="s">
        <v>3840</v>
      </c>
      <c r="C745" s="140">
        <v>44361</v>
      </c>
      <c r="F745" s="23" t="s">
        <v>1723</v>
      </c>
      <c r="Q745" s="141" t="s">
        <v>3837</v>
      </c>
      <c r="W745" s="23" t="s">
        <v>3841</v>
      </c>
      <c r="Y745" s="37">
        <v>15970</v>
      </c>
      <c r="Z745" s="23">
        <v>75.8</v>
      </c>
      <c r="AB745" s="23" t="s">
        <v>3842</v>
      </c>
      <c r="AC745" s="23" t="s">
        <v>3843</v>
      </c>
      <c r="AD745" s="118"/>
      <c r="AE745" s="118"/>
      <c r="AF745" s="23" t="s">
        <v>3181</v>
      </c>
      <c r="AG745" s="23" t="s">
        <v>1640</v>
      </c>
      <c r="AH745" s="39">
        <v>44362</v>
      </c>
    </row>
    <row r="746" spans="1:35" ht="64">
      <c r="A746" s="72" t="s">
        <v>3844</v>
      </c>
      <c r="B746" s="23" t="s">
        <v>3845</v>
      </c>
      <c r="C746" s="140">
        <v>44331</v>
      </c>
      <c r="D746" s="23" t="s">
        <v>729</v>
      </c>
      <c r="E746" s="23" t="s">
        <v>752</v>
      </c>
      <c r="F746" s="23" t="s">
        <v>2926</v>
      </c>
      <c r="G746" s="23" t="s">
        <v>2165</v>
      </c>
      <c r="P746" s="23" t="s">
        <v>3846</v>
      </c>
      <c r="Q746" s="141" t="s">
        <v>3847</v>
      </c>
      <c r="S746" s="23" t="s">
        <v>3848</v>
      </c>
      <c r="T746" s="23" t="s">
        <v>12031</v>
      </c>
      <c r="U746" s="23" t="s">
        <v>12031</v>
      </c>
      <c r="V746" s="23" t="s">
        <v>298</v>
      </c>
      <c r="W746" s="23" t="s">
        <v>3780</v>
      </c>
      <c r="Y746" s="37">
        <v>3600</v>
      </c>
      <c r="AB746" s="19" t="s">
        <v>3849</v>
      </c>
      <c r="AC746" s="23" t="s">
        <v>3851</v>
      </c>
      <c r="AD746" s="118">
        <v>0</v>
      </c>
      <c r="AE746" s="118">
        <v>2</v>
      </c>
      <c r="AF746" s="23" t="s">
        <v>3193</v>
      </c>
      <c r="AG746" s="23" t="s">
        <v>3850</v>
      </c>
      <c r="AH746" s="39">
        <v>44362</v>
      </c>
    </row>
    <row r="747" spans="1:35" ht="32">
      <c r="A747" s="72" t="s">
        <v>3852</v>
      </c>
      <c r="B747" s="23" t="s">
        <v>3853</v>
      </c>
      <c r="C747" s="140">
        <v>44350</v>
      </c>
      <c r="D747" s="23" t="s">
        <v>729</v>
      </c>
      <c r="E747" s="23" t="s">
        <v>752</v>
      </c>
      <c r="F747" s="23" t="s">
        <v>3456</v>
      </c>
      <c r="G747" s="23" t="s">
        <v>1989</v>
      </c>
      <c r="H747" s="23" t="s">
        <v>3854</v>
      </c>
      <c r="I747" s="23" t="s">
        <v>3854</v>
      </c>
      <c r="J747" s="140">
        <v>44350</v>
      </c>
      <c r="S747" s="23" t="s">
        <v>2755</v>
      </c>
      <c r="T747" s="23" t="s">
        <v>12031</v>
      </c>
      <c r="U747" s="23" t="s">
        <v>12031</v>
      </c>
      <c r="V747" s="23" t="s">
        <v>299</v>
      </c>
      <c r="W747" s="23" t="s">
        <v>2112</v>
      </c>
      <c r="AB747" s="19" t="s">
        <v>3855</v>
      </c>
      <c r="AC747" s="23">
        <v>6</v>
      </c>
      <c r="AD747" s="118">
        <v>0</v>
      </c>
      <c r="AE747" s="118">
        <v>2</v>
      </c>
      <c r="AG747" s="23" t="s">
        <v>3856</v>
      </c>
      <c r="AH747" s="39">
        <v>44363</v>
      </c>
      <c r="AI747" s="53" t="s">
        <v>3857</v>
      </c>
    </row>
    <row r="748" spans="1:35">
      <c r="A748" s="72" t="s">
        <v>3858</v>
      </c>
      <c r="B748" s="23" t="s">
        <v>3859</v>
      </c>
      <c r="C748" s="140">
        <v>44354</v>
      </c>
      <c r="D748" s="23" t="s">
        <v>729</v>
      </c>
      <c r="E748" s="23" t="s">
        <v>752</v>
      </c>
      <c r="F748" s="23" t="s">
        <v>3707</v>
      </c>
      <c r="G748" s="23" t="s">
        <v>2165</v>
      </c>
      <c r="P748" s="23" t="s">
        <v>3860</v>
      </c>
      <c r="Q748" s="141" t="s">
        <v>3847</v>
      </c>
      <c r="S748" s="23" t="s">
        <v>2755</v>
      </c>
      <c r="T748" s="23" t="s">
        <v>305</v>
      </c>
      <c r="U748" s="23" t="s">
        <v>305</v>
      </c>
      <c r="V748" s="23" t="s">
        <v>298</v>
      </c>
      <c r="W748" s="23" t="s">
        <v>3861</v>
      </c>
      <c r="Y748" s="23">
        <v>26321.4</v>
      </c>
      <c r="Z748" s="23">
        <v>68</v>
      </c>
      <c r="AB748" s="23" t="s">
        <v>3862</v>
      </c>
      <c r="AC748" s="23" t="s">
        <v>3863</v>
      </c>
      <c r="AD748" s="118">
        <v>0</v>
      </c>
      <c r="AE748" s="118">
        <v>1</v>
      </c>
      <c r="AF748" s="23" t="s">
        <v>3864</v>
      </c>
      <c r="AG748" s="23" t="s">
        <v>3865</v>
      </c>
      <c r="AH748" s="39">
        <v>44363</v>
      </c>
    </row>
    <row r="749" spans="1:35">
      <c r="A749" s="72" t="s">
        <v>3866</v>
      </c>
      <c r="B749" s="23" t="s">
        <v>3867</v>
      </c>
      <c r="C749" s="140">
        <v>44361</v>
      </c>
      <c r="D749" s="23" t="s">
        <v>729</v>
      </c>
      <c r="E749" s="23" t="s">
        <v>2919</v>
      </c>
      <c r="F749" s="23" t="s">
        <v>1723</v>
      </c>
      <c r="G749" s="23" t="s">
        <v>1724</v>
      </c>
      <c r="Q749" s="141" t="s">
        <v>3868</v>
      </c>
      <c r="S749" s="23" t="s">
        <v>2755</v>
      </c>
      <c r="T749" s="23" t="s">
        <v>3715</v>
      </c>
      <c r="U749" s="23" t="s">
        <v>3715</v>
      </c>
      <c r="V749" s="23" t="s">
        <v>298</v>
      </c>
      <c r="W749" s="23" t="s">
        <v>2903</v>
      </c>
      <c r="Y749" s="37">
        <v>13375</v>
      </c>
      <c r="Z749" s="23">
        <v>66.5</v>
      </c>
      <c r="AB749" s="23" t="s">
        <v>3869</v>
      </c>
      <c r="AC749" s="23" t="s">
        <v>3098</v>
      </c>
      <c r="AD749" s="118">
        <v>0</v>
      </c>
      <c r="AE749" s="118">
        <v>1</v>
      </c>
      <c r="AF749" s="23" t="s">
        <v>3193</v>
      </c>
      <c r="AG749" s="23" t="s">
        <v>1845</v>
      </c>
      <c r="AH749" s="39">
        <v>44363</v>
      </c>
    </row>
    <row r="750" spans="1:35">
      <c r="A750" s="72" t="s">
        <v>3870</v>
      </c>
      <c r="B750" s="23" t="s">
        <v>3871</v>
      </c>
      <c r="C750" s="140">
        <v>44292</v>
      </c>
      <c r="D750" s="23" t="s">
        <v>729</v>
      </c>
      <c r="E750" s="23" t="s">
        <v>752</v>
      </c>
      <c r="F750" s="23" t="s">
        <v>2969</v>
      </c>
      <c r="G750" s="23" t="s">
        <v>1724</v>
      </c>
      <c r="P750" s="23" t="s">
        <v>3872</v>
      </c>
      <c r="Q750" s="141" t="s">
        <v>3873</v>
      </c>
      <c r="S750" s="23" t="s">
        <v>2121</v>
      </c>
      <c r="T750" s="23" t="s">
        <v>12031</v>
      </c>
      <c r="U750" s="23" t="s">
        <v>12031</v>
      </c>
      <c r="V750" s="23" t="s">
        <v>298</v>
      </c>
      <c r="W750" s="23" t="s">
        <v>3876</v>
      </c>
      <c r="Y750" s="38">
        <v>3500</v>
      </c>
      <c r="AB750" s="23" t="s">
        <v>3874</v>
      </c>
      <c r="AC750" s="23" t="s">
        <v>131</v>
      </c>
      <c r="AD750" s="118">
        <v>1</v>
      </c>
      <c r="AE750" s="118">
        <v>0</v>
      </c>
      <c r="AF750" s="23" t="s">
        <v>3875</v>
      </c>
      <c r="AG750" s="23" t="s">
        <v>2416</v>
      </c>
      <c r="AH750" s="39">
        <v>44364</v>
      </c>
    </row>
    <row r="751" spans="1:35">
      <c r="A751" s="72" t="s">
        <v>3877</v>
      </c>
      <c r="B751" s="23">
        <v>209809612</v>
      </c>
      <c r="C751" s="140">
        <v>44306</v>
      </c>
      <c r="D751" s="23" t="s">
        <v>729</v>
      </c>
      <c r="E751" s="23" t="s">
        <v>752</v>
      </c>
      <c r="F751" s="23" t="s">
        <v>2926</v>
      </c>
      <c r="G751" s="23" t="s">
        <v>2165</v>
      </c>
      <c r="P751" s="23" t="s">
        <v>3878</v>
      </c>
      <c r="Q751" s="141" t="s">
        <v>3879</v>
      </c>
      <c r="S751" s="23" t="s">
        <v>3880</v>
      </c>
      <c r="T751" s="23" t="s">
        <v>12031</v>
      </c>
      <c r="U751" s="23" t="s">
        <v>12031</v>
      </c>
      <c r="V751" s="23" t="s">
        <v>298</v>
      </c>
      <c r="W751" s="23" t="s">
        <v>3881</v>
      </c>
      <c r="Y751" s="38">
        <v>4200</v>
      </c>
      <c r="AB751" s="23" t="s">
        <v>3882</v>
      </c>
      <c r="AC751" s="23" t="s">
        <v>123</v>
      </c>
      <c r="AD751" s="118">
        <v>0</v>
      </c>
      <c r="AE751" s="118">
        <v>1</v>
      </c>
      <c r="AF751" s="23" t="s">
        <v>3883</v>
      </c>
      <c r="AG751" s="23" t="s">
        <v>3884</v>
      </c>
      <c r="AH751" s="39">
        <v>44366</v>
      </c>
    </row>
    <row r="752" spans="1:35">
      <c r="A752" s="72" t="s">
        <v>3885</v>
      </c>
      <c r="B752" s="23" t="s">
        <v>3887</v>
      </c>
      <c r="C752" s="140">
        <v>44364</v>
      </c>
      <c r="D752" s="23" t="s">
        <v>729</v>
      </c>
      <c r="E752" s="23" t="s">
        <v>2919</v>
      </c>
      <c r="F752" s="23" t="s">
        <v>1723</v>
      </c>
      <c r="G752" s="23" t="s">
        <v>1724</v>
      </c>
      <c r="Q752" s="141" t="s">
        <v>3888</v>
      </c>
      <c r="S752" s="23" t="s">
        <v>2755</v>
      </c>
      <c r="T752" s="23" t="s">
        <v>3715</v>
      </c>
      <c r="U752" s="23" t="s">
        <v>3715</v>
      </c>
      <c r="V752" s="23" t="s">
        <v>298</v>
      </c>
      <c r="W752" s="23" t="s">
        <v>2710</v>
      </c>
      <c r="Y752" s="37">
        <v>24000</v>
      </c>
      <c r="Z752" s="23">
        <v>76</v>
      </c>
      <c r="AB752" s="23" t="s">
        <v>3889</v>
      </c>
      <c r="AC752" s="23" t="s">
        <v>2712</v>
      </c>
      <c r="AD752" s="118">
        <v>0</v>
      </c>
      <c r="AE752" s="118">
        <v>1</v>
      </c>
      <c r="AF752" s="23" t="s">
        <v>3181</v>
      </c>
      <c r="AG752" s="23" t="s">
        <v>1640</v>
      </c>
      <c r="AH752" s="39">
        <v>44366</v>
      </c>
    </row>
    <row r="753" spans="1:35">
      <c r="A753" s="72" t="s">
        <v>3890</v>
      </c>
      <c r="B753" s="23" t="s">
        <v>3886</v>
      </c>
      <c r="C753" s="140">
        <v>44365</v>
      </c>
      <c r="D753" s="23" t="s">
        <v>729</v>
      </c>
      <c r="E753" s="23" t="s">
        <v>2919</v>
      </c>
      <c r="F753" s="23" t="s">
        <v>1723</v>
      </c>
      <c r="G753" s="23" t="s">
        <v>1724</v>
      </c>
      <c r="Q753" s="141" t="s">
        <v>3891</v>
      </c>
      <c r="S753" s="23" t="s">
        <v>2755</v>
      </c>
      <c r="T753" s="23" t="s">
        <v>3715</v>
      </c>
      <c r="U753" s="23" t="s">
        <v>3715</v>
      </c>
      <c r="V753" s="23" t="s">
        <v>298</v>
      </c>
      <c r="W753" s="23" t="s">
        <v>3288</v>
      </c>
      <c r="Y753" s="37">
        <v>7200</v>
      </c>
      <c r="Z753" s="23">
        <v>75.599999999999994</v>
      </c>
      <c r="AB753" s="23" t="s">
        <v>3892</v>
      </c>
      <c r="AC753" s="23" t="s">
        <v>3893</v>
      </c>
      <c r="AD753" s="118">
        <v>0</v>
      </c>
      <c r="AE753" s="118">
        <v>2</v>
      </c>
      <c r="AF753" s="23" t="s">
        <v>3181</v>
      </c>
      <c r="AG753" s="23" t="s">
        <v>637</v>
      </c>
      <c r="AH753" s="39">
        <v>44366</v>
      </c>
    </row>
    <row r="754" spans="1:35">
      <c r="A754" s="72" t="s">
        <v>3894</v>
      </c>
      <c r="B754" s="23" t="s">
        <v>3895</v>
      </c>
      <c r="C754" s="140">
        <v>44364</v>
      </c>
      <c r="F754" s="23" t="s">
        <v>1723</v>
      </c>
      <c r="Q754" s="141" t="s">
        <v>3891</v>
      </c>
      <c r="W754" s="23" t="s">
        <v>3896</v>
      </c>
      <c r="Y754" s="37">
        <v>24795</v>
      </c>
      <c r="Z754" s="23">
        <v>68</v>
      </c>
      <c r="AB754" s="23" t="s">
        <v>3897</v>
      </c>
      <c r="AC754" s="23" t="s">
        <v>3898</v>
      </c>
      <c r="AD754" s="118"/>
      <c r="AE754" s="118"/>
      <c r="AF754" s="23" t="s">
        <v>3297</v>
      </c>
      <c r="AG754" s="23" t="s">
        <v>1845</v>
      </c>
      <c r="AH754" s="39">
        <v>44366</v>
      </c>
    </row>
    <row r="755" spans="1:35">
      <c r="A755" s="72" t="s">
        <v>3899</v>
      </c>
      <c r="B755" s="23" t="s">
        <v>3900</v>
      </c>
      <c r="C755" s="140">
        <v>44366</v>
      </c>
      <c r="D755" s="23" t="s">
        <v>729</v>
      </c>
      <c r="E755" s="23" t="s">
        <v>2919</v>
      </c>
      <c r="F755" s="23" t="s">
        <v>1723</v>
      </c>
      <c r="G755" s="23" t="s">
        <v>1724</v>
      </c>
      <c r="Q755" s="141" t="s">
        <v>3873</v>
      </c>
      <c r="S755" s="23" t="s">
        <v>2755</v>
      </c>
      <c r="T755" s="23" t="s">
        <v>3715</v>
      </c>
      <c r="U755" s="23" t="s">
        <v>3715</v>
      </c>
      <c r="V755" s="23" t="s">
        <v>298</v>
      </c>
      <c r="W755" s="23" t="s">
        <v>3560</v>
      </c>
      <c r="Y755" s="37">
        <v>14800</v>
      </c>
      <c r="Z755" s="23">
        <v>75</v>
      </c>
      <c r="AB755" s="23" t="s">
        <v>3901</v>
      </c>
      <c r="AC755" s="23" t="s">
        <v>3902</v>
      </c>
      <c r="AD755" s="118">
        <v>0</v>
      </c>
      <c r="AE755" s="118">
        <v>3</v>
      </c>
      <c r="AF755" s="23" t="s">
        <v>3181</v>
      </c>
      <c r="AG755" s="23" t="s">
        <v>1640</v>
      </c>
      <c r="AH755" s="39">
        <v>44368</v>
      </c>
    </row>
    <row r="756" spans="1:35">
      <c r="A756" s="72" t="s">
        <v>3903</v>
      </c>
      <c r="B756" s="23" t="s">
        <v>3904</v>
      </c>
      <c r="C756" s="140">
        <v>44367</v>
      </c>
      <c r="F756" s="23" t="s">
        <v>1723</v>
      </c>
      <c r="Q756" s="141" t="s">
        <v>3873</v>
      </c>
      <c r="W756" s="23" t="s">
        <v>3288</v>
      </c>
      <c r="Y756" s="37">
        <v>7160</v>
      </c>
      <c r="Z756" s="23">
        <v>75.400000000000006</v>
      </c>
      <c r="AB756" s="23" t="s">
        <v>3905</v>
      </c>
      <c r="AC756" s="23" t="s">
        <v>3818</v>
      </c>
      <c r="AD756" s="118"/>
      <c r="AE756" s="118"/>
      <c r="AF756" s="23" t="s">
        <v>3181</v>
      </c>
      <c r="AG756" s="23" t="s">
        <v>637</v>
      </c>
      <c r="AH756" s="39">
        <v>44368</v>
      </c>
    </row>
    <row r="757" spans="1:35">
      <c r="A757" s="72" t="s">
        <v>3906</v>
      </c>
      <c r="B757" s="23" t="s">
        <v>3907</v>
      </c>
      <c r="C757" s="140">
        <v>44367</v>
      </c>
      <c r="F757" s="23" t="s">
        <v>1723</v>
      </c>
      <c r="Q757" s="141" t="s">
        <v>3873</v>
      </c>
      <c r="W757" s="23" t="s">
        <v>2710</v>
      </c>
      <c r="Y757" s="37">
        <v>21600</v>
      </c>
      <c r="Z757" s="23">
        <v>74</v>
      </c>
      <c r="AB757" s="23" t="s">
        <v>3908</v>
      </c>
      <c r="AC757" s="23" t="s">
        <v>3081</v>
      </c>
      <c r="AD757" s="118"/>
      <c r="AE757" s="118"/>
      <c r="AF757" s="23" t="s">
        <v>3181</v>
      </c>
      <c r="AG757" s="23" t="s">
        <v>1640</v>
      </c>
      <c r="AH757" s="39">
        <v>44368</v>
      </c>
    </row>
    <row r="758" spans="1:35">
      <c r="A758" s="72" t="s">
        <v>3909</v>
      </c>
      <c r="B758" s="23" t="s">
        <v>3921</v>
      </c>
      <c r="C758" s="140">
        <v>44308</v>
      </c>
      <c r="D758" s="23" t="s">
        <v>729</v>
      </c>
      <c r="E758" s="23" t="s">
        <v>752</v>
      </c>
      <c r="F758" s="23" t="s">
        <v>2969</v>
      </c>
      <c r="G758" s="23" t="s">
        <v>1724</v>
      </c>
      <c r="P758" s="23" t="s">
        <v>3776</v>
      </c>
      <c r="Q758" s="141" t="s">
        <v>3910</v>
      </c>
      <c r="S758" s="23" t="s">
        <v>319</v>
      </c>
      <c r="T758" s="23" t="s">
        <v>12031</v>
      </c>
      <c r="U758" s="23" t="s">
        <v>12031</v>
      </c>
      <c r="V758" s="23" t="s">
        <v>298</v>
      </c>
      <c r="W758" s="23" t="s">
        <v>3911</v>
      </c>
      <c r="Y758" s="37">
        <v>1500</v>
      </c>
      <c r="Z758" s="23">
        <v>14</v>
      </c>
      <c r="AB758" s="23" t="s">
        <v>3908</v>
      </c>
      <c r="AC758" s="23" t="s">
        <v>131</v>
      </c>
      <c r="AD758" s="118">
        <v>1</v>
      </c>
      <c r="AE758" s="118">
        <v>0</v>
      </c>
      <c r="AF758" s="23" t="s">
        <v>3912</v>
      </c>
      <c r="AG758" s="23" t="s">
        <v>3913</v>
      </c>
      <c r="AH758" s="39">
        <v>44368</v>
      </c>
    </row>
    <row r="759" spans="1:35">
      <c r="A759" s="72" t="s">
        <v>3914</v>
      </c>
      <c r="B759" s="23" t="s">
        <v>3915</v>
      </c>
      <c r="C759" s="140">
        <v>44367</v>
      </c>
      <c r="D759" s="23" t="s">
        <v>729</v>
      </c>
      <c r="E759" s="23" t="s">
        <v>2919</v>
      </c>
      <c r="F759" s="23" t="s">
        <v>1723</v>
      </c>
      <c r="G759" s="23" t="s">
        <v>1724</v>
      </c>
      <c r="Q759" s="141" t="s">
        <v>3916</v>
      </c>
      <c r="S759" s="23" t="s">
        <v>2755</v>
      </c>
      <c r="T759" s="23" t="s">
        <v>3715</v>
      </c>
      <c r="U759" s="23" t="s">
        <v>3715</v>
      </c>
      <c r="V759" s="23" t="s">
        <v>298</v>
      </c>
      <c r="W759" s="23" t="s">
        <v>3896</v>
      </c>
      <c r="Y759" s="37">
        <v>24795</v>
      </c>
      <c r="Z759" s="23">
        <v>68</v>
      </c>
      <c r="AB759" s="23" t="s">
        <v>3917</v>
      </c>
      <c r="AC759" s="23" t="s">
        <v>3898</v>
      </c>
      <c r="AD759" s="118">
        <v>0</v>
      </c>
      <c r="AE759" s="118">
        <v>2</v>
      </c>
      <c r="AF759" s="23" t="s">
        <v>3297</v>
      </c>
      <c r="AG759" s="23" t="s">
        <v>1845</v>
      </c>
      <c r="AH759" s="39">
        <v>44368</v>
      </c>
    </row>
    <row r="760" spans="1:35">
      <c r="A760" s="72" t="s">
        <v>3918</v>
      </c>
      <c r="B760" s="23" t="s">
        <v>3919</v>
      </c>
      <c r="C760" s="140">
        <v>44367</v>
      </c>
      <c r="F760" s="23" t="s">
        <v>1723</v>
      </c>
      <c r="Q760" s="141" t="s">
        <v>3916</v>
      </c>
      <c r="W760" s="23" t="s">
        <v>2903</v>
      </c>
      <c r="Y760" s="37">
        <v>13375</v>
      </c>
      <c r="Z760" s="23">
        <v>66.5</v>
      </c>
      <c r="AB760" s="23" t="s">
        <v>3920</v>
      </c>
      <c r="AC760" s="23" t="s">
        <v>3098</v>
      </c>
      <c r="AD760" s="118"/>
      <c r="AE760" s="118"/>
      <c r="AF760" s="23" t="s">
        <v>3193</v>
      </c>
      <c r="AG760" s="23" t="s">
        <v>1845</v>
      </c>
      <c r="AH760" s="39">
        <v>44368</v>
      </c>
    </row>
    <row r="761" spans="1:35">
      <c r="A761" s="72" t="s">
        <v>3922</v>
      </c>
      <c r="B761" s="23" t="s">
        <v>3923</v>
      </c>
      <c r="C761" s="140">
        <v>44304</v>
      </c>
      <c r="D761" s="23" t="s">
        <v>729</v>
      </c>
      <c r="E761" s="23" t="s">
        <v>752</v>
      </c>
      <c r="F761" s="23" t="s">
        <v>2969</v>
      </c>
      <c r="G761" s="23" t="s">
        <v>1724</v>
      </c>
      <c r="P761" s="23" t="s">
        <v>3924</v>
      </c>
      <c r="Q761" s="141" t="s">
        <v>3925</v>
      </c>
      <c r="S761" s="23" t="s">
        <v>3926</v>
      </c>
      <c r="T761" s="23" t="s">
        <v>12031</v>
      </c>
      <c r="U761" s="23" t="s">
        <v>12031</v>
      </c>
      <c r="V761" s="23" t="s">
        <v>298</v>
      </c>
      <c r="W761" s="23" t="s">
        <v>3927</v>
      </c>
      <c r="Y761" s="37">
        <v>2000</v>
      </c>
      <c r="Z761" s="23">
        <v>12</v>
      </c>
      <c r="AB761" s="23" t="s">
        <v>3928</v>
      </c>
      <c r="AC761" s="23" t="s">
        <v>131</v>
      </c>
      <c r="AD761" s="118">
        <v>1</v>
      </c>
      <c r="AE761" s="118">
        <v>0</v>
      </c>
      <c r="AF761" s="23" t="s">
        <v>3929</v>
      </c>
      <c r="AG761" s="23" t="s">
        <v>3930</v>
      </c>
      <c r="AH761" s="39">
        <v>44369</v>
      </c>
    </row>
    <row r="762" spans="1:35">
      <c r="A762" s="72" t="s">
        <v>3931</v>
      </c>
      <c r="B762" s="23" t="s">
        <v>3952</v>
      </c>
      <c r="C762" s="140">
        <v>44369</v>
      </c>
      <c r="D762" s="23" t="s">
        <v>729</v>
      </c>
      <c r="E762" s="23" t="s">
        <v>752</v>
      </c>
      <c r="F762" s="23" t="s">
        <v>57</v>
      </c>
      <c r="G762" s="23" t="s">
        <v>57</v>
      </c>
      <c r="H762" s="23" t="s">
        <v>3953</v>
      </c>
      <c r="I762" s="23" t="s">
        <v>3953</v>
      </c>
      <c r="J762" s="140">
        <v>44362</v>
      </c>
      <c r="K762" s="23" t="s">
        <v>4196</v>
      </c>
      <c r="L762" s="140">
        <v>44371</v>
      </c>
      <c r="P762" s="23" t="s">
        <v>3954</v>
      </c>
      <c r="Q762" s="141" t="s">
        <v>3937</v>
      </c>
      <c r="S762" s="23" t="s">
        <v>184</v>
      </c>
      <c r="T762" s="23" t="s">
        <v>302</v>
      </c>
      <c r="U762" s="23" t="s">
        <v>302</v>
      </c>
      <c r="V762" s="23" t="s">
        <v>233</v>
      </c>
      <c r="W762" s="23" t="s">
        <v>284</v>
      </c>
      <c r="X762" s="23">
        <v>24408.799999999999</v>
      </c>
      <c r="Y762" s="37">
        <v>24560</v>
      </c>
      <c r="Z762" s="23">
        <v>25675.27</v>
      </c>
      <c r="AA762" s="23">
        <v>24314.400000000001</v>
      </c>
      <c r="AB762" s="23" t="s">
        <v>3955</v>
      </c>
      <c r="AC762" s="23" t="s">
        <v>3956</v>
      </c>
      <c r="AD762" s="118">
        <v>0</v>
      </c>
      <c r="AE762" s="118">
        <v>2</v>
      </c>
      <c r="AF762" s="23" t="s">
        <v>3297</v>
      </c>
      <c r="AG762" s="23" t="s">
        <v>787</v>
      </c>
      <c r="AH762" s="39">
        <v>44372</v>
      </c>
    </row>
    <row r="763" spans="1:35">
      <c r="A763" s="72" t="s">
        <v>3933</v>
      </c>
      <c r="B763" s="23" t="s">
        <v>3936</v>
      </c>
      <c r="C763" s="140">
        <v>44369</v>
      </c>
      <c r="D763" s="23" t="s">
        <v>729</v>
      </c>
      <c r="E763" s="23" t="s">
        <v>2919</v>
      </c>
      <c r="F763" s="23" t="s">
        <v>1723</v>
      </c>
      <c r="G763" s="23" t="s">
        <v>1724</v>
      </c>
      <c r="Q763" s="141" t="s">
        <v>3937</v>
      </c>
      <c r="S763" s="23" t="s">
        <v>2755</v>
      </c>
      <c r="T763" s="23" t="s">
        <v>3715</v>
      </c>
      <c r="U763" s="23" t="s">
        <v>3715</v>
      </c>
      <c r="V763" s="23" t="s">
        <v>298</v>
      </c>
      <c r="W763" s="23" t="s">
        <v>3938</v>
      </c>
      <c r="Y763" s="37">
        <v>17120</v>
      </c>
      <c r="Z763" s="23">
        <v>75</v>
      </c>
      <c r="AB763" s="23" t="s">
        <v>3939</v>
      </c>
      <c r="AC763" s="23" t="s">
        <v>3940</v>
      </c>
      <c r="AD763" s="118">
        <v>0</v>
      </c>
      <c r="AE763" s="118">
        <v>1</v>
      </c>
      <c r="AF763" s="23" t="s">
        <v>3181</v>
      </c>
      <c r="AG763" s="23" t="s">
        <v>1640</v>
      </c>
      <c r="AH763" s="39">
        <v>44370</v>
      </c>
    </row>
    <row r="764" spans="1:35" ht="96">
      <c r="A764" s="72" t="s">
        <v>3935</v>
      </c>
      <c r="B764" s="23" t="s">
        <v>3934</v>
      </c>
      <c r="C764" s="140">
        <v>44365</v>
      </c>
      <c r="D764" s="23" t="s">
        <v>729</v>
      </c>
      <c r="E764" s="23" t="s">
        <v>752</v>
      </c>
      <c r="F764" s="23" t="s">
        <v>2314</v>
      </c>
      <c r="G764" s="23" t="s">
        <v>5538</v>
      </c>
      <c r="H764" s="23" t="s">
        <v>3941</v>
      </c>
      <c r="I764" s="23" t="s">
        <v>3941</v>
      </c>
      <c r="J764" s="140">
        <v>44363</v>
      </c>
      <c r="S764" s="23" t="s">
        <v>2755</v>
      </c>
      <c r="T764" s="23" t="s">
        <v>12031</v>
      </c>
      <c r="U764" s="23" t="s">
        <v>12031</v>
      </c>
      <c r="V764" s="23" t="s">
        <v>299</v>
      </c>
      <c r="W764" s="23" t="s">
        <v>3942</v>
      </c>
      <c r="AB764" s="19" t="s">
        <v>4152</v>
      </c>
      <c r="AC764" s="23">
        <v>18</v>
      </c>
      <c r="AD764" s="118">
        <v>0</v>
      </c>
      <c r="AE764" s="118">
        <v>6</v>
      </c>
      <c r="AG764" s="23" t="s">
        <v>3951</v>
      </c>
      <c r="AH764" s="39">
        <v>44370</v>
      </c>
      <c r="AI764" s="53" t="s">
        <v>3943</v>
      </c>
    </row>
    <row r="765" spans="1:35">
      <c r="A765" s="72" t="s">
        <v>3944</v>
      </c>
      <c r="B765" s="23" t="s">
        <v>3945</v>
      </c>
      <c r="C765" s="140">
        <v>44370</v>
      </c>
      <c r="D765" s="23" t="s">
        <v>729</v>
      </c>
      <c r="E765" s="23" t="s">
        <v>2919</v>
      </c>
      <c r="F765" s="23" t="s">
        <v>1723</v>
      </c>
      <c r="G765" s="23" t="s">
        <v>1724</v>
      </c>
      <c r="Q765" s="141" t="s">
        <v>3946</v>
      </c>
      <c r="S765" s="23" t="s">
        <v>2755</v>
      </c>
      <c r="T765" s="23" t="s">
        <v>3715</v>
      </c>
      <c r="U765" s="23" t="s">
        <v>3715</v>
      </c>
      <c r="V765" s="23" t="s">
        <v>298</v>
      </c>
      <c r="W765" s="23" t="s">
        <v>3288</v>
      </c>
      <c r="Y765" s="37">
        <v>7200</v>
      </c>
      <c r="Z765" s="23">
        <v>76</v>
      </c>
      <c r="AB765" s="23" t="s">
        <v>3947</v>
      </c>
      <c r="AC765" s="23" t="s">
        <v>3580</v>
      </c>
      <c r="AD765" s="118">
        <v>0</v>
      </c>
      <c r="AE765" s="118">
        <v>1</v>
      </c>
      <c r="AF765" s="23" t="s">
        <v>3181</v>
      </c>
      <c r="AG765" s="23" t="s">
        <v>637</v>
      </c>
      <c r="AH765" s="39">
        <v>44371</v>
      </c>
    </row>
    <row r="766" spans="1:35" ht="48">
      <c r="A766" s="72" t="s">
        <v>3948</v>
      </c>
      <c r="B766" s="23" t="s">
        <v>3949</v>
      </c>
      <c r="C766" s="140">
        <v>44366</v>
      </c>
      <c r="D766" s="23" t="s">
        <v>729</v>
      </c>
      <c r="E766" s="23" t="s">
        <v>752</v>
      </c>
      <c r="F766" s="23" t="s">
        <v>2314</v>
      </c>
      <c r="G766" s="23" t="s">
        <v>5538</v>
      </c>
      <c r="H766" s="23" t="s">
        <v>3950</v>
      </c>
      <c r="I766" s="23" t="s">
        <v>3950</v>
      </c>
      <c r="J766" s="140">
        <v>44340</v>
      </c>
      <c r="S766" s="23" t="s">
        <v>2755</v>
      </c>
      <c r="T766" s="23" t="s">
        <v>12031</v>
      </c>
      <c r="U766" s="23" t="s">
        <v>12031</v>
      </c>
      <c r="V766" s="23" t="s">
        <v>299</v>
      </c>
      <c r="W766" s="23" t="s">
        <v>3942</v>
      </c>
      <c r="Y766" s="37">
        <v>13905</v>
      </c>
      <c r="Z766" s="23">
        <v>134.76599999999999</v>
      </c>
      <c r="AB766" s="19" t="s">
        <v>4153</v>
      </c>
      <c r="AC766" s="23">
        <v>9</v>
      </c>
      <c r="AD766" s="118">
        <v>0</v>
      </c>
      <c r="AE766" s="118">
        <v>3</v>
      </c>
      <c r="AG766" s="23" t="s">
        <v>3951</v>
      </c>
      <c r="AH766" s="39">
        <v>44371</v>
      </c>
      <c r="AI766" s="53" t="s">
        <v>3943</v>
      </c>
    </row>
    <row r="767" spans="1:35">
      <c r="A767" s="72" t="s">
        <v>3957</v>
      </c>
      <c r="B767" s="23" t="s">
        <v>3958</v>
      </c>
      <c r="C767" s="140">
        <v>44318</v>
      </c>
      <c r="D767" s="23" t="s">
        <v>729</v>
      </c>
      <c r="E767" s="23" t="s">
        <v>752</v>
      </c>
      <c r="F767" s="23" t="s">
        <v>2969</v>
      </c>
      <c r="G767" s="23" t="s">
        <v>1724</v>
      </c>
      <c r="P767" s="23" t="s">
        <v>3959</v>
      </c>
      <c r="Q767" s="141" t="s">
        <v>3960</v>
      </c>
      <c r="S767" s="23" t="s">
        <v>759</v>
      </c>
      <c r="T767" s="23" t="s">
        <v>12031</v>
      </c>
      <c r="U767" s="23" t="s">
        <v>12031</v>
      </c>
      <c r="V767" s="23" t="s">
        <v>298</v>
      </c>
      <c r="W767" s="23" t="s">
        <v>3961</v>
      </c>
      <c r="Y767" s="38">
        <v>2000</v>
      </c>
      <c r="Z767" s="23">
        <v>12</v>
      </c>
      <c r="AB767" s="23" t="s">
        <v>3962</v>
      </c>
      <c r="AC767" s="23" t="s">
        <v>131</v>
      </c>
      <c r="AD767" s="118">
        <v>1</v>
      </c>
      <c r="AE767" s="118">
        <v>0</v>
      </c>
      <c r="AF767" s="23" t="s">
        <v>3451</v>
      </c>
      <c r="AG767" s="23" t="s">
        <v>3930</v>
      </c>
      <c r="AH767" s="39">
        <v>44371</v>
      </c>
    </row>
    <row r="768" spans="1:35">
      <c r="A768" s="72" t="s">
        <v>3963</v>
      </c>
      <c r="B768" s="23" t="s">
        <v>3964</v>
      </c>
      <c r="C768" s="140">
        <v>44354</v>
      </c>
      <c r="D768" s="23" t="s">
        <v>729</v>
      </c>
      <c r="E768" s="23" t="s">
        <v>752</v>
      </c>
      <c r="F768" s="23" t="s">
        <v>2969</v>
      </c>
      <c r="G768" s="23" t="s">
        <v>1724</v>
      </c>
      <c r="P768" s="23" t="s">
        <v>3872</v>
      </c>
      <c r="Q768" s="141" t="s">
        <v>3873</v>
      </c>
      <c r="S768" s="23" t="s">
        <v>759</v>
      </c>
      <c r="T768" s="23" t="s">
        <v>12031</v>
      </c>
      <c r="U768" s="23" t="s">
        <v>12031</v>
      </c>
      <c r="V768" s="23" t="s">
        <v>298</v>
      </c>
      <c r="W768" s="23" t="s">
        <v>3965</v>
      </c>
      <c r="Y768" s="38">
        <v>2000</v>
      </c>
      <c r="Z768" s="23">
        <v>15</v>
      </c>
      <c r="AB768" s="23" t="s">
        <v>3966</v>
      </c>
      <c r="AC768" s="23" t="s">
        <v>123</v>
      </c>
      <c r="AD768" s="118">
        <v>1</v>
      </c>
      <c r="AE768" s="118">
        <v>0</v>
      </c>
      <c r="AF768" s="23" t="s">
        <v>3451</v>
      </c>
      <c r="AG768" s="23" t="s">
        <v>2652</v>
      </c>
      <c r="AH768" s="39">
        <v>44373</v>
      </c>
    </row>
    <row r="769" spans="1:35" ht="80">
      <c r="A769" s="72" t="s">
        <v>3967</v>
      </c>
      <c r="B769" s="23" t="s">
        <v>3968</v>
      </c>
      <c r="C769" s="140">
        <v>44357</v>
      </c>
      <c r="D769" s="23" t="s">
        <v>729</v>
      </c>
      <c r="E769" s="23" t="s">
        <v>752</v>
      </c>
      <c r="F769" s="23" t="s">
        <v>3969</v>
      </c>
      <c r="G769" s="23" t="s">
        <v>3469</v>
      </c>
      <c r="H769" s="23" t="s">
        <v>3970</v>
      </c>
      <c r="I769" s="23" t="s">
        <v>3970</v>
      </c>
      <c r="J769" s="140">
        <v>44356</v>
      </c>
      <c r="S769" s="23" t="s">
        <v>2755</v>
      </c>
      <c r="T769" s="23" t="s">
        <v>12031</v>
      </c>
      <c r="U769" s="23" t="s">
        <v>12031</v>
      </c>
      <c r="V769" s="23" t="s">
        <v>299</v>
      </c>
      <c r="W769" s="23" t="s">
        <v>3971</v>
      </c>
      <c r="Y769" s="38">
        <v>36080</v>
      </c>
      <c r="Z769" s="23">
        <v>327.60000000000002</v>
      </c>
      <c r="AB769" s="19" t="s">
        <v>3972</v>
      </c>
      <c r="AC769" s="23">
        <v>14</v>
      </c>
      <c r="AD769" s="118">
        <v>0</v>
      </c>
      <c r="AE769" s="118">
        <v>5</v>
      </c>
      <c r="AG769" s="23" t="s">
        <v>3973</v>
      </c>
      <c r="AH769" s="39">
        <v>44375</v>
      </c>
      <c r="AI769" s="53" t="s">
        <v>3469</v>
      </c>
    </row>
    <row r="770" spans="1:35">
      <c r="A770" s="72" t="s">
        <v>3974</v>
      </c>
      <c r="B770" s="23" t="s">
        <v>3975</v>
      </c>
      <c r="C770" s="140">
        <v>44373</v>
      </c>
      <c r="D770" s="23" t="s">
        <v>729</v>
      </c>
      <c r="E770" s="23" t="s">
        <v>2919</v>
      </c>
      <c r="F770" s="23" t="s">
        <v>1723</v>
      </c>
      <c r="G770" s="23" t="s">
        <v>1724</v>
      </c>
      <c r="Q770" s="141" t="s">
        <v>3976</v>
      </c>
      <c r="S770" s="23" t="s">
        <v>2755</v>
      </c>
      <c r="T770" s="23" t="s">
        <v>3715</v>
      </c>
      <c r="U770" s="23" t="s">
        <v>3715</v>
      </c>
      <c r="V770" s="23" t="s">
        <v>298</v>
      </c>
      <c r="W770" s="23" t="s">
        <v>2710</v>
      </c>
      <c r="Y770" s="37">
        <v>24000</v>
      </c>
      <c r="Z770" s="23">
        <v>74</v>
      </c>
      <c r="AB770" s="23" t="s">
        <v>3977</v>
      </c>
      <c r="AC770" s="23" t="s">
        <v>2712</v>
      </c>
      <c r="AD770" s="118">
        <v>0</v>
      </c>
      <c r="AE770" s="118">
        <v>2</v>
      </c>
      <c r="AF770" s="23" t="s">
        <v>3181</v>
      </c>
      <c r="AG770" s="23" t="s">
        <v>1640</v>
      </c>
      <c r="AH770" s="39">
        <v>44375</v>
      </c>
    </row>
    <row r="771" spans="1:35">
      <c r="A771" s="72" t="s">
        <v>3978</v>
      </c>
      <c r="B771" s="23" t="s">
        <v>3979</v>
      </c>
      <c r="C771" s="140">
        <v>44373</v>
      </c>
      <c r="F771" s="23" t="s">
        <v>1723</v>
      </c>
      <c r="G771" s="23" t="s">
        <v>1724</v>
      </c>
      <c r="Q771" s="141" t="s">
        <v>3976</v>
      </c>
      <c r="W771" s="23" t="s">
        <v>3841</v>
      </c>
      <c r="Y771" s="37">
        <v>15926</v>
      </c>
      <c r="Z771" s="23">
        <v>75.8</v>
      </c>
      <c r="AB771" s="23" t="s">
        <v>3980</v>
      </c>
      <c r="AC771" s="23" t="s">
        <v>3981</v>
      </c>
      <c r="AD771" s="118"/>
      <c r="AE771" s="118"/>
      <c r="AF771" s="23" t="s">
        <v>3181</v>
      </c>
      <c r="AG771" s="23" t="s">
        <v>1640</v>
      </c>
      <c r="AH771" s="39">
        <v>44375</v>
      </c>
    </row>
    <row r="772" spans="1:35" ht="64">
      <c r="A772" s="72" t="s">
        <v>3982</v>
      </c>
      <c r="B772" s="23" t="s">
        <v>3995</v>
      </c>
      <c r="C772" s="140">
        <v>44362</v>
      </c>
      <c r="D772" s="23" t="s">
        <v>729</v>
      </c>
      <c r="E772" s="23" t="s">
        <v>752</v>
      </c>
      <c r="F772" s="23" t="s">
        <v>2200</v>
      </c>
      <c r="G772" s="23" t="s">
        <v>301</v>
      </c>
      <c r="H772" s="23" t="s">
        <v>3983</v>
      </c>
      <c r="I772" s="23" t="s">
        <v>3983</v>
      </c>
      <c r="J772" s="140">
        <v>44306</v>
      </c>
      <c r="K772" s="23" t="s">
        <v>3987</v>
      </c>
      <c r="L772" s="140">
        <v>44369</v>
      </c>
      <c r="S772" s="23" t="s">
        <v>2755</v>
      </c>
      <c r="T772" s="23" t="s">
        <v>305</v>
      </c>
      <c r="U772" s="23" t="s">
        <v>305</v>
      </c>
      <c r="V772" s="23" t="s">
        <v>299</v>
      </c>
      <c r="W772" s="23" t="s">
        <v>355</v>
      </c>
      <c r="AB772" s="19" t="s">
        <v>3984</v>
      </c>
      <c r="AC772" s="23">
        <v>12</v>
      </c>
      <c r="AD772" s="118">
        <v>0</v>
      </c>
      <c r="AE772" s="118">
        <v>4</v>
      </c>
      <c r="AG772" s="23" t="s">
        <v>659</v>
      </c>
      <c r="AH772" s="39">
        <v>44375</v>
      </c>
      <c r="AI772" s="53" t="s">
        <v>301</v>
      </c>
    </row>
    <row r="773" spans="1:35" ht="192">
      <c r="A773" s="72" t="s">
        <v>3985</v>
      </c>
      <c r="B773" s="23" t="s">
        <v>3986</v>
      </c>
      <c r="C773" s="140">
        <v>44362</v>
      </c>
      <c r="D773" s="23" t="s">
        <v>729</v>
      </c>
      <c r="E773" s="23" t="s">
        <v>752</v>
      </c>
      <c r="F773" s="23" t="s">
        <v>2200</v>
      </c>
      <c r="G773" s="23" t="s">
        <v>301</v>
      </c>
      <c r="H773" s="23" t="s">
        <v>3638</v>
      </c>
      <c r="I773" s="23" t="s">
        <v>3638</v>
      </c>
      <c r="J773" s="140">
        <v>44348</v>
      </c>
      <c r="K773" s="23" t="s">
        <v>3988</v>
      </c>
      <c r="L773" s="140">
        <v>44365</v>
      </c>
      <c r="S773" s="23" t="s">
        <v>2755</v>
      </c>
      <c r="T773" s="23" t="s">
        <v>305</v>
      </c>
      <c r="U773" s="23" t="s">
        <v>305</v>
      </c>
      <c r="V773" s="23" t="s">
        <v>299</v>
      </c>
      <c r="W773" s="23" t="s">
        <v>4065</v>
      </c>
      <c r="AB773" s="19" t="s">
        <v>3991</v>
      </c>
      <c r="AC773" s="23">
        <v>36</v>
      </c>
      <c r="AD773" s="118">
        <v>0</v>
      </c>
      <c r="AE773" s="118">
        <v>12</v>
      </c>
      <c r="AG773" s="23" t="s">
        <v>659</v>
      </c>
      <c r="AH773" s="39">
        <v>44375</v>
      </c>
      <c r="AI773" s="53" t="s">
        <v>301</v>
      </c>
    </row>
    <row r="774" spans="1:35" ht="304">
      <c r="A774" s="72" t="s">
        <v>3989</v>
      </c>
      <c r="B774" s="23" t="s">
        <v>3990</v>
      </c>
      <c r="C774" s="140">
        <v>44362</v>
      </c>
      <c r="D774" s="23" t="s">
        <v>729</v>
      </c>
      <c r="E774" s="23" t="s">
        <v>752</v>
      </c>
      <c r="F774" s="23" t="s">
        <v>2200</v>
      </c>
      <c r="G774" s="23" t="s">
        <v>301</v>
      </c>
      <c r="H774" s="23" t="s">
        <v>3992</v>
      </c>
      <c r="I774" s="23" t="s">
        <v>3992</v>
      </c>
      <c r="J774" s="140">
        <v>44306</v>
      </c>
      <c r="K774" s="23" t="s">
        <v>3993</v>
      </c>
      <c r="L774" s="140">
        <v>44369</v>
      </c>
      <c r="S774" s="23" t="s">
        <v>2755</v>
      </c>
      <c r="T774" s="23" t="s">
        <v>305</v>
      </c>
      <c r="U774" s="23" t="s">
        <v>305</v>
      </c>
      <c r="V774" s="23" t="s">
        <v>299</v>
      </c>
      <c r="W774" s="23" t="s">
        <v>355</v>
      </c>
      <c r="AB774" s="19" t="s">
        <v>3994</v>
      </c>
      <c r="AC774" s="23">
        <v>57</v>
      </c>
      <c r="AD774" s="118">
        <v>0</v>
      </c>
      <c r="AE774" s="118">
        <v>19</v>
      </c>
      <c r="AG774" s="23" t="s">
        <v>659</v>
      </c>
      <c r="AH774" s="39">
        <v>44375</v>
      </c>
      <c r="AI774" s="53" t="s">
        <v>301</v>
      </c>
    </row>
    <row r="775" spans="1:35">
      <c r="A775" s="72" t="s">
        <v>3996</v>
      </c>
      <c r="B775" s="23" t="s">
        <v>3998</v>
      </c>
      <c r="C775" s="140">
        <v>44371</v>
      </c>
      <c r="D775" s="23" t="s">
        <v>729</v>
      </c>
      <c r="E775" s="23" t="s">
        <v>2919</v>
      </c>
      <c r="F775" s="23" t="s">
        <v>1723</v>
      </c>
      <c r="G775" s="23" t="s">
        <v>1724</v>
      </c>
      <c r="L775" s="141" t="s">
        <v>3999</v>
      </c>
      <c r="Q775" s="141" t="s">
        <v>4000</v>
      </c>
      <c r="S775" s="23" t="s">
        <v>300</v>
      </c>
      <c r="T775" s="23" t="s">
        <v>3715</v>
      </c>
      <c r="U775" s="23" t="s">
        <v>3715</v>
      </c>
      <c r="V775" s="23" t="s">
        <v>298</v>
      </c>
      <c r="W775" s="23" t="s">
        <v>2903</v>
      </c>
      <c r="Y775" s="37">
        <v>13375</v>
      </c>
      <c r="Z775" s="23">
        <v>66.5</v>
      </c>
      <c r="AB775" s="23" t="s">
        <v>4001</v>
      </c>
      <c r="AC775" s="23" t="s">
        <v>3098</v>
      </c>
      <c r="AD775" s="118">
        <v>0</v>
      </c>
      <c r="AE775" s="118">
        <v>2</v>
      </c>
      <c r="AF775" s="23" t="s">
        <v>3193</v>
      </c>
      <c r="AG775" s="23" t="s">
        <v>1921</v>
      </c>
      <c r="AH775" s="39">
        <v>44375</v>
      </c>
    </row>
    <row r="776" spans="1:35">
      <c r="A776" s="72" t="s">
        <v>3997</v>
      </c>
      <c r="B776" s="23" t="s">
        <v>4002</v>
      </c>
      <c r="C776" s="140">
        <v>44373</v>
      </c>
      <c r="F776" s="23" t="s">
        <v>1723</v>
      </c>
      <c r="S776" s="23" t="s">
        <v>300</v>
      </c>
      <c r="T776" s="23" t="s">
        <v>3715</v>
      </c>
      <c r="U776" s="23" t="s">
        <v>3715</v>
      </c>
      <c r="W776" s="23" t="s">
        <v>4003</v>
      </c>
      <c r="Y776" s="37">
        <v>7460</v>
      </c>
      <c r="Z776" s="23">
        <v>68</v>
      </c>
      <c r="AB776" s="23" t="s">
        <v>4004</v>
      </c>
      <c r="AC776" s="23" t="s">
        <v>4005</v>
      </c>
      <c r="AD776" s="118"/>
      <c r="AE776" s="118"/>
      <c r="AF776" s="23" t="s">
        <v>3193</v>
      </c>
      <c r="AG776" s="23" t="s">
        <v>1581</v>
      </c>
      <c r="AH776" s="39">
        <v>44375</v>
      </c>
    </row>
    <row r="777" spans="1:35">
      <c r="A777" s="72" t="s">
        <v>4006</v>
      </c>
      <c r="B777" s="23" t="s">
        <v>4008</v>
      </c>
      <c r="C777" s="140">
        <v>44373</v>
      </c>
      <c r="D777" s="23" t="s">
        <v>729</v>
      </c>
      <c r="E777" s="23" t="s">
        <v>2919</v>
      </c>
      <c r="F777" s="23" t="s">
        <v>1723</v>
      </c>
      <c r="G777" s="23" t="s">
        <v>1724</v>
      </c>
      <c r="Q777" s="141" t="s">
        <v>4000</v>
      </c>
      <c r="S777" s="23" t="s">
        <v>300</v>
      </c>
      <c r="T777" s="23" t="s">
        <v>3715</v>
      </c>
      <c r="U777" s="23" t="s">
        <v>3715</v>
      </c>
      <c r="V777" s="23" t="s">
        <v>298</v>
      </c>
      <c r="W777" s="23" t="s">
        <v>4003</v>
      </c>
      <c r="Y777" s="37">
        <v>6542.5</v>
      </c>
      <c r="Z777" s="23">
        <v>68</v>
      </c>
      <c r="AB777" s="23" t="s">
        <v>4009</v>
      </c>
      <c r="AC777" s="23" t="s">
        <v>4010</v>
      </c>
      <c r="AD777" s="118">
        <v>0</v>
      </c>
      <c r="AE777" s="118">
        <v>2</v>
      </c>
      <c r="AF777" s="23" t="s">
        <v>3193</v>
      </c>
      <c r="AG777" s="23" t="s">
        <v>1581</v>
      </c>
      <c r="AH777" s="39">
        <v>44376</v>
      </c>
    </row>
    <row r="778" spans="1:35">
      <c r="A778" s="72" t="s">
        <v>4007</v>
      </c>
      <c r="B778" s="27" t="s">
        <v>4011</v>
      </c>
      <c r="C778" s="140">
        <v>44374</v>
      </c>
      <c r="F778" s="23" t="s">
        <v>1723</v>
      </c>
      <c r="S778" s="23" t="s">
        <v>300</v>
      </c>
      <c r="T778" s="23" t="s">
        <v>3715</v>
      </c>
      <c r="U778" s="23" t="s">
        <v>3715</v>
      </c>
      <c r="W778" s="23" t="s">
        <v>2903</v>
      </c>
      <c r="Y778" s="37">
        <v>13400</v>
      </c>
      <c r="Z778" s="23">
        <v>66</v>
      </c>
      <c r="AB778" s="23" t="s">
        <v>4012</v>
      </c>
      <c r="AC778" s="23" t="s">
        <v>4013</v>
      </c>
      <c r="AD778" s="118"/>
      <c r="AE778" s="118"/>
      <c r="AF778" s="23" t="s">
        <v>3193</v>
      </c>
      <c r="AG778" s="23" t="s">
        <v>1921</v>
      </c>
      <c r="AH778" s="39">
        <v>44375</v>
      </c>
    </row>
    <row r="779" spans="1:35">
      <c r="A779" s="72" t="s">
        <v>4014</v>
      </c>
      <c r="B779" s="23" t="s">
        <v>4015</v>
      </c>
      <c r="C779" s="140">
        <v>44348</v>
      </c>
      <c r="D779" s="23" t="s">
        <v>729</v>
      </c>
      <c r="E779" s="23" t="s">
        <v>752</v>
      </c>
      <c r="F779" s="23" t="s">
        <v>3702</v>
      </c>
      <c r="G779" s="23" t="s">
        <v>3711</v>
      </c>
      <c r="H779" s="23" t="s">
        <v>4016</v>
      </c>
      <c r="I779" s="23" t="s">
        <v>4016</v>
      </c>
      <c r="J779" s="140">
        <v>44348</v>
      </c>
      <c r="K779" s="23" t="s">
        <v>4024</v>
      </c>
      <c r="L779" s="140">
        <v>44363</v>
      </c>
      <c r="S779" s="23" t="s">
        <v>300</v>
      </c>
      <c r="T779" s="23" t="s">
        <v>12031</v>
      </c>
      <c r="U779" s="23" t="s">
        <v>12031</v>
      </c>
      <c r="V779" s="23" t="s">
        <v>299</v>
      </c>
      <c r="W779" s="23" t="s">
        <v>4017</v>
      </c>
      <c r="X779" s="38">
        <v>10000</v>
      </c>
      <c r="Y779" s="38">
        <v>10000</v>
      </c>
      <c r="AC779" s="23">
        <v>8</v>
      </c>
      <c r="AD779" s="118">
        <v>0</v>
      </c>
      <c r="AE779" s="118">
        <v>0</v>
      </c>
      <c r="AG779" s="23" t="s">
        <v>4018</v>
      </c>
      <c r="AH779" s="39">
        <v>44376</v>
      </c>
      <c r="AI779" s="53" t="s">
        <v>3711</v>
      </c>
    </row>
    <row r="780" spans="1:35">
      <c r="A780" s="72" t="s">
        <v>4019</v>
      </c>
      <c r="B780" s="23" t="s">
        <v>4020</v>
      </c>
      <c r="C780" s="140">
        <v>44348</v>
      </c>
      <c r="D780" s="23" t="s">
        <v>729</v>
      </c>
      <c r="E780" s="23" t="s">
        <v>752</v>
      </c>
      <c r="F780" s="23" t="s">
        <v>3702</v>
      </c>
      <c r="G780" s="23" t="s">
        <v>3711</v>
      </c>
      <c r="H780" s="23" t="s">
        <v>4021</v>
      </c>
      <c r="I780" s="23" t="s">
        <v>4021</v>
      </c>
      <c r="J780" s="140">
        <v>44341</v>
      </c>
      <c r="K780" s="23" t="s">
        <v>4025</v>
      </c>
      <c r="L780" s="140">
        <v>44355</v>
      </c>
      <c r="S780" s="23" t="s">
        <v>300</v>
      </c>
      <c r="T780" s="23" t="s">
        <v>12031</v>
      </c>
      <c r="U780" s="23" t="s">
        <v>12031</v>
      </c>
      <c r="V780" s="23" t="s">
        <v>299</v>
      </c>
      <c r="W780" s="23" t="s">
        <v>4022</v>
      </c>
      <c r="X780" s="37">
        <v>12736</v>
      </c>
      <c r="Y780" s="37">
        <v>12736</v>
      </c>
      <c r="AC780" s="23">
        <v>8</v>
      </c>
      <c r="AD780" s="118">
        <v>0</v>
      </c>
      <c r="AE780" s="118">
        <v>0</v>
      </c>
      <c r="AG780" s="23" t="s">
        <v>4023</v>
      </c>
      <c r="AH780" s="39">
        <v>44376</v>
      </c>
      <c r="AI780" s="53" t="s">
        <v>3711</v>
      </c>
    </row>
    <row r="781" spans="1:35" ht="32">
      <c r="A781" s="72" t="s">
        <v>4026</v>
      </c>
      <c r="B781" s="23" t="s">
        <v>4027</v>
      </c>
      <c r="C781" s="140">
        <v>44361</v>
      </c>
      <c r="D781" s="23" t="s">
        <v>729</v>
      </c>
      <c r="E781" s="23" t="s">
        <v>752</v>
      </c>
      <c r="F781" s="23" t="s">
        <v>4028</v>
      </c>
      <c r="G781" s="23" t="s">
        <v>2165</v>
      </c>
      <c r="P781" s="23" t="s">
        <v>3846</v>
      </c>
      <c r="Q781" s="141" t="s">
        <v>3847</v>
      </c>
      <c r="S781" s="23" t="s">
        <v>4029</v>
      </c>
      <c r="T781" s="23" t="s">
        <v>12031</v>
      </c>
      <c r="U781" s="23" t="s">
        <v>12031</v>
      </c>
      <c r="V781" s="23" t="s">
        <v>298</v>
      </c>
      <c r="W781" s="23" t="s">
        <v>4030</v>
      </c>
      <c r="Y781" s="37">
        <v>50688</v>
      </c>
      <c r="Z781" s="23">
        <v>114</v>
      </c>
      <c r="AB781" s="19" t="s">
        <v>4031</v>
      </c>
      <c r="AC781" s="23" t="s">
        <v>4032</v>
      </c>
      <c r="AD781" s="118">
        <v>0</v>
      </c>
      <c r="AE781" s="118">
        <v>2</v>
      </c>
      <c r="AF781" s="19" t="s">
        <v>3297</v>
      </c>
      <c r="AG781" s="23" t="s">
        <v>4033</v>
      </c>
      <c r="AH781" s="39">
        <v>44377</v>
      </c>
    </row>
    <row r="782" spans="1:35" ht="32">
      <c r="A782" s="72" t="s">
        <v>4034</v>
      </c>
      <c r="B782" s="23" t="s">
        <v>4035</v>
      </c>
      <c r="C782" s="140">
        <v>44367</v>
      </c>
      <c r="D782" s="23" t="s">
        <v>729</v>
      </c>
      <c r="E782" s="23" t="s">
        <v>752</v>
      </c>
      <c r="F782" s="23" t="s">
        <v>4028</v>
      </c>
      <c r="G782" s="23" t="s">
        <v>2165</v>
      </c>
      <c r="P782" s="23" t="s">
        <v>3872</v>
      </c>
      <c r="Q782" s="141" t="s">
        <v>3873</v>
      </c>
      <c r="S782" s="23" t="s">
        <v>4029</v>
      </c>
      <c r="T782" s="23" t="s">
        <v>12031</v>
      </c>
      <c r="U782" s="23" t="s">
        <v>12031</v>
      </c>
      <c r="V782" s="23" t="s">
        <v>298</v>
      </c>
      <c r="W782" s="19" t="s">
        <v>4036</v>
      </c>
      <c r="Y782" s="37">
        <v>50688</v>
      </c>
      <c r="Z782" s="23">
        <v>96</v>
      </c>
      <c r="AB782" s="19" t="s">
        <v>4037</v>
      </c>
      <c r="AC782" s="19" t="s">
        <v>4032</v>
      </c>
      <c r="AD782" s="118">
        <v>0</v>
      </c>
      <c r="AE782" s="118">
        <v>2</v>
      </c>
      <c r="AF782" s="23" t="s">
        <v>4038</v>
      </c>
      <c r="AG782" s="23" t="s">
        <v>4033</v>
      </c>
      <c r="AH782" s="39">
        <v>44377</v>
      </c>
    </row>
    <row r="783" spans="1:35">
      <c r="A783" s="72" t="s">
        <v>4060</v>
      </c>
      <c r="B783" s="23" t="s">
        <v>4039</v>
      </c>
      <c r="C783" s="140">
        <v>44369</v>
      </c>
      <c r="D783" s="23" t="s">
        <v>729</v>
      </c>
      <c r="E783" s="23" t="s">
        <v>752</v>
      </c>
      <c r="F783" s="23" t="s">
        <v>3400</v>
      </c>
      <c r="G783" s="23" t="s">
        <v>3469</v>
      </c>
      <c r="H783" s="23" t="s">
        <v>4040</v>
      </c>
      <c r="I783" s="23" t="s">
        <v>4040</v>
      </c>
      <c r="J783" s="140">
        <v>44357</v>
      </c>
      <c r="S783" s="23" t="s">
        <v>300</v>
      </c>
      <c r="T783" s="23" t="s">
        <v>12031</v>
      </c>
      <c r="U783" s="23" t="s">
        <v>12031</v>
      </c>
      <c r="V783" s="23" t="s">
        <v>299</v>
      </c>
      <c r="W783" s="23" t="s">
        <v>4041</v>
      </c>
      <c r="Y783" s="23">
        <v>14180</v>
      </c>
      <c r="AB783" s="23" t="s">
        <v>97</v>
      </c>
      <c r="AC783" s="23">
        <v>2</v>
      </c>
      <c r="AD783" s="118">
        <v>0</v>
      </c>
      <c r="AE783" s="118">
        <v>0</v>
      </c>
      <c r="AG783" s="23" t="s">
        <v>4042</v>
      </c>
      <c r="AH783" s="39">
        <v>44377</v>
      </c>
      <c r="AI783" s="53" t="s">
        <v>3469</v>
      </c>
    </row>
    <row r="784" spans="1:35" ht="64">
      <c r="A784" s="72" t="s">
        <v>4061</v>
      </c>
      <c r="B784" s="23" t="s">
        <v>4043</v>
      </c>
      <c r="C784" s="140">
        <v>44367</v>
      </c>
      <c r="D784" s="23" t="s">
        <v>729</v>
      </c>
      <c r="E784" s="23" t="s">
        <v>2919</v>
      </c>
      <c r="F784" s="23" t="s">
        <v>2969</v>
      </c>
      <c r="G784" s="23" t="s">
        <v>1724</v>
      </c>
      <c r="P784" s="23" t="s">
        <v>4044</v>
      </c>
      <c r="Q784" s="141" t="s">
        <v>4045</v>
      </c>
      <c r="S784" s="23" t="s">
        <v>300</v>
      </c>
      <c r="T784" s="23" t="s">
        <v>12031</v>
      </c>
      <c r="U784" s="23" t="s">
        <v>12031</v>
      </c>
      <c r="V784" s="23" t="s">
        <v>298</v>
      </c>
      <c r="W784" s="23" t="s">
        <v>494</v>
      </c>
      <c r="Y784" s="23">
        <v>50400</v>
      </c>
      <c r="Z784" s="23">
        <v>136</v>
      </c>
      <c r="AB784" s="19" t="s">
        <v>4047</v>
      </c>
      <c r="AC784" s="23" t="s">
        <v>4046</v>
      </c>
      <c r="AD784" s="118">
        <v>0</v>
      </c>
      <c r="AE784" s="118">
        <v>2</v>
      </c>
      <c r="AF784" s="19" t="s">
        <v>4048</v>
      </c>
      <c r="AG784" s="23" t="s">
        <v>665</v>
      </c>
      <c r="AH784" s="39">
        <v>44378</v>
      </c>
    </row>
    <row r="785" spans="1:34">
      <c r="A785" s="72" t="s">
        <v>4062</v>
      </c>
      <c r="B785" s="23" t="s">
        <v>4049</v>
      </c>
      <c r="C785" s="140">
        <v>44378</v>
      </c>
      <c r="D785" s="23" t="s">
        <v>729</v>
      </c>
      <c r="E785" s="23" t="s">
        <v>2919</v>
      </c>
      <c r="F785" s="23" t="s">
        <v>1723</v>
      </c>
      <c r="G785" s="23" t="s">
        <v>1724</v>
      </c>
      <c r="Q785" s="141" t="s">
        <v>4050</v>
      </c>
      <c r="S785" s="23" t="s">
        <v>300</v>
      </c>
      <c r="T785" s="23" t="s">
        <v>3715</v>
      </c>
      <c r="U785" s="23" t="s">
        <v>3715</v>
      </c>
      <c r="V785" s="23" t="s">
        <v>298</v>
      </c>
      <c r="W785" s="23" t="s">
        <v>2710</v>
      </c>
      <c r="Y785" s="37">
        <v>21600</v>
      </c>
      <c r="Z785" s="23">
        <v>74</v>
      </c>
      <c r="AB785" s="23" t="s">
        <v>4051</v>
      </c>
      <c r="AC785" s="23" t="s">
        <v>3081</v>
      </c>
      <c r="AD785" s="118">
        <v>0</v>
      </c>
      <c r="AE785" s="118">
        <v>1</v>
      </c>
      <c r="AF785" s="23" t="s">
        <v>3181</v>
      </c>
      <c r="AG785" s="23" t="s">
        <v>1640</v>
      </c>
      <c r="AH785" s="39">
        <v>44378</v>
      </c>
    </row>
    <row r="786" spans="1:34">
      <c r="A786" s="72" t="s">
        <v>4063</v>
      </c>
      <c r="B786" s="23" t="s">
        <v>4052</v>
      </c>
      <c r="C786" s="140">
        <v>44378</v>
      </c>
      <c r="D786" s="23" t="s">
        <v>729</v>
      </c>
      <c r="E786" s="23" t="s">
        <v>2919</v>
      </c>
      <c r="F786" s="23" t="s">
        <v>1723</v>
      </c>
      <c r="G786" s="23" t="s">
        <v>1724</v>
      </c>
      <c r="Q786" s="141" t="s">
        <v>4053</v>
      </c>
      <c r="S786" s="23" t="s">
        <v>300</v>
      </c>
      <c r="T786" s="23" t="s">
        <v>3715</v>
      </c>
      <c r="U786" s="23" t="s">
        <v>3715</v>
      </c>
      <c r="V786" s="23" t="s">
        <v>298</v>
      </c>
      <c r="W786" s="23" t="s">
        <v>1716</v>
      </c>
      <c r="Y786" s="37">
        <v>5664</v>
      </c>
      <c r="Z786" s="23">
        <v>75</v>
      </c>
      <c r="AB786" s="23" t="s">
        <v>4054</v>
      </c>
      <c r="AC786" s="23" t="s">
        <v>2921</v>
      </c>
      <c r="AD786" s="118">
        <v>0</v>
      </c>
      <c r="AE786" s="118">
        <v>1</v>
      </c>
      <c r="AF786" s="23" t="s">
        <v>3181</v>
      </c>
      <c r="AG786" s="23" t="s">
        <v>1640</v>
      </c>
      <c r="AH786" s="39">
        <v>44378</v>
      </c>
    </row>
    <row r="787" spans="1:34" ht="64">
      <c r="A787" s="72" t="s">
        <v>4064</v>
      </c>
      <c r="B787" s="23" t="s">
        <v>4055</v>
      </c>
      <c r="C787" s="140">
        <v>44372</v>
      </c>
      <c r="D787" s="23" t="s">
        <v>729</v>
      </c>
      <c r="E787" s="23" t="s">
        <v>2919</v>
      </c>
      <c r="F787" s="23" t="s">
        <v>1723</v>
      </c>
      <c r="G787" s="23" t="s">
        <v>1724</v>
      </c>
      <c r="Q787" s="141" t="s">
        <v>4056</v>
      </c>
      <c r="S787" s="23" t="s">
        <v>300</v>
      </c>
      <c r="T787" s="23" t="s">
        <v>3715</v>
      </c>
      <c r="U787" s="23" t="s">
        <v>3715</v>
      </c>
      <c r="V787" s="23" t="s">
        <v>298</v>
      </c>
      <c r="W787" s="23" t="s">
        <v>3150</v>
      </c>
      <c r="Y787" s="38">
        <v>20800</v>
      </c>
      <c r="Z787" s="23">
        <v>60</v>
      </c>
      <c r="AB787" s="19" t="s">
        <v>4058</v>
      </c>
      <c r="AC787" s="23" t="s">
        <v>4057</v>
      </c>
      <c r="AD787" s="118"/>
      <c r="AE787" s="118"/>
      <c r="AF787" s="19" t="s">
        <v>4059</v>
      </c>
      <c r="AG787" s="23" t="s">
        <v>637</v>
      </c>
      <c r="AH787" s="39">
        <v>44378</v>
      </c>
    </row>
    <row r="788" spans="1:34">
      <c r="A788" s="72" t="s">
        <v>4066</v>
      </c>
      <c r="B788" s="23" t="s">
        <v>4067</v>
      </c>
      <c r="C788" s="140">
        <v>44379</v>
      </c>
      <c r="D788" s="23" t="s">
        <v>729</v>
      </c>
      <c r="E788" s="23" t="s">
        <v>2919</v>
      </c>
      <c r="F788" s="23" t="s">
        <v>1723</v>
      </c>
      <c r="G788" s="23" t="s">
        <v>1724</v>
      </c>
      <c r="Q788" s="141" t="s">
        <v>4056</v>
      </c>
      <c r="S788" s="23" t="s">
        <v>300</v>
      </c>
      <c r="T788" s="23" t="s">
        <v>3715</v>
      </c>
      <c r="U788" s="23" t="s">
        <v>3715</v>
      </c>
      <c r="V788" s="23" t="s">
        <v>298</v>
      </c>
      <c r="W788" s="23" t="s">
        <v>2710</v>
      </c>
      <c r="Y788" s="37">
        <v>24360</v>
      </c>
      <c r="Z788" s="23">
        <v>76</v>
      </c>
      <c r="AB788" s="23" t="s">
        <v>4068</v>
      </c>
      <c r="AC788" s="23" t="s">
        <v>2958</v>
      </c>
      <c r="AD788" s="118">
        <v>0</v>
      </c>
      <c r="AE788" s="118">
        <v>1</v>
      </c>
      <c r="AF788" s="23" t="s">
        <v>3181</v>
      </c>
      <c r="AG788" s="23" t="s">
        <v>1640</v>
      </c>
      <c r="AH788" s="39">
        <v>44380</v>
      </c>
    </row>
    <row r="789" spans="1:34">
      <c r="A789" s="72" t="s">
        <v>4069</v>
      </c>
      <c r="B789" s="23" t="s">
        <v>4070</v>
      </c>
      <c r="C789" s="140">
        <v>44376</v>
      </c>
      <c r="D789" s="23" t="s">
        <v>729</v>
      </c>
      <c r="E789" s="23" t="s">
        <v>752</v>
      </c>
      <c r="F789" s="23" t="s">
        <v>2969</v>
      </c>
      <c r="G789" s="23" t="s">
        <v>1724</v>
      </c>
      <c r="P789" s="23" t="s">
        <v>4071</v>
      </c>
      <c r="Q789" s="141" t="s">
        <v>4056</v>
      </c>
      <c r="S789" s="23" t="s">
        <v>300</v>
      </c>
      <c r="T789" s="23" t="s">
        <v>12031</v>
      </c>
      <c r="U789" s="23" t="s">
        <v>12031</v>
      </c>
      <c r="V789" s="23" t="s">
        <v>298</v>
      </c>
      <c r="W789" s="23" t="s">
        <v>425</v>
      </c>
      <c r="Y789" s="23">
        <v>25200</v>
      </c>
      <c r="Z789" s="23">
        <v>68</v>
      </c>
      <c r="AB789" s="23" t="s">
        <v>4072</v>
      </c>
      <c r="AC789" s="23" t="s">
        <v>4073</v>
      </c>
      <c r="AD789" s="118">
        <v>0</v>
      </c>
      <c r="AE789" s="118">
        <v>1</v>
      </c>
      <c r="AF789" s="23" t="s">
        <v>3297</v>
      </c>
      <c r="AG789" s="23" t="s">
        <v>665</v>
      </c>
      <c r="AH789" s="39">
        <v>44382</v>
      </c>
    </row>
    <row r="790" spans="1:34">
      <c r="A790" s="72" t="s">
        <v>4074</v>
      </c>
      <c r="B790" s="23" t="s">
        <v>4075</v>
      </c>
      <c r="C790" s="140">
        <v>44381</v>
      </c>
      <c r="D790" s="23" t="s">
        <v>729</v>
      </c>
      <c r="E790" s="23" t="s">
        <v>2919</v>
      </c>
      <c r="F790" s="23" t="s">
        <v>1723</v>
      </c>
      <c r="G790" s="23" t="s">
        <v>1724</v>
      </c>
      <c r="Q790" s="141" t="s">
        <v>4076</v>
      </c>
      <c r="S790" s="23" t="s">
        <v>300</v>
      </c>
      <c r="T790" s="23" t="s">
        <v>3715</v>
      </c>
      <c r="U790" s="23" t="s">
        <v>3715</v>
      </c>
      <c r="V790" s="23" t="s">
        <v>298</v>
      </c>
      <c r="W790" s="23" t="s">
        <v>4077</v>
      </c>
      <c r="Y790" s="37">
        <v>7740</v>
      </c>
      <c r="Z790" s="23">
        <v>75</v>
      </c>
      <c r="AB790" s="23" t="s">
        <v>4078</v>
      </c>
      <c r="AC790" s="23" t="s">
        <v>4079</v>
      </c>
      <c r="AD790" s="118">
        <v>0</v>
      </c>
      <c r="AE790" s="118">
        <v>2</v>
      </c>
      <c r="AF790" s="23" t="s">
        <v>3181</v>
      </c>
      <c r="AG790" s="23" t="s">
        <v>1640</v>
      </c>
      <c r="AH790" s="39">
        <v>44382</v>
      </c>
    </row>
    <row r="791" spans="1:34">
      <c r="A791" s="72" t="s">
        <v>4080</v>
      </c>
      <c r="B791" s="23" t="s">
        <v>4081</v>
      </c>
      <c r="C791" s="140">
        <v>44381</v>
      </c>
      <c r="F791" s="23" t="s">
        <v>1723</v>
      </c>
      <c r="G791" s="23" t="s">
        <v>1724</v>
      </c>
      <c r="Q791" s="141" t="s">
        <v>4076</v>
      </c>
      <c r="W791" s="23" t="s">
        <v>3288</v>
      </c>
      <c r="Y791" s="37">
        <v>7300</v>
      </c>
      <c r="Z791" s="23">
        <v>76.099999999999994</v>
      </c>
      <c r="AB791" s="23" t="s">
        <v>4082</v>
      </c>
      <c r="AC791" s="23" t="s">
        <v>4083</v>
      </c>
      <c r="AD791" s="118"/>
      <c r="AE791" s="118"/>
      <c r="AF791" s="23" t="s">
        <v>3181</v>
      </c>
      <c r="AG791" s="23" t="s">
        <v>637</v>
      </c>
      <c r="AH791" s="39">
        <v>44382</v>
      </c>
    </row>
    <row r="792" spans="1:34">
      <c r="A792" s="72" t="s">
        <v>4084</v>
      </c>
      <c r="B792" s="23" t="s">
        <v>4085</v>
      </c>
      <c r="C792" s="140">
        <v>44379</v>
      </c>
      <c r="D792" s="23" t="s">
        <v>729</v>
      </c>
      <c r="E792" s="23" t="s">
        <v>2919</v>
      </c>
      <c r="F792" s="23" t="s">
        <v>1723</v>
      </c>
      <c r="G792" s="23" t="s">
        <v>1724</v>
      </c>
      <c r="Q792" s="141" t="s">
        <v>4076</v>
      </c>
      <c r="S792" s="23" t="s">
        <v>300</v>
      </c>
      <c r="T792" s="23" t="s">
        <v>3715</v>
      </c>
      <c r="U792" s="23" t="s">
        <v>3715</v>
      </c>
      <c r="V792" s="23" t="s">
        <v>298</v>
      </c>
      <c r="W792" s="23" t="s">
        <v>3896</v>
      </c>
      <c r="Y792" s="37">
        <v>24795</v>
      </c>
      <c r="Z792" s="23">
        <v>68</v>
      </c>
      <c r="AB792" s="23" t="s">
        <v>4086</v>
      </c>
      <c r="AC792" s="23" t="s">
        <v>3898</v>
      </c>
      <c r="AD792" s="118">
        <v>0</v>
      </c>
      <c r="AE792" s="118">
        <v>4</v>
      </c>
      <c r="AF792" s="23" t="s">
        <v>3193</v>
      </c>
      <c r="AG792" s="23" t="s">
        <v>1845</v>
      </c>
      <c r="AH792" s="39">
        <v>44382</v>
      </c>
    </row>
    <row r="793" spans="1:34" ht="64">
      <c r="A793" s="72" t="s">
        <v>4087</v>
      </c>
      <c r="B793" s="23" t="s">
        <v>4088</v>
      </c>
      <c r="C793" s="140">
        <v>44379</v>
      </c>
      <c r="F793" s="23" t="s">
        <v>1723</v>
      </c>
      <c r="G793" s="23" t="s">
        <v>1724</v>
      </c>
      <c r="Q793" s="141" t="s">
        <v>4076</v>
      </c>
      <c r="W793" s="23" t="s">
        <v>2903</v>
      </c>
      <c r="Y793" s="37">
        <v>26700</v>
      </c>
      <c r="Z793" s="23">
        <v>132</v>
      </c>
      <c r="AB793" s="19" t="s">
        <v>4089</v>
      </c>
      <c r="AC793" s="23" t="s">
        <v>4090</v>
      </c>
      <c r="AD793" s="118"/>
      <c r="AE793" s="118"/>
      <c r="AF793" s="19" t="s">
        <v>3208</v>
      </c>
      <c r="AG793" s="23" t="s">
        <v>1921</v>
      </c>
      <c r="AH793" s="39">
        <v>44382</v>
      </c>
    </row>
    <row r="794" spans="1:34">
      <c r="A794" s="72" t="s">
        <v>4091</v>
      </c>
      <c r="B794" s="23" t="s">
        <v>4092</v>
      </c>
      <c r="C794" s="140">
        <v>44379</v>
      </c>
      <c r="F794" s="23" t="s">
        <v>1723</v>
      </c>
      <c r="G794" s="23" t="s">
        <v>1724</v>
      </c>
      <c r="Q794" s="141" t="s">
        <v>4076</v>
      </c>
      <c r="W794" s="23" t="s">
        <v>3288</v>
      </c>
      <c r="Y794" s="37">
        <v>7150</v>
      </c>
      <c r="Z794" s="23">
        <v>61.5</v>
      </c>
      <c r="AB794" s="23" t="s">
        <v>4093</v>
      </c>
      <c r="AC794" s="23" t="s">
        <v>3793</v>
      </c>
      <c r="AD794" s="118"/>
      <c r="AE794" s="118"/>
      <c r="AF794" s="23" t="s">
        <v>3193</v>
      </c>
      <c r="AG794" s="23" t="s">
        <v>1640</v>
      </c>
      <c r="AH794" s="39">
        <v>44382</v>
      </c>
    </row>
    <row r="795" spans="1:34">
      <c r="A795" s="72" t="s">
        <v>4094</v>
      </c>
      <c r="B795" s="23" t="s">
        <v>4095</v>
      </c>
      <c r="C795" s="140">
        <v>44355</v>
      </c>
      <c r="D795" s="23" t="s">
        <v>729</v>
      </c>
      <c r="E795" s="23" t="s">
        <v>752</v>
      </c>
      <c r="F795" s="23" t="s">
        <v>2969</v>
      </c>
      <c r="G795" s="23" t="s">
        <v>1724</v>
      </c>
      <c r="P795" s="23" t="s">
        <v>4096</v>
      </c>
      <c r="Q795" s="141" t="s">
        <v>4056</v>
      </c>
      <c r="S795" s="23" t="s">
        <v>4097</v>
      </c>
      <c r="T795" s="23" t="s">
        <v>12031</v>
      </c>
      <c r="U795" s="23" t="s">
        <v>12031</v>
      </c>
      <c r="V795" s="23" t="s">
        <v>298</v>
      </c>
      <c r="W795" s="23" t="s">
        <v>4098</v>
      </c>
      <c r="Y795" s="23">
        <v>1650</v>
      </c>
      <c r="Z795" s="23">
        <v>28</v>
      </c>
      <c r="AB795" s="23" t="s">
        <v>4099</v>
      </c>
      <c r="AC795" s="23" t="s">
        <v>131</v>
      </c>
      <c r="AD795" s="118">
        <v>1</v>
      </c>
      <c r="AE795" s="118">
        <v>0</v>
      </c>
      <c r="AF795" s="23" t="s">
        <v>3451</v>
      </c>
      <c r="AG795" s="23" t="s">
        <v>4100</v>
      </c>
      <c r="AH795" s="39">
        <v>44382</v>
      </c>
    </row>
    <row r="796" spans="1:34">
      <c r="A796" s="72" t="s">
        <v>4101</v>
      </c>
      <c r="B796" s="23" t="s">
        <v>4102</v>
      </c>
      <c r="C796" s="140">
        <v>44304</v>
      </c>
      <c r="D796" s="23" t="s">
        <v>729</v>
      </c>
      <c r="E796" s="23" t="s">
        <v>752</v>
      </c>
      <c r="F796" s="23" t="s">
        <v>2969</v>
      </c>
      <c r="P796" s="23" t="s">
        <v>3924</v>
      </c>
      <c r="Q796" s="141" t="s">
        <v>3925</v>
      </c>
      <c r="S796" s="23" t="s">
        <v>759</v>
      </c>
      <c r="T796" s="23" t="s">
        <v>12031</v>
      </c>
      <c r="U796" s="23" t="s">
        <v>12031</v>
      </c>
      <c r="V796" s="23" t="s">
        <v>298</v>
      </c>
      <c r="W796" s="23" t="s">
        <v>4103</v>
      </c>
      <c r="Y796" s="23">
        <v>2000</v>
      </c>
      <c r="Z796" s="23">
        <v>12</v>
      </c>
      <c r="AB796" s="23" t="s">
        <v>4104</v>
      </c>
      <c r="AC796" s="23" t="s">
        <v>131</v>
      </c>
      <c r="AD796" s="118">
        <v>1</v>
      </c>
      <c r="AE796" s="118">
        <v>0</v>
      </c>
      <c r="AF796" s="23" t="s">
        <v>3451</v>
      </c>
      <c r="AG796" s="23" t="s">
        <v>4105</v>
      </c>
      <c r="AH796" s="39">
        <v>44382</v>
      </c>
    </row>
    <row r="797" spans="1:34">
      <c r="A797" s="72" t="s">
        <v>4106</v>
      </c>
      <c r="B797" s="23" t="s">
        <v>4107</v>
      </c>
      <c r="C797" s="140">
        <v>44382</v>
      </c>
      <c r="D797" s="23" t="s">
        <v>729</v>
      </c>
      <c r="E797" s="23" t="s">
        <v>2919</v>
      </c>
      <c r="F797" s="23" t="s">
        <v>1723</v>
      </c>
      <c r="G797" s="23" t="s">
        <v>1724</v>
      </c>
      <c r="Q797" s="141" t="s">
        <v>4108</v>
      </c>
      <c r="S797" s="23" t="s">
        <v>300</v>
      </c>
      <c r="T797" s="23" t="s">
        <v>3715</v>
      </c>
      <c r="U797" s="23" t="s">
        <v>3715</v>
      </c>
      <c r="V797" s="23" t="s">
        <v>298</v>
      </c>
      <c r="W797" s="23" t="s">
        <v>3150</v>
      </c>
      <c r="Y797" s="37">
        <v>13200</v>
      </c>
      <c r="Z797" s="23">
        <v>72</v>
      </c>
      <c r="AB797" s="23" t="s">
        <v>4109</v>
      </c>
      <c r="AC797" s="23" t="s">
        <v>4110</v>
      </c>
      <c r="AD797" s="118">
        <v>0</v>
      </c>
      <c r="AE797" s="118">
        <v>1</v>
      </c>
      <c r="AF797" s="23" t="s">
        <v>3181</v>
      </c>
      <c r="AG797" s="23" t="s">
        <v>1640</v>
      </c>
      <c r="AH797" s="39">
        <v>44382</v>
      </c>
    </row>
    <row r="798" spans="1:34">
      <c r="A798" s="72" t="s">
        <v>4111</v>
      </c>
      <c r="B798" s="23" t="s">
        <v>4112</v>
      </c>
      <c r="C798" s="140">
        <v>44380</v>
      </c>
      <c r="D798" s="23" t="s">
        <v>729</v>
      </c>
      <c r="E798" s="23" t="s">
        <v>2919</v>
      </c>
      <c r="F798" s="23" t="s">
        <v>1723</v>
      </c>
      <c r="G798" s="23" t="s">
        <v>1724</v>
      </c>
      <c r="Q798" s="141" t="s">
        <v>4113</v>
      </c>
      <c r="S798" s="23" t="s">
        <v>300</v>
      </c>
      <c r="T798" s="23" t="s">
        <v>3715</v>
      </c>
      <c r="U798" s="23" t="s">
        <v>3715</v>
      </c>
      <c r="V798" s="23" t="s">
        <v>298</v>
      </c>
      <c r="W798" s="23" t="s">
        <v>3288</v>
      </c>
      <c r="Y798" s="37">
        <v>7150</v>
      </c>
      <c r="Z798" s="23">
        <v>61.5</v>
      </c>
      <c r="AB798" s="23" t="s">
        <v>4114</v>
      </c>
      <c r="AC798" s="23" t="s">
        <v>3793</v>
      </c>
      <c r="AD798" s="118">
        <v>0</v>
      </c>
      <c r="AE798" s="118">
        <v>3</v>
      </c>
      <c r="AF798" s="23" t="s">
        <v>3193</v>
      </c>
      <c r="AG798" s="23" t="s">
        <v>1640</v>
      </c>
      <c r="AH798" s="39">
        <v>44383</v>
      </c>
    </row>
    <row r="799" spans="1:34">
      <c r="A799" s="72" t="s">
        <v>4115</v>
      </c>
      <c r="B799" s="23" t="s">
        <v>4116</v>
      </c>
      <c r="C799" s="140">
        <v>44380</v>
      </c>
      <c r="F799" s="23" t="s">
        <v>1723</v>
      </c>
      <c r="G799" s="23" t="s">
        <v>1724</v>
      </c>
      <c r="Q799" s="141" t="s">
        <v>4113</v>
      </c>
      <c r="W799" s="23" t="s">
        <v>2903</v>
      </c>
      <c r="Y799" s="37">
        <v>13375</v>
      </c>
      <c r="Z799" s="23">
        <v>66</v>
      </c>
      <c r="AB799" s="23" t="s">
        <v>4117</v>
      </c>
      <c r="AC799" s="23" t="s">
        <v>3098</v>
      </c>
      <c r="AD799" s="118"/>
      <c r="AE799" s="118"/>
      <c r="AF799" s="23" t="s">
        <v>3193</v>
      </c>
      <c r="AG799" s="23" t="s">
        <v>2256</v>
      </c>
      <c r="AH799" s="39">
        <v>44383</v>
      </c>
    </row>
    <row r="800" spans="1:34">
      <c r="A800" s="72" t="s">
        <v>4122</v>
      </c>
      <c r="B800" s="23" t="s">
        <v>4118</v>
      </c>
      <c r="C800" s="140">
        <v>44380</v>
      </c>
      <c r="F800" s="23" t="s">
        <v>1723</v>
      </c>
      <c r="G800" s="23" t="s">
        <v>1724</v>
      </c>
      <c r="Q800" s="141" t="s">
        <v>4113</v>
      </c>
      <c r="W800" s="23" t="s">
        <v>4119</v>
      </c>
      <c r="Y800" s="37">
        <v>11850</v>
      </c>
      <c r="Z800" s="23">
        <v>55.6</v>
      </c>
      <c r="AB800" s="23" t="s">
        <v>4120</v>
      </c>
      <c r="AC800" s="23" t="s">
        <v>4121</v>
      </c>
      <c r="AD800" s="118"/>
      <c r="AE800" s="118"/>
      <c r="AF800" s="23" t="s">
        <v>3297</v>
      </c>
      <c r="AG800" s="23" t="s">
        <v>637</v>
      </c>
      <c r="AH800" s="39">
        <v>44383</v>
      </c>
    </row>
    <row r="801" spans="1:34">
      <c r="A801" s="72" t="s">
        <v>4123</v>
      </c>
      <c r="B801" s="23" t="s">
        <v>4124</v>
      </c>
      <c r="C801" s="140">
        <v>44383</v>
      </c>
      <c r="D801" s="23" t="s">
        <v>729</v>
      </c>
      <c r="E801" s="23" t="s">
        <v>2919</v>
      </c>
      <c r="F801" s="23" t="s">
        <v>1723</v>
      </c>
      <c r="G801" s="23" t="s">
        <v>1724</v>
      </c>
      <c r="Q801" s="141" t="s">
        <v>4125</v>
      </c>
      <c r="S801" s="23" t="s">
        <v>300</v>
      </c>
      <c r="T801" s="23" t="s">
        <v>3715</v>
      </c>
      <c r="U801" s="23" t="s">
        <v>3715</v>
      </c>
      <c r="V801" s="23" t="s">
        <v>298</v>
      </c>
      <c r="W801" s="23" t="s">
        <v>2710</v>
      </c>
      <c r="Y801" s="37">
        <v>21600</v>
      </c>
      <c r="Z801" s="23">
        <v>74</v>
      </c>
      <c r="AB801" s="23" t="s">
        <v>4126</v>
      </c>
      <c r="AC801" s="23" t="s">
        <v>3081</v>
      </c>
      <c r="AD801" s="118">
        <v>0</v>
      </c>
      <c r="AE801" s="118">
        <v>2</v>
      </c>
      <c r="AF801" s="23" t="s">
        <v>3181</v>
      </c>
      <c r="AG801" s="23" t="s">
        <v>1640</v>
      </c>
      <c r="AH801" s="39">
        <v>44384</v>
      </c>
    </row>
    <row r="802" spans="1:34">
      <c r="A802" s="72" t="s">
        <v>4127</v>
      </c>
      <c r="B802" s="23" t="s">
        <v>4128</v>
      </c>
      <c r="C802" s="140">
        <v>44383</v>
      </c>
      <c r="F802" s="23" t="s">
        <v>1723</v>
      </c>
      <c r="G802" s="23" t="s">
        <v>1724</v>
      </c>
      <c r="Q802" s="141" t="s">
        <v>4125</v>
      </c>
      <c r="W802" s="23" t="s">
        <v>3542</v>
      </c>
      <c r="Y802" s="37">
        <v>14340</v>
      </c>
      <c r="Z802" s="23">
        <v>75</v>
      </c>
      <c r="AB802" s="23" t="s">
        <v>4129</v>
      </c>
      <c r="AC802" s="23" t="s">
        <v>4130</v>
      </c>
      <c r="AD802" s="118"/>
      <c r="AE802" s="118"/>
      <c r="AF802" s="23" t="s">
        <v>3181</v>
      </c>
      <c r="AG802" s="23" t="s">
        <v>1640</v>
      </c>
      <c r="AH802" s="39">
        <v>44384</v>
      </c>
    </row>
    <row r="803" spans="1:34">
      <c r="A803" s="72" t="s">
        <v>4131</v>
      </c>
      <c r="B803" s="23" t="s">
        <v>4132</v>
      </c>
      <c r="C803" s="140">
        <v>44384</v>
      </c>
      <c r="D803" s="23" t="s">
        <v>729</v>
      </c>
      <c r="E803" s="23" t="s">
        <v>2919</v>
      </c>
      <c r="F803" s="23" t="s">
        <v>1723</v>
      </c>
      <c r="G803" s="23" t="s">
        <v>1724</v>
      </c>
      <c r="Q803" s="141" t="s">
        <v>4125</v>
      </c>
      <c r="S803" s="23" t="s">
        <v>300</v>
      </c>
      <c r="T803" s="23" t="s">
        <v>3715</v>
      </c>
      <c r="U803" s="23" t="s">
        <v>3715</v>
      </c>
      <c r="V803" s="23" t="s">
        <v>298</v>
      </c>
      <c r="W803" s="23" t="s">
        <v>3288</v>
      </c>
      <c r="Y803" s="37">
        <v>7200</v>
      </c>
      <c r="Z803" s="23">
        <v>75.8</v>
      </c>
      <c r="AB803" s="23" t="s">
        <v>4133</v>
      </c>
      <c r="AC803" s="23" t="s">
        <v>1756</v>
      </c>
      <c r="AD803" s="118">
        <v>0</v>
      </c>
      <c r="AE803" s="118">
        <v>1</v>
      </c>
      <c r="AF803" s="23" t="s">
        <v>3181</v>
      </c>
      <c r="AG803" s="23" t="s">
        <v>637</v>
      </c>
      <c r="AH803" s="39">
        <v>44385</v>
      </c>
    </row>
    <row r="804" spans="1:34">
      <c r="A804" s="72" t="s">
        <v>4134</v>
      </c>
      <c r="B804" s="23" t="s">
        <v>4136</v>
      </c>
      <c r="C804" s="140">
        <v>44377</v>
      </c>
      <c r="D804" s="23" t="s">
        <v>729</v>
      </c>
      <c r="E804" s="23" t="s">
        <v>752</v>
      </c>
      <c r="F804" s="23" t="s">
        <v>57</v>
      </c>
      <c r="G804" s="23" t="s">
        <v>57</v>
      </c>
      <c r="H804" s="23" t="s">
        <v>4137</v>
      </c>
      <c r="I804" s="23" t="s">
        <v>4137</v>
      </c>
      <c r="J804" s="140">
        <v>44376</v>
      </c>
      <c r="K804" s="23" t="s">
        <v>4138</v>
      </c>
      <c r="L804" s="140">
        <v>44379</v>
      </c>
      <c r="Q804" s="140">
        <v>44385</v>
      </c>
      <c r="S804" s="23" t="s">
        <v>183</v>
      </c>
      <c r="T804" s="23" t="s">
        <v>305</v>
      </c>
      <c r="U804" s="23" t="s">
        <v>305</v>
      </c>
      <c r="V804" s="23" t="s">
        <v>233</v>
      </c>
      <c r="W804" s="23" t="s">
        <v>112</v>
      </c>
      <c r="X804" s="23">
        <v>31212.400000000001</v>
      </c>
      <c r="Y804" s="23">
        <v>31421.200000000001</v>
      </c>
      <c r="Z804" s="23">
        <v>28746.62</v>
      </c>
      <c r="AA804" s="23">
        <v>26860.62</v>
      </c>
      <c r="AB804" s="23" t="s">
        <v>4139</v>
      </c>
      <c r="AC804" s="23" t="s">
        <v>791</v>
      </c>
      <c r="AD804" s="118">
        <v>0</v>
      </c>
      <c r="AE804" s="118">
        <v>2</v>
      </c>
      <c r="AG804" s="23" t="s">
        <v>792</v>
      </c>
      <c r="AH804" s="39">
        <v>44386</v>
      </c>
    </row>
    <row r="805" spans="1:34">
      <c r="A805" s="72" t="s">
        <v>4135</v>
      </c>
      <c r="B805" s="23" t="s">
        <v>4140</v>
      </c>
      <c r="C805" s="140">
        <v>44386</v>
      </c>
      <c r="D805" s="23" t="s">
        <v>729</v>
      </c>
      <c r="E805" s="23" t="s">
        <v>752</v>
      </c>
      <c r="F805" s="23" t="s">
        <v>57</v>
      </c>
      <c r="G805" s="23" t="s">
        <v>57</v>
      </c>
      <c r="H805" s="23" t="s">
        <v>4141</v>
      </c>
      <c r="I805" s="23" t="s">
        <v>4141</v>
      </c>
      <c r="J805" s="140">
        <v>44378</v>
      </c>
      <c r="S805" s="23" t="s">
        <v>184</v>
      </c>
      <c r="T805" s="23" t="s">
        <v>302</v>
      </c>
      <c r="U805" s="23" t="s">
        <v>302</v>
      </c>
      <c r="V805" s="23" t="s">
        <v>233</v>
      </c>
      <c r="W805" s="23" t="s">
        <v>271</v>
      </c>
      <c r="X805" s="23">
        <v>4337</v>
      </c>
      <c r="Y805" s="37">
        <v>4414</v>
      </c>
      <c r="Z805" s="23">
        <v>12032.2</v>
      </c>
      <c r="AB805" s="23" t="s">
        <v>4142</v>
      </c>
      <c r="AC805" s="23" t="s">
        <v>4143</v>
      </c>
      <c r="AD805" s="118">
        <v>1</v>
      </c>
      <c r="AE805" s="118">
        <v>0</v>
      </c>
      <c r="AG805" s="23" t="s">
        <v>787</v>
      </c>
      <c r="AH805" s="39">
        <v>44386</v>
      </c>
    </row>
    <row r="806" spans="1:34">
      <c r="A806" s="72" t="s">
        <v>4144</v>
      </c>
      <c r="B806" s="23" t="s">
        <v>4145</v>
      </c>
      <c r="C806" s="140">
        <v>44386</v>
      </c>
      <c r="D806" s="23" t="s">
        <v>729</v>
      </c>
      <c r="E806" s="23" t="s">
        <v>2919</v>
      </c>
      <c r="F806" s="23" t="s">
        <v>1723</v>
      </c>
      <c r="G806" s="23" t="s">
        <v>1724</v>
      </c>
      <c r="Q806" s="141" t="s">
        <v>4146</v>
      </c>
      <c r="S806" s="23" t="s">
        <v>300</v>
      </c>
      <c r="T806" s="23" t="s">
        <v>3715</v>
      </c>
      <c r="U806" s="23" t="s">
        <v>3715</v>
      </c>
      <c r="V806" s="23" t="s">
        <v>298</v>
      </c>
      <c r="W806" s="23" t="s">
        <v>2710</v>
      </c>
      <c r="Y806" s="37">
        <v>24000</v>
      </c>
      <c r="Z806" s="23">
        <v>76</v>
      </c>
      <c r="AB806" s="23" t="s">
        <v>4147</v>
      </c>
      <c r="AC806" s="23" t="s">
        <v>2712</v>
      </c>
      <c r="AD806" s="118">
        <v>0</v>
      </c>
      <c r="AE806" s="118">
        <v>2</v>
      </c>
      <c r="AF806" s="23" t="s">
        <v>3181</v>
      </c>
      <c r="AG806" s="23" t="s">
        <v>1640</v>
      </c>
      <c r="AH806" s="39">
        <v>44388</v>
      </c>
    </row>
    <row r="807" spans="1:34">
      <c r="A807" s="72" t="s">
        <v>4148</v>
      </c>
      <c r="B807" s="23" t="s">
        <v>4149</v>
      </c>
      <c r="C807" s="140">
        <v>44386</v>
      </c>
      <c r="F807" s="23" t="s">
        <v>1723</v>
      </c>
      <c r="G807" s="23" t="s">
        <v>1724</v>
      </c>
      <c r="Q807" s="141" t="s">
        <v>4146</v>
      </c>
      <c r="W807" s="23" t="s">
        <v>3288</v>
      </c>
      <c r="Y807" s="37">
        <v>7240</v>
      </c>
      <c r="Z807" s="23">
        <v>76</v>
      </c>
      <c r="AB807" s="23" t="s">
        <v>4150</v>
      </c>
      <c r="AC807" s="23" t="s">
        <v>4151</v>
      </c>
      <c r="AD807" s="118"/>
      <c r="AE807" s="118"/>
      <c r="AF807" s="23" t="s">
        <v>3181</v>
      </c>
      <c r="AG807" s="23" t="s">
        <v>637</v>
      </c>
      <c r="AH807" s="39">
        <v>44388</v>
      </c>
    </row>
    <row r="808" spans="1:34">
      <c r="A808" s="72" t="s">
        <v>4154</v>
      </c>
      <c r="B808" s="23" t="s">
        <v>4155</v>
      </c>
      <c r="C808" s="140">
        <v>44388</v>
      </c>
      <c r="D808" s="23" t="s">
        <v>729</v>
      </c>
      <c r="E808" s="23" t="s">
        <v>2919</v>
      </c>
      <c r="F808" s="23" t="s">
        <v>1723</v>
      </c>
      <c r="G808" s="23" t="s">
        <v>1724</v>
      </c>
      <c r="Q808" s="141" t="s">
        <v>4156</v>
      </c>
      <c r="S808" s="23" t="s">
        <v>300</v>
      </c>
      <c r="T808" s="23" t="s">
        <v>3715</v>
      </c>
      <c r="U808" s="23" t="s">
        <v>3715</v>
      </c>
      <c r="V808" s="23" t="s">
        <v>298</v>
      </c>
      <c r="W808" s="23" t="s">
        <v>4157</v>
      </c>
      <c r="Y808" s="37">
        <v>12640</v>
      </c>
      <c r="Z808" s="23">
        <v>74.599999999999994</v>
      </c>
      <c r="AB808" s="23" t="s">
        <v>4158</v>
      </c>
      <c r="AC808" s="23" t="s">
        <v>4159</v>
      </c>
      <c r="AD808" s="118">
        <v>0</v>
      </c>
      <c r="AE808" s="118">
        <v>1</v>
      </c>
      <c r="AF808" s="23" t="s">
        <v>3181</v>
      </c>
      <c r="AG808" s="23" t="s">
        <v>1640</v>
      </c>
      <c r="AH808" s="39">
        <v>44389</v>
      </c>
    </row>
    <row r="809" spans="1:34">
      <c r="A809" s="72" t="s">
        <v>4160</v>
      </c>
      <c r="B809" s="23" t="s">
        <v>4161</v>
      </c>
      <c r="C809" s="140">
        <v>44386</v>
      </c>
      <c r="D809" s="23" t="s">
        <v>729</v>
      </c>
      <c r="E809" s="23" t="s">
        <v>2919</v>
      </c>
      <c r="F809" s="23" t="s">
        <v>1723</v>
      </c>
      <c r="G809" s="23" t="s">
        <v>1724</v>
      </c>
      <c r="Q809" s="141" t="s">
        <v>4156</v>
      </c>
      <c r="S809" s="23" t="s">
        <v>300</v>
      </c>
      <c r="T809" s="23" t="s">
        <v>3715</v>
      </c>
      <c r="U809" s="23" t="s">
        <v>3715</v>
      </c>
      <c r="V809" s="23" t="s">
        <v>298</v>
      </c>
      <c r="W809" s="23" t="s">
        <v>4162</v>
      </c>
      <c r="Y809" s="37">
        <v>7134.1</v>
      </c>
      <c r="Z809" s="23">
        <v>60</v>
      </c>
      <c r="AB809" s="23" t="s">
        <v>4163</v>
      </c>
      <c r="AC809" s="23" t="s">
        <v>4164</v>
      </c>
      <c r="AD809" s="118">
        <v>0</v>
      </c>
      <c r="AE809" s="118">
        <v>1</v>
      </c>
      <c r="AF809" s="23" t="s">
        <v>3297</v>
      </c>
      <c r="AG809" s="23" t="s">
        <v>1921</v>
      </c>
      <c r="AH809" s="39">
        <v>44390</v>
      </c>
    </row>
    <row r="810" spans="1:34">
      <c r="A810" s="72" t="s">
        <v>4165</v>
      </c>
      <c r="B810" s="23" t="s">
        <v>4166</v>
      </c>
      <c r="C810" s="140">
        <v>44390</v>
      </c>
      <c r="D810" s="23" t="s">
        <v>729</v>
      </c>
      <c r="E810" s="23" t="s">
        <v>2919</v>
      </c>
      <c r="F810" s="23" t="s">
        <v>1723</v>
      </c>
      <c r="G810" s="23" t="s">
        <v>1724</v>
      </c>
      <c r="Q810" s="141" t="s">
        <v>4167</v>
      </c>
      <c r="S810" s="23" t="s">
        <v>300</v>
      </c>
      <c r="T810" s="23" t="s">
        <v>3715</v>
      </c>
      <c r="U810" s="23" t="s">
        <v>3715</v>
      </c>
      <c r="V810" s="23" t="s">
        <v>298</v>
      </c>
      <c r="W810" s="23" t="s">
        <v>3288</v>
      </c>
      <c r="Y810" s="37">
        <v>7160</v>
      </c>
      <c r="Z810" s="23">
        <v>75.8</v>
      </c>
      <c r="AB810" s="23" t="s">
        <v>4168</v>
      </c>
      <c r="AC810" s="23" t="s">
        <v>4169</v>
      </c>
      <c r="AD810" s="118">
        <v>0</v>
      </c>
      <c r="AE810" s="118">
        <v>2</v>
      </c>
      <c r="AF810" s="23" t="s">
        <v>3181</v>
      </c>
      <c r="AG810" s="23" t="s">
        <v>637</v>
      </c>
      <c r="AH810" s="39">
        <v>44391</v>
      </c>
    </row>
    <row r="811" spans="1:34">
      <c r="A811" s="72" t="s">
        <v>4170</v>
      </c>
      <c r="B811" s="23" t="s">
        <v>4171</v>
      </c>
      <c r="C811" s="140">
        <v>44390</v>
      </c>
      <c r="Q811" s="141" t="s">
        <v>4167</v>
      </c>
      <c r="W811" s="23" t="s">
        <v>3841</v>
      </c>
      <c r="Y811" s="37">
        <v>13960</v>
      </c>
      <c r="Z811" s="23">
        <v>75.2</v>
      </c>
      <c r="AB811" s="23" t="s">
        <v>4172</v>
      </c>
      <c r="AC811" s="23" t="s">
        <v>4173</v>
      </c>
      <c r="AD811" s="118"/>
      <c r="AE811" s="118"/>
      <c r="AF811" s="23" t="s">
        <v>3181</v>
      </c>
      <c r="AG811" s="23" t="s">
        <v>1640</v>
      </c>
      <c r="AH811" s="39">
        <v>44391</v>
      </c>
    </row>
    <row r="812" spans="1:34">
      <c r="A812" s="72" t="s">
        <v>4174</v>
      </c>
      <c r="B812" s="23" t="s">
        <v>4175</v>
      </c>
      <c r="C812" s="140">
        <v>44372</v>
      </c>
      <c r="D812" s="23" t="s">
        <v>729</v>
      </c>
      <c r="E812" s="23" t="s">
        <v>752</v>
      </c>
      <c r="F812" s="23" t="s">
        <v>2926</v>
      </c>
      <c r="G812" s="23" t="s">
        <v>2165</v>
      </c>
      <c r="P812" s="23" t="s">
        <v>4176</v>
      </c>
      <c r="Q812" s="141" t="s">
        <v>4177</v>
      </c>
      <c r="S812" s="23" t="s">
        <v>759</v>
      </c>
      <c r="T812" s="23" t="s">
        <v>12031</v>
      </c>
      <c r="U812" s="23" t="s">
        <v>12031</v>
      </c>
      <c r="V812" s="23" t="s">
        <v>298</v>
      </c>
      <c r="W812" s="23" t="s">
        <v>4179</v>
      </c>
      <c r="Y812" s="37">
        <v>2000</v>
      </c>
      <c r="Z812" s="23">
        <v>40</v>
      </c>
      <c r="AB812" s="23" t="s">
        <v>4178</v>
      </c>
      <c r="AC812" s="23" t="s">
        <v>131</v>
      </c>
      <c r="AD812" s="118">
        <v>0</v>
      </c>
      <c r="AE812" s="118">
        <v>1</v>
      </c>
      <c r="AF812" s="23" t="s">
        <v>3297</v>
      </c>
      <c r="AG812" s="23" t="s">
        <v>2928</v>
      </c>
      <c r="AH812" s="39">
        <v>44391</v>
      </c>
    </row>
    <row r="813" spans="1:34">
      <c r="A813" s="72" t="s">
        <v>4180</v>
      </c>
      <c r="B813" s="23" t="s">
        <v>4181</v>
      </c>
      <c r="C813" s="140">
        <v>44392</v>
      </c>
      <c r="D813" s="23" t="s">
        <v>729</v>
      </c>
      <c r="E813" s="23" t="s">
        <v>2919</v>
      </c>
      <c r="F813" s="23" t="s">
        <v>1723</v>
      </c>
      <c r="G813" s="23" t="s">
        <v>1724</v>
      </c>
      <c r="Q813" s="141" t="s">
        <v>4182</v>
      </c>
      <c r="S813" s="23" t="s">
        <v>300</v>
      </c>
      <c r="T813" s="23" t="s">
        <v>3715</v>
      </c>
      <c r="U813" s="23" t="s">
        <v>3715</v>
      </c>
      <c r="V813" s="23" t="s">
        <v>298</v>
      </c>
      <c r="W813" s="23" t="s">
        <v>1716</v>
      </c>
      <c r="Y813" s="37">
        <v>5664</v>
      </c>
      <c r="Z813" s="23">
        <v>74</v>
      </c>
      <c r="AB813" s="23" t="s">
        <v>4183</v>
      </c>
      <c r="AC813" s="23" t="s">
        <v>1718</v>
      </c>
      <c r="AD813" s="118">
        <v>0</v>
      </c>
      <c r="AE813" s="118">
        <v>1</v>
      </c>
      <c r="AF813" s="23" t="s">
        <v>3181</v>
      </c>
      <c r="AG813" s="23" t="s">
        <v>1640</v>
      </c>
      <c r="AH813" s="39">
        <v>44393</v>
      </c>
    </row>
    <row r="814" spans="1:34">
      <c r="A814" s="72" t="s">
        <v>4184</v>
      </c>
      <c r="B814" s="23" t="s">
        <v>4185</v>
      </c>
      <c r="C814" s="140">
        <v>44393</v>
      </c>
      <c r="D814" s="23" t="s">
        <v>729</v>
      </c>
      <c r="E814" s="23" t="s">
        <v>2919</v>
      </c>
      <c r="F814" s="23" t="s">
        <v>1723</v>
      </c>
      <c r="G814" s="23" t="s">
        <v>1724</v>
      </c>
      <c r="Q814" s="141" t="s">
        <v>4186</v>
      </c>
      <c r="S814" s="23" t="s">
        <v>300</v>
      </c>
      <c r="T814" s="23" t="s">
        <v>3715</v>
      </c>
      <c r="U814" s="23" t="s">
        <v>3715</v>
      </c>
      <c r="V814" s="23" t="s">
        <v>298</v>
      </c>
      <c r="W814" s="23" t="s">
        <v>1716</v>
      </c>
      <c r="Y814" s="37">
        <v>5696</v>
      </c>
      <c r="Z814" s="23">
        <v>74.099999999999994</v>
      </c>
      <c r="AB814" s="23" t="s">
        <v>4187</v>
      </c>
      <c r="AC814" s="23" t="s">
        <v>1779</v>
      </c>
      <c r="AD814" s="118">
        <v>0</v>
      </c>
      <c r="AE814" s="118">
        <v>2</v>
      </c>
      <c r="AF814" s="23" t="s">
        <v>3181</v>
      </c>
      <c r="AG814" s="23" t="s">
        <v>1640</v>
      </c>
      <c r="AH814" s="39">
        <v>44396</v>
      </c>
    </row>
    <row r="815" spans="1:34">
      <c r="A815" s="72" t="s">
        <v>4188</v>
      </c>
      <c r="B815" s="23" t="s">
        <v>4189</v>
      </c>
      <c r="C815" s="140">
        <v>44393</v>
      </c>
      <c r="F815" s="23" t="s">
        <v>1723</v>
      </c>
      <c r="G815" s="23" t="s">
        <v>1724</v>
      </c>
      <c r="Q815" s="141" t="s">
        <v>4186</v>
      </c>
      <c r="W815" s="23" t="s">
        <v>2710</v>
      </c>
      <c r="Y815" s="37">
        <v>21600</v>
      </c>
      <c r="Z815" s="23">
        <v>74</v>
      </c>
      <c r="AB815" s="23" t="s">
        <v>4191</v>
      </c>
      <c r="AC815" s="23" t="s">
        <v>3081</v>
      </c>
      <c r="AD815" s="118"/>
      <c r="AE815" s="118"/>
      <c r="AF815" s="23" t="s">
        <v>3181</v>
      </c>
      <c r="AG815" s="23" t="s">
        <v>1640</v>
      </c>
      <c r="AH815" s="39">
        <v>44396</v>
      </c>
    </row>
    <row r="816" spans="1:34">
      <c r="A816" s="72" t="s">
        <v>4192</v>
      </c>
      <c r="B816" s="23" t="s">
        <v>4193</v>
      </c>
      <c r="C816" s="140">
        <v>44395</v>
      </c>
      <c r="D816" s="23" t="s">
        <v>729</v>
      </c>
      <c r="E816" s="23" t="s">
        <v>2919</v>
      </c>
      <c r="F816" s="23" t="s">
        <v>1723</v>
      </c>
      <c r="G816" s="23" t="s">
        <v>1724</v>
      </c>
      <c r="Q816" s="141" t="s">
        <v>4190</v>
      </c>
      <c r="S816" s="23" t="s">
        <v>300</v>
      </c>
      <c r="T816" s="23" t="s">
        <v>3715</v>
      </c>
      <c r="U816" s="23" t="s">
        <v>3715</v>
      </c>
      <c r="V816" s="23" t="s">
        <v>298</v>
      </c>
      <c r="W816" s="23" t="s">
        <v>3288</v>
      </c>
      <c r="Y816" s="37">
        <v>7180</v>
      </c>
      <c r="Z816" s="23">
        <v>75.900000000000006</v>
      </c>
      <c r="AB816" s="23" t="s">
        <v>4194</v>
      </c>
      <c r="AC816" s="23" t="s">
        <v>4195</v>
      </c>
      <c r="AD816" s="118">
        <v>0</v>
      </c>
      <c r="AE816" s="118">
        <v>1</v>
      </c>
      <c r="AF816" s="23" t="s">
        <v>3181</v>
      </c>
      <c r="AG816" s="23" t="s">
        <v>637</v>
      </c>
      <c r="AH816" s="39">
        <v>44396</v>
      </c>
    </row>
    <row r="817" spans="1:39">
      <c r="A817" s="72" t="s">
        <v>4197</v>
      </c>
      <c r="B817" s="23" t="s">
        <v>4198</v>
      </c>
      <c r="C817" s="140">
        <v>44350</v>
      </c>
      <c r="D817" s="23" t="s">
        <v>729</v>
      </c>
      <c r="E817" s="23" t="s">
        <v>752</v>
      </c>
      <c r="F817" s="23" t="s">
        <v>2926</v>
      </c>
      <c r="G817" s="23" t="s">
        <v>2165</v>
      </c>
      <c r="P817" s="23" t="s">
        <v>4199</v>
      </c>
      <c r="Q817" s="141" t="s">
        <v>4190</v>
      </c>
      <c r="S817" s="23" t="s">
        <v>2787</v>
      </c>
      <c r="T817" s="23" t="s">
        <v>12031</v>
      </c>
      <c r="U817" s="23" t="s">
        <v>12031</v>
      </c>
      <c r="V817" s="23" t="s">
        <v>298</v>
      </c>
      <c r="W817" s="23" t="s">
        <v>3780</v>
      </c>
      <c r="Y817" s="37">
        <v>1800</v>
      </c>
      <c r="AB817" s="23" t="s">
        <v>4200</v>
      </c>
      <c r="AC817" s="23" t="s">
        <v>4201</v>
      </c>
      <c r="AD817" s="118">
        <v>0</v>
      </c>
      <c r="AE817" s="118">
        <v>1</v>
      </c>
      <c r="AF817" s="23" t="s">
        <v>3193</v>
      </c>
      <c r="AG817" s="23" t="s">
        <v>3782</v>
      </c>
      <c r="AH817" s="39">
        <v>44396</v>
      </c>
    </row>
    <row r="818" spans="1:39">
      <c r="A818" s="72" t="s">
        <v>4202</v>
      </c>
      <c r="B818" s="23" t="s">
        <v>4203</v>
      </c>
      <c r="C818" s="140">
        <v>44394</v>
      </c>
      <c r="D818" s="23" t="s">
        <v>729</v>
      </c>
      <c r="E818" s="23" t="s">
        <v>2919</v>
      </c>
      <c r="F818" s="23" t="s">
        <v>1723</v>
      </c>
      <c r="G818" s="23" t="s">
        <v>1724</v>
      </c>
      <c r="Q818" s="141" t="s">
        <v>4190</v>
      </c>
      <c r="S818" s="23" t="s">
        <v>300</v>
      </c>
      <c r="T818" s="23" t="s">
        <v>3715</v>
      </c>
      <c r="U818" s="23" t="s">
        <v>3715</v>
      </c>
      <c r="V818" s="23" t="s">
        <v>298</v>
      </c>
      <c r="W818" s="23" t="s">
        <v>3841</v>
      </c>
      <c r="Y818" s="37">
        <v>7430</v>
      </c>
      <c r="Z818" s="23">
        <v>27.23</v>
      </c>
      <c r="AB818" s="23" t="s">
        <v>4204</v>
      </c>
      <c r="AC818" s="23" t="s">
        <v>4206</v>
      </c>
      <c r="AD818" s="118">
        <v>1</v>
      </c>
      <c r="AE818" s="118">
        <v>1</v>
      </c>
      <c r="AF818" s="23" t="s">
        <v>4205</v>
      </c>
      <c r="AG818" s="23" t="s">
        <v>1640</v>
      </c>
      <c r="AH818" s="39">
        <v>44396</v>
      </c>
    </row>
    <row r="819" spans="1:39">
      <c r="A819" s="72" t="s">
        <v>4208</v>
      </c>
      <c r="B819" s="23" t="s">
        <v>4209</v>
      </c>
      <c r="C819" s="140">
        <v>44394</v>
      </c>
      <c r="F819" s="23" t="s">
        <v>1723</v>
      </c>
      <c r="G819" s="23" t="s">
        <v>1724</v>
      </c>
      <c r="Q819" s="141" t="s">
        <v>4190</v>
      </c>
      <c r="W819" s="23" t="s">
        <v>1716</v>
      </c>
      <c r="Y819" s="37">
        <v>5664</v>
      </c>
      <c r="Z819" s="23">
        <v>70.257999999999996</v>
      </c>
      <c r="AB819" s="23" t="s">
        <v>4210</v>
      </c>
      <c r="AD819" s="118"/>
      <c r="AE819" s="118"/>
      <c r="AF819" s="23" t="s">
        <v>3297</v>
      </c>
      <c r="AG819" s="23" t="s">
        <v>1640</v>
      </c>
      <c r="AH819" s="39">
        <v>44396</v>
      </c>
    </row>
    <row r="820" spans="1:39">
      <c r="A820" s="72" t="s">
        <v>4207</v>
      </c>
      <c r="B820" s="23" t="s">
        <v>4211</v>
      </c>
      <c r="C820" s="140">
        <v>44393</v>
      </c>
      <c r="D820" s="23" t="s">
        <v>729</v>
      </c>
      <c r="E820" s="23" t="s">
        <v>752</v>
      </c>
      <c r="F820" s="23" t="s">
        <v>4212</v>
      </c>
      <c r="G820" s="23" t="s">
        <v>1724</v>
      </c>
      <c r="P820" s="23" t="s">
        <v>4219</v>
      </c>
      <c r="Q820" s="141" t="s">
        <v>4186</v>
      </c>
      <c r="S820" s="23" t="s">
        <v>1444</v>
      </c>
      <c r="T820" s="23" t="s">
        <v>12031</v>
      </c>
      <c r="U820" s="23" t="s">
        <v>12031</v>
      </c>
      <c r="V820" s="23" t="s">
        <v>298</v>
      </c>
      <c r="W820" s="23" t="s">
        <v>4213</v>
      </c>
      <c r="Y820" s="37">
        <v>5440</v>
      </c>
      <c r="Z820" s="23">
        <v>26.446999999999999</v>
      </c>
      <c r="AB820" s="23" t="s">
        <v>4214</v>
      </c>
      <c r="AC820" s="23" t="s">
        <v>4215</v>
      </c>
      <c r="AD820" s="118">
        <v>1</v>
      </c>
      <c r="AE820" s="118">
        <v>0</v>
      </c>
      <c r="AF820" s="23" t="s">
        <v>3451</v>
      </c>
      <c r="AG820" s="23" t="s">
        <v>4216</v>
      </c>
      <c r="AH820" s="39">
        <v>44396</v>
      </c>
      <c r="AJ820" s="75" t="s">
        <v>5314</v>
      </c>
      <c r="AL820" s="23" t="s">
        <v>5316</v>
      </c>
      <c r="AM820" s="102">
        <v>44399</v>
      </c>
    </row>
    <row r="821" spans="1:39">
      <c r="A821" s="72" t="s">
        <v>4217</v>
      </c>
      <c r="B821" s="23" t="s">
        <v>4218</v>
      </c>
      <c r="C821" s="140">
        <v>44393</v>
      </c>
      <c r="F821" s="23" t="s">
        <v>4212</v>
      </c>
      <c r="G821" s="23" t="s">
        <v>1724</v>
      </c>
      <c r="Q821" s="141" t="s">
        <v>4186</v>
      </c>
      <c r="W821" s="23" t="s">
        <v>4220</v>
      </c>
      <c r="Y821" s="37">
        <v>250</v>
      </c>
      <c r="Z821" s="23">
        <v>1.0449999999999999</v>
      </c>
      <c r="AC821" s="23" t="s">
        <v>4221</v>
      </c>
      <c r="AD821" s="118"/>
      <c r="AE821" s="118"/>
      <c r="AG821" s="23" t="s">
        <v>4216</v>
      </c>
      <c r="AH821" s="39">
        <v>44396</v>
      </c>
      <c r="AJ821" s="75" t="s">
        <v>5314</v>
      </c>
      <c r="AL821" s="23" t="s">
        <v>5315</v>
      </c>
      <c r="AM821" s="102">
        <v>44399</v>
      </c>
    </row>
    <row r="822" spans="1:39">
      <c r="A822" s="72" t="s">
        <v>4222</v>
      </c>
      <c r="B822" s="23" t="s">
        <v>4223</v>
      </c>
      <c r="C822" s="140">
        <v>44397</v>
      </c>
      <c r="D822" s="23" t="s">
        <v>729</v>
      </c>
      <c r="E822" s="23" t="s">
        <v>2919</v>
      </c>
      <c r="F822" s="23" t="s">
        <v>1723</v>
      </c>
      <c r="G822" s="23" t="s">
        <v>1724</v>
      </c>
      <c r="Q822" s="141" t="s">
        <v>4224</v>
      </c>
      <c r="S822" s="23" t="s">
        <v>300</v>
      </c>
      <c r="T822" s="23" t="s">
        <v>3715</v>
      </c>
      <c r="U822" s="23" t="s">
        <v>3715</v>
      </c>
      <c r="V822" s="23" t="s">
        <v>298</v>
      </c>
      <c r="W822" s="23" t="s">
        <v>2710</v>
      </c>
      <c r="Y822" s="37">
        <v>24000</v>
      </c>
      <c r="Z822" s="23">
        <v>76</v>
      </c>
      <c r="AB822" s="23" t="s">
        <v>4225</v>
      </c>
      <c r="AC822" s="23" t="s">
        <v>2712</v>
      </c>
      <c r="AD822" s="118">
        <v>0</v>
      </c>
      <c r="AE822" s="118">
        <v>1</v>
      </c>
      <c r="AF822" s="23" t="s">
        <v>3181</v>
      </c>
      <c r="AG822" s="23" t="s">
        <v>1640</v>
      </c>
      <c r="AH822" s="39">
        <v>44398</v>
      </c>
    </row>
    <row r="823" spans="1:39">
      <c r="A823" s="72" t="s">
        <v>4226</v>
      </c>
      <c r="B823" s="23" t="s">
        <v>4237</v>
      </c>
      <c r="C823" s="140">
        <v>44371</v>
      </c>
      <c r="D823" s="23" t="s">
        <v>729</v>
      </c>
      <c r="E823" s="23" t="s">
        <v>752</v>
      </c>
      <c r="F823" s="23" t="s">
        <v>3702</v>
      </c>
      <c r="G823" s="23" t="s">
        <v>3711</v>
      </c>
      <c r="H823" s="23" t="s">
        <v>4238</v>
      </c>
      <c r="I823" s="23" t="s">
        <v>4238</v>
      </c>
      <c r="J823" s="140">
        <v>44354</v>
      </c>
      <c r="K823" s="23" t="s">
        <v>4239</v>
      </c>
      <c r="L823" s="140">
        <v>44385</v>
      </c>
      <c r="P823" s="23" t="s">
        <v>4240</v>
      </c>
      <c r="Q823" s="140">
        <v>44403</v>
      </c>
      <c r="S823" s="23" t="s">
        <v>300</v>
      </c>
      <c r="T823" s="23" t="s">
        <v>12031</v>
      </c>
      <c r="U823" s="23" t="s">
        <v>12031</v>
      </c>
      <c r="V823" s="23" t="s">
        <v>299</v>
      </c>
      <c r="W823" s="23" t="s">
        <v>4241</v>
      </c>
      <c r="Y823" s="37">
        <v>11705</v>
      </c>
      <c r="Z823" s="23">
        <v>77.582999999999998</v>
      </c>
      <c r="AC823" s="59">
        <v>5</v>
      </c>
      <c r="AD823" s="118"/>
      <c r="AE823" s="118"/>
      <c r="AG823" s="23" t="s">
        <v>4023</v>
      </c>
      <c r="AH823" s="39">
        <v>44398</v>
      </c>
      <c r="AI823" s="53" t="s">
        <v>3711</v>
      </c>
    </row>
    <row r="824" spans="1:39">
      <c r="A824" s="72" t="s">
        <v>4227</v>
      </c>
      <c r="B824" s="23" t="s">
        <v>4242</v>
      </c>
      <c r="C824" s="140">
        <v>44378</v>
      </c>
      <c r="D824" s="23" t="s">
        <v>729</v>
      </c>
      <c r="E824" s="23" t="s">
        <v>752</v>
      </c>
      <c r="F824" s="23" t="s">
        <v>3702</v>
      </c>
      <c r="G824" s="23" t="s">
        <v>3711</v>
      </c>
      <c r="H824" s="23" t="s">
        <v>4243</v>
      </c>
      <c r="I824" s="23" t="s">
        <v>4243</v>
      </c>
      <c r="J824" s="140">
        <v>44378</v>
      </c>
      <c r="K824" s="23" t="s">
        <v>4244</v>
      </c>
      <c r="L824" s="140">
        <v>44383</v>
      </c>
      <c r="P824" s="23" t="s">
        <v>4240</v>
      </c>
      <c r="Q824" s="140">
        <v>44403</v>
      </c>
      <c r="S824" s="23" t="s">
        <v>300</v>
      </c>
      <c r="T824" s="23" t="s">
        <v>12031</v>
      </c>
      <c r="U824" s="23" t="s">
        <v>12031</v>
      </c>
      <c r="V824" s="23" t="s">
        <v>299</v>
      </c>
      <c r="W824" s="23" t="s">
        <v>4017</v>
      </c>
      <c r="Y824" s="37">
        <v>6250</v>
      </c>
      <c r="Z824" s="23">
        <v>57.087000000000003</v>
      </c>
      <c r="AC824" s="23">
        <v>5</v>
      </c>
      <c r="AD824" s="118"/>
      <c r="AE824" s="118"/>
      <c r="AG824" s="23" t="s">
        <v>4018</v>
      </c>
      <c r="AH824" s="39">
        <v>44398</v>
      </c>
      <c r="AI824" s="53" t="s">
        <v>3711</v>
      </c>
    </row>
    <row r="825" spans="1:39">
      <c r="A825" s="72" t="s">
        <v>4228</v>
      </c>
      <c r="B825" s="23" t="s">
        <v>4229</v>
      </c>
      <c r="C825" s="140">
        <v>44393</v>
      </c>
      <c r="D825" s="23" t="s">
        <v>729</v>
      </c>
      <c r="E825" s="23" t="s">
        <v>2919</v>
      </c>
      <c r="F825" s="23" t="s">
        <v>1723</v>
      </c>
      <c r="G825" s="23" t="s">
        <v>1724</v>
      </c>
      <c r="Q825" s="141" t="s">
        <v>4224</v>
      </c>
      <c r="S825" s="23" t="s">
        <v>300</v>
      </c>
      <c r="T825" s="23" t="s">
        <v>3715</v>
      </c>
      <c r="U825" s="23" t="s">
        <v>3715</v>
      </c>
      <c r="V825" s="23" t="s">
        <v>298</v>
      </c>
      <c r="W825" s="23" t="s">
        <v>2903</v>
      </c>
      <c r="Y825" s="37">
        <v>13375</v>
      </c>
      <c r="Z825" s="23">
        <v>67.900000000000006</v>
      </c>
      <c r="AB825" s="23" t="s">
        <v>4230</v>
      </c>
      <c r="AC825" s="23" t="s">
        <v>3098</v>
      </c>
      <c r="AD825" s="118">
        <v>0</v>
      </c>
      <c r="AE825" s="118">
        <v>3</v>
      </c>
      <c r="AF825" s="23" t="s">
        <v>3193</v>
      </c>
      <c r="AG825" s="23" t="s">
        <v>666</v>
      </c>
      <c r="AH825" s="39">
        <v>44398</v>
      </c>
    </row>
    <row r="826" spans="1:39">
      <c r="A826" s="72" t="s">
        <v>4231</v>
      </c>
      <c r="B826" s="23" t="s">
        <v>4232</v>
      </c>
      <c r="C826" s="140">
        <v>44395</v>
      </c>
      <c r="F826" s="23" t="s">
        <v>1723</v>
      </c>
      <c r="G826" s="23" t="s">
        <v>1724</v>
      </c>
      <c r="Q826" s="141" t="s">
        <v>4224</v>
      </c>
      <c r="W826" s="23" t="s">
        <v>3288</v>
      </c>
      <c r="Y826" s="37">
        <v>7150</v>
      </c>
      <c r="Z826" s="23">
        <v>61.5</v>
      </c>
      <c r="AB826" s="23" t="s">
        <v>4233</v>
      </c>
      <c r="AC826" s="23" t="s">
        <v>3793</v>
      </c>
      <c r="AD826" s="118"/>
      <c r="AE826" s="118"/>
      <c r="AF826" s="23" t="s">
        <v>3193</v>
      </c>
      <c r="AG826" s="23" t="s">
        <v>1640</v>
      </c>
      <c r="AH826" s="39">
        <v>44398</v>
      </c>
    </row>
    <row r="827" spans="1:39">
      <c r="A827" s="72" t="s">
        <v>4234</v>
      </c>
      <c r="B827" s="23" t="s">
        <v>4235</v>
      </c>
      <c r="C827" s="140">
        <v>44398</v>
      </c>
      <c r="F827" s="23" t="s">
        <v>1723</v>
      </c>
      <c r="G827" s="23" t="s">
        <v>1724</v>
      </c>
      <c r="Q827" s="141" t="s">
        <v>4224</v>
      </c>
      <c r="W827" s="23" t="s">
        <v>1716</v>
      </c>
      <c r="Y827" s="37">
        <v>5680</v>
      </c>
      <c r="Z827" s="23">
        <v>66</v>
      </c>
      <c r="AB827" s="23" t="s">
        <v>4236</v>
      </c>
      <c r="AC827" s="23" t="s">
        <v>2900</v>
      </c>
      <c r="AD827" s="118"/>
      <c r="AE827" s="118"/>
      <c r="AF827" s="23" t="s">
        <v>3193</v>
      </c>
      <c r="AG827" s="23" t="s">
        <v>1640</v>
      </c>
      <c r="AH827" s="39">
        <v>44398</v>
      </c>
    </row>
    <row r="828" spans="1:39">
      <c r="A828" s="72" t="s">
        <v>4245</v>
      </c>
      <c r="B828" s="23" t="s">
        <v>4246</v>
      </c>
      <c r="C828" s="140">
        <v>44398</v>
      </c>
      <c r="D828" s="23" t="s">
        <v>729</v>
      </c>
      <c r="E828" s="23" t="s">
        <v>2919</v>
      </c>
      <c r="F828" s="23" t="s">
        <v>1723</v>
      </c>
      <c r="G828" s="23" t="s">
        <v>1724</v>
      </c>
      <c r="Q828" s="141" t="s">
        <v>4247</v>
      </c>
      <c r="S828" s="23" t="s">
        <v>300</v>
      </c>
      <c r="T828" s="23" t="s">
        <v>3715</v>
      </c>
      <c r="U828" s="23" t="s">
        <v>3715</v>
      </c>
      <c r="V828" s="23" t="s">
        <v>298</v>
      </c>
      <c r="W828" s="23" t="s">
        <v>3841</v>
      </c>
      <c r="Y828" s="37">
        <v>14000</v>
      </c>
      <c r="Z828" s="23">
        <v>75.400000000000006</v>
      </c>
      <c r="AB828" s="23" t="s">
        <v>4248</v>
      </c>
      <c r="AC828" s="23" t="s">
        <v>4249</v>
      </c>
      <c r="AD828" s="118">
        <v>0</v>
      </c>
      <c r="AE828" s="118">
        <v>1</v>
      </c>
      <c r="AF828" s="23" t="s">
        <v>3181</v>
      </c>
      <c r="AG828" s="23" t="s">
        <v>1640</v>
      </c>
      <c r="AH828" s="39">
        <v>44399</v>
      </c>
    </row>
    <row r="829" spans="1:39" ht="96">
      <c r="A829" s="72" t="s">
        <v>4250</v>
      </c>
      <c r="B829" s="23">
        <v>211585639</v>
      </c>
      <c r="C829" s="140">
        <v>44386</v>
      </c>
      <c r="D829" s="23" t="s">
        <v>729</v>
      </c>
      <c r="E829" s="23" t="s">
        <v>752</v>
      </c>
      <c r="F829" s="23" t="s">
        <v>4251</v>
      </c>
      <c r="G829" s="23" t="s">
        <v>5538</v>
      </c>
      <c r="H829" s="23" t="s">
        <v>4252</v>
      </c>
      <c r="I829" s="39" t="s">
        <v>4252</v>
      </c>
      <c r="J829" s="140">
        <v>44361</v>
      </c>
      <c r="S829" s="23" t="s">
        <v>300</v>
      </c>
      <c r="T829" s="23" t="s">
        <v>12031</v>
      </c>
      <c r="U829" s="23" t="s">
        <v>12031</v>
      </c>
      <c r="V829" s="23" t="s">
        <v>299</v>
      </c>
      <c r="W829" s="23" t="s">
        <v>4253</v>
      </c>
      <c r="Y829" s="37">
        <v>35640</v>
      </c>
      <c r="Z829" s="23">
        <v>320.00400000000002</v>
      </c>
      <c r="AB829" s="60" t="s">
        <v>4254</v>
      </c>
      <c r="AC829" s="23">
        <v>18</v>
      </c>
      <c r="AD829" s="118">
        <v>0</v>
      </c>
      <c r="AE829" s="118">
        <v>6</v>
      </c>
      <c r="AG829" s="23" t="s">
        <v>3856</v>
      </c>
      <c r="AH829" s="39">
        <v>44399</v>
      </c>
      <c r="AI829" s="53" t="s">
        <v>4255</v>
      </c>
    </row>
    <row r="830" spans="1:39">
      <c r="A830" s="72" t="s">
        <v>4256</v>
      </c>
      <c r="B830" s="23" t="s">
        <v>4257</v>
      </c>
      <c r="C830" s="140">
        <v>44400</v>
      </c>
      <c r="D830" s="23" t="s">
        <v>729</v>
      </c>
      <c r="E830" s="23" t="s">
        <v>2919</v>
      </c>
      <c r="F830" s="23" t="s">
        <v>1723</v>
      </c>
      <c r="G830" s="23" t="s">
        <v>1724</v>
      </c>
      <c r="Q830" s="141" t="s">
        <v>4258</v>
      </c>
      <c r="S830" s="23" t="s">
        <v>300</v>
      </c>
      <c r="T830" s="23" t="s">
        <v>3715</v>
      </c>
      <c r="U830" s="23" t="s">
        <v>3715</v>
      </c>
      <c r="V830" s="23" t="s">
        <v>298</v>
      </c>
      <c r="W830" s="23" t="s">
        <v>4259</v>
      </c>
      <c r="Y830" s="37">
        <v>18040</v>
      </c>
      <c r="Z830" s="23">
        <v>74.599999999999994</v>
      </c>
      <c r="AB830" s="23" t="s">
        <v>4260</v>
      </c>
      <c r="AC830" s="23" t="s">
        <v>4261</v>
      </c>
      <c r="AD830" s="118">
        <v>0</v>
      </c>
      <c r="AE830" s="118">
        <v>1</v>
      </c>
      <c r="AF830" s="23" t="s">
        <v>3181</v>
      </c>
      <c r="AG830" s="23" t="s">
        <v>1640</v>
      </c>
      <c r="AH830" s="39">
        <v>44402</v>
      </c>
    </row>
    <row r="831" spans="1:39">
      <c r="A831" s="72" t="s">
        <v>4262</v>
      </c>
      <c r="B831" s="23" t="s">
        <v>4263</v>
      </c>
      <c r="C831" s="140">
        <v>44392</v>
      </c>
      <c r="D831" s="23" t="s">
        <v>729</v>
      </c>
      <c r="E831" s="23" t="s">
        <v>752</v>
      </c>
      <c r="F831" s="23" t="s">
        <v>57</v>
      </c>
      <c r="G831" s="23" t="s">
        <v>57</v>
      </c>
      <c r="H831" s="23" t="s">
        <v>4264</v>
      </c>
      <c r="I831" s="23" t="s">
        <v>4264</v>
      </c>
      <c r="J831" s="140">
        <v>44390</v>
      </c>
      <c r="K831" s="23" t="s">
        <v>4265</v>
      </c>
      <c r="L831" s="140">
        <v>44396</v>
      </c>
      <c r="Q831" s="140">
        <v>44401</v>
      </c>
      <c r="S831" s="23" t="s">
        <v>183</v>
      </c>
      <c r="T831" s="23" t="s">
        <v>305</v>
      </c>
      <c r="U831" s="23" t="s">
        <v>305</v>
      </c>
      <c r="V831" s="23" t="s">
        <v>233</v>
      </c>
      <c r="W831" s="23" t="s">
        <v>112</v>
      </c>
      <c r="X831" s="23">
        <v>31056.400000000001</v>
      </c>
      <c r="Y831" s="23">
        <v>31265.200000000001</v>
      </c>
      <c r="Z831" s="23">
        <v>28602.94</v>
      </c>
      <c r="AA831" s="23">
        <v>26716.94</v>
      </c>
      <c r="AB831" s="23" t="s">
        <v>4266</v>
      </c>
      <c r="AC831" s="23" t="s">
        <v>791</v>
      </c>
      <c r="AD831" s="118">
        <v>0</v>
      </c>
      <c r="AE831" s="118">
        <v>2</v>
      </c>
      <c r="AF831" s="23" t="s">
        <v>20</v>
      </c>
      <c r="AG831" s="23" t="s">
        <v>792</v>
      </c>
      <c r="AH831" s="39">
        <v>44403</v>
      </c>
    </row>
    <row r="832" spans="1:39">
      <c r="A832" s="72" t="s">
        <v>4267</v>
      </c>
      <c r="B832" s="23" t="s">
        <v>4268</v>
      </c>
      <c r="C832" s="140">
        <v>44400</v>
      </c>
      <c r="D832" s="23" t="s">
        <v>729</v>
      </c>
      <c r="E832" s="23" t="s">
        <v>2919</v>
      </c>
      <c r="F832" s="23" t="s">
        <v>1723</v>
      </c>
      <c r="G832" s="23" t="s">
        <v>1724</v>
      </c>
      <c r="Q832" s="141" t="s">
        <v>4269</v>
      </c>
      <c r="S832" s="23" t="s">
        <v>300</v>
      </c>
      <c r="T832" s="23" t="s">
        <v>3715</v>
      </c>
      <c r="U832" s="23" t="s">
        <v>3715</v>
      </c>
      <c r="V832" s="23" t="s">
        <v>298</v>
      </c>
      <c r="W832" s="23" t="s">
        <v>3288</v>
      </c>
      <c r="Y832" s="37">
        <v>7210</v>
      </c>
      <c r="Z832" s="23">
        <v>75.900000000000006</v>
      </c>
      <c r="AB832" s="23" t="s">
        <v>4271</v>
      </c>
      <c r="AC832" s="23" t="s">
        <v>4270</v>
      </c>
      <c r="AD832" s="118">
        <v>0</v>
      </c>
      <c r="AE832" s="118">
        <v>2</v>
      </c>
      <c r="AF832" s="23" t="s">
        <v>3181</v>
      </c>
      <c r="AG832" s="23" t="s">
        <v>637</v>
      </c>
      <c r="AH832" s="39">
        <v>44403</v>
      </c>
    </row>
    <row r="833" spans="1:53">
      <c r="A833" s="72" t="s">
        <v>4272</v>
      </c>
      <c r="B833" s="23" t="s">
        <v>4273</v>
      </c>
      <c r="C833" s="140">
        <v>44400</v>
      </c>
      <c r="F833" s="23" t="s">
        <v>1723</v>
      </c>
      <c r="G833" s="23" t="s">
        <v>1724</v>
      </c>
      <c r="Q833" s="141" t="s">
        <v>4269</v>
      </c>
      <c r="W833" s="23" t="s">
        <v>3841</v>
      </c>
      <c r="Y833" s="37">
        <v>14401</v>
      </c>
      <c r="Z833" s="23">
        <v>75.400000000000006</v>
      </c>
      <c r="AB833" s="23" t="s">
        <v>4274</v>
      </c>
      <c r="AC833" s="23" t="s">
        <v>4275</v>
      </c>
      <c r="AD833" s="118"/>
      <c r="AE833" s="118"/>
      <c r="AF833" s="23" t="s">
        <v>3181</v>
      </c>
      <c r="AG833" s="23" t="s">
        <v>1640</v>
      </c>
      <c r="AH833" s="39">
        <v>44403</v>
      </c>
    </row>
    <row r="834" spans="1:53">
      <c r="A834" s="72" t="s">
        <v>4276</v>
      </c>
      <c r="B834" s="23" t="s">
        <v>4280</v>
      </c>
      <c r="C834" s="140">
        <v>44403</v>
      </c>
      <c r="D834" s="23" t="s">
        <v>729</v>
      </c>
      <c r="E834" s="23" t="s">
        <v>2919</v>
      </c>
      <c r="F834" s="23" t="s">
        <v>1723</v>
      </c>
      <c r="G834" s="23" t="s">
        <v>1724</v>
      </c>
      <c r="Q834" s="141" t="s">
        <v>4281</v>
      </c>
      <c r="S834" s="23" t="s">
        <v>300</v>
      </c>
      <c r="T834" s="23" t="s">
        <v>3715</v>
      </c>
      <c r="U834" s="23" t="s">
        <v>3715</v>
      </c>
      <c r="V834" s="23" t="s">
        <v>298</v>
      </c>
      <c r="W834" s="23" t="s">
        <v>2710</v>
      </c>
      <c r="Y834" s="23" t="s">
        <v>4282</v>
      </c>
      <c r="Z834" s="23">
        <v>74.099999999999994</v>
      </c>
      <c r="AB834" s="23" t="s">
        <v>4283</v>
      </c>
      <c r="AC834" s="23" t="s">
        <v>4284</v>
      </c>
      <c r="AD834" s="118">
        <v>0</v>
      </c>
      <c r="AE834" s="118">
        <v>1</v>
      </c>
      <c r="AF834" s="23" t="s">
        <v>3181</v>
      </c>
      <c r="AG834" s="23" t="s">
        <v>1640</v>
      </c>
      <c r="AH834" s="39">
        <v>44403</v>
      </c>
    </row>
    <row r="835" spans="1:53">
      <c r="A835" s="72" t="s">
        <v>4277</v>
      </c>
      <c r="B835" s="23" t="s">
        <v>4285</v>
      </c>
      <c r="C835" s="140">
        <v>44339</v>
      </c>
      <c r="D835" s="23" t="s">
        <v>729</v>
      </c>
      <c r="E835" s="23" t="s">
        <v>752</v>
      </c>
      <c r="F835" s="23" t="s">
        <v>2926</v>
      </c>
      <c r="G835" s="23" t="s">
        <v>2165</v>
      </c>
      <c r="P835" s="23" t="s">
        <v>4286</v>
      </c>
      <c r="Q835" s="141" t="s">
        <v>4269</v>
      </c>
      <c r="T835" s="23" t="s">
        <v>12031</v>
      </c>
      <c r="U835" s="23" t="s">
        <v>12031</v>
      </c>
      <c r="V835" s="23" t="s">
        <v>298</v>
      </c>
      <c r="W835" s="23" t="s">
        <v>4287</v>
      </c>
      <c r="Y835" s="23" t="s">
        <v>4289</v>
      </c>
      <c r="Z835" s="23">
        <v>40</v>
      </c>
      <c r="AB835" s="23" t="s">
        <v>4288</v>
      </c>
      <c r="AC835" s="23" t="s">
        <v>123</v>
      </c>
      <c r="AD835" s="118">
        <v>0</v>
      </c>
      <c r="AE835" s="118">
        <v>1</v>
      </c>
      <c r="AF835" s="23" t="s">
        <v>3297</v>
      </c>
      <c r="AG835" s="23" t="s">
        <v>738</v>
      </c>
      <c r="AH835" s="39">
        <v>44403</v>
      </c>
    </row>
    <row r="836" spans="1:53">
      <c r="A836" s="72" t="s">
        <v>4278</v>
      </c>
      <c r="B836" s="23" t="s">
        <v>4290</v>
      </c>
      <c r="C836" s="140">
        <v>44339</v>
      </c>
      <c r="D836" s="23" t="s">
        <v>729</v>
      </c>
      <c r="E836" s="23" t="s">
        <v>752</v>
      </c>
      <c r="F836" s="23" t="s">
        <v>2926</v>
      </c>
      <c r="G836" s="23" t="s">
        <v>2165</v>
      </c>
      <c r="P836" s="23" t="s">
        <v>4286</v>
      </c>
      <c r="Q836" s="141" t="s">
        <v>4269</v>
      </c>
      <c r="T836" s="23" t="s">
        <v>12031</v>
      </c>
      <c r="U836" s="23" t="s">
        <v>12031</v>
      </c>
      <c r="V836" s="23" t="s">
        <v>298</v>
      </c>
      <c r="W836" s="23" t="s">
        <v>4287</v>
      </c>
      <c r="Y836" s="23" t="s">
        <v>4289</v>
      </c>
      <c r="Z836" s="23">
        <v>40</v>
      </c>
      <c r="AB836" s="23" t="s">
        <v>4291</v>
      </c>
      <c r="AC836" s="23" t="s">
        <v>123</v>
      </c>
      <c r="AD836" s="118">
        <v>0</v>
      </c>
      <c r="AE836" s="118">
        <v>1</v>
      </c>
      <c r="AF836" s="23" t="s">
        <v>3297</v>
      </c>
      <c r="AG836" s="23" t="s">
        <v>738</v>
      </c>
      <c r="AH836" s="39">
        <v>44403</v>
      </c>
    </row>
    <row r="837" spans="1:53">
      <c r="A837" s="72" t="s">
        <v>4292</v>
      </c>
      <c r="B837" s="23" t="s">
        <v>4293</v>
      </c>
      <c r="C837" s="140">
        <v>44391</v>
      </c>
      <c r="D837" s="23" t="s">
        <v>729</v>
      </c>
      <c r="E837" s="23" t="s">
        <v>752</v>
      </c>
      <c r="F837" s="23" t="s">
        <v>2166</v>
      </c>
      <c r="G837" s="23" t="s">
        <v>1724</v>
      </c>
      <c r="Q837" s="141" t="s">
        <v>4279</v>
      </c>
      <c r="S837" s="23" t="s">
        <v>4294</v>
      </c>
      <c r="T837" s="23" t="s">
        <v>305</v>
      </c>
      <c r="U837" s="23" t="s">
        <v>305</v>
      </c>
      <c r="V837" s="23" t="s">
        <v>298</v>
      </c>
      <c r="W837" s="23" t="s">
        <v>406</v>
      </c>
      <c r="Y837" s="37">
        <v>1640.19</v>
      </c>
      <c r="Z837" s="23">
        <v>23.12</v>
      </c>
      <c r="AB837" s="23" t="s">
        <v>4295</v>
      </c>
      <c r="AC837" s="23" t="s">
        <v>4297</v>
      </c>
      <c r="AD837" s="118">
        <v>0</v>
      </c>
      <c r="AE837" s="118">
        <v>1</v>
      </c>
      <c r="AF837" s="23" t="s">
        <v>4296</v>
      </c>
      <c r="AG837" s="23" t="s">
        <v>659</v>
      </c>
      <c r="AH837" s="39">
        <v>44406</v>
      </c>
    </row>
    <row r="838" spans="1:53">
      <c r="A838" s="72" t="s">
        <v>4298</v>
      </c>
      <c r="B838" s="23" t="s">
        <v>4299</v>
      </c>
      <c r="C838" s="140">
        <v>44405</v>
      </c>
      <c r="D838" s="23" t="s">
        <v>729</v>
      </c>
      <c r="E838" s="23" t="s">
        <v>2919</v>
      </c>
      <c r="F838" s="23" t="s">
        <v>1723</v>
      </c>
      <c r="G838" s="23" t="s">
        <v>1724</v>
      </c>
      <c r="Q838" s="141" t="s">
        <v>4300</v>
      </c>
      <c r="T838" s="23" t="s">
        <v>3715</v>
      </c>
      <c r="U838" s="23" t="s">
        <v>3715</v>
      </c>
      <c r="V838" s="23" t="s">
        <v>298</v>
      </c>
      <c r="W838" s="23" t="s">
        <v>4301</v>
      </c>
      <c r="Y838" s="37">
        <v>19040</v>
      </c>
      <c r="Z838" s="23">
        <v>75.599999999999994</v>
      </c>
      <c r="AB838" s="23" t="s">
        <v>4302</v>
      </c>
      <c r="AC838" s="23" t="s">
        <v>4303</v>
      </c>
      <c r="AD838" s="118">
        <v>0</v>
      </c>
      <c r="AE838" s="118">
        <v>1</v>
      </c>
      <c r="AF838" s="23" t="s">
        <v>3181</v>
      </c>
      <c r="AG838" s="23" t="s">
        <v>1640</v>
      </c>
      <c r="AH838" s="39">
        <v>44406</v>
      </c>
    </row>
    <row r="839" spans="1:53">
      <c r="A839" s="72" t="s">
        <v>4306</v>
      </c>
      <c r="B839" s="23" t="s">
        <v>4307</v>
      </c>
      <c r="C839" s="140">
        <v>44407</v>
      </c>
      <c r="D839" s="23" t="s">
        <v>729</v>
      </c>
      <c r="E839" s="23" t="s">
        <v>2919</v>
      </c>
      <c r="F839" s="23" t="s">
        <v>1723</v>
      </c>
      <c r="G839" s="23" t="s">
        <v>1724</v>
      </c>
      <c r="Q839" s="141" t="s">
        <v>4308</v>
      </c>
      <c r="T839" s="23" t="s">
        <v>3715</v>
      </c>
      <c r="U839" s="23" t="s">
        <v>3715</v>
      </c>
      <c r="V839" s="23" t="s">
        <v>298</v>
      </c>
      <c r="W839" s="23" t="s">
        <v>4309</v>
      </c>
      <c r="Y839" s="37">
        <v>18400</v>
      </c>
      <c r="Z839" s="23">
        <v>75.599999999999994</v>
      </c>
      <c r="AB839" s="23" t="s">
        <v>4310</v>
      </c>
      <c r="AC839" s="23" t="s">
        <v>4311</v>
      </c>
      <c r="AD839" s="118">
        <v>0</v>
      </c>
      <c r="AE839" s="118">
        <v>1</v>
      </c>
      <c r="AF839" s="23" t="s">
        <v>3181</v>
      </c>
      <c r="AG839" s="23" t="s">
        <v>1640</v>
      </c>
      <c r="AH839" s="39">
        <v>44410</v>
      </c>
    </row>
    <row r="840" spans="1:53">
      <c r="A840" s="72" t="s">
        <v>4312</v>
      </c>
      <c r="B840" s="23" t="s">
        <v>4313</v>
      </c>
      <c r="C840" s="140">
        <v>44407</v>
      </c>
      <c r="D840" s="23" t="s">
        <v>729</v>
      </c>
      <c r="E840" s="23" t="s">
        <v>2919</v>
      </c>
      <c r="F840" s="23" t="s">
        <v>1723</v>
      </c>
      <c r="G840" s="23" t="s">
        <v>1724</v>
      </c>
      <c r="Q840" s="141" t="s">
        <v>4314</v>
      </c>
      <c r="T840" s="23" t="s">
        <v>3715</v>
      </c>
      <c r="U840" s="23" t="s">
        <v>3715</v>
      </c>
      <c r="V840" s="23" t="s">
        <v>298</v>
      </c>
      <c r="W840" s="23" t="s">
        <v>2710</v>
      </c>
      <c r="Y840" s="37">
        <v>24150</v>
      </c>
      <c r="Z840" s="23">
        <v>74.099999999999994</v>
      </c>
      <c r="AB840" s="23" t="s">
        <v>4315</v>
      </c>
      <c r="AC840" s="23" t="s">
        <v>4316</v>
      </c>
      <c r="AD840" s="118">
        <v>0</v>
      </c>
      <c r="AE840" s="118">
        <v>1</v>
      </c>
      <c r="AF840" s="23" t="s">
        <v>3181</v>
      </c>
      <c r="AG840" s="23" t="s">
        <v>1640</v>
      </c>
      <c r="AH840" s="39">
        <v>44410</v>
      </c>
    </row>
    <row r="841" spans="1:53">
      <c r="A841" s="72" t="s">
        <v>4317</v>
      </c>
      <c r="B841" s="23" t="s">
        <v>4318</v>
      </c>
      <c r="C841" s="140">
        <v>44396</v>
      </c>
      <c r="D841" s="23" t="s">
        <v>729</v>
      </c>
      <c r="E841" s="23" t="s">
        <v>752</v>
      </c>
      <c r="F841" s="23" t="s">
        <v>2200</v>
      </c>
      <c r="G841" s="23" t="s">
        <v>301</v>
      </c>
      <c r="H841" s="23">
        <v>20363191</v>
      </c>
      <c r="I841" s="23">
        <v>20363191</v>
      </c>
      <c r="J841" s="140">
        <v>44394</v>
      </c>
      <c r="K841" s="23" t="s">
        <v>4330</v>
      </c>
      <c r="L841" s="140">
        <v>44410</v>
      </c>
      <c r="Q841" s="141" t="s">
        <v>4314</v>
      </c>
      <c r="T841" s="23" t="s">
        <v>305</v>
      </c>
      <c r="U841" s="23" t="s">
        <v>305</v>
      </c>
      <c r="V841" s="23" t="s">
        <v>298</v>
      </c>
      <c r="W841" s="23" t="s">
        <v>4324</v>
      </c>
      <c r="Y841" s="37">
        <v>4020</v>
      </c>
      <c r="Z841" s="23">
        <v>36.880000000000003</v>
      </c>
      <c r="AB841" s="59" t="s">
        <v>4325</v>
      </c>
      <c r="AC841" s="23" t="s">
        <v>123</v>
      </c>
      <c r="AD841" s="118">
        <v>0</v>
      </c>
      <c r="AE841" s="118">
        <v>1</v>
      </c>
      <c r="AF841" s="23" t="s">
        <v>3193</v>
      </c>
      <c r="AG841" s="23" t="s">
        <v>1553</v>
      </c>
      <c r="AH841" s="39">
        <v>44411</v>
      </c>
      <c r="AJ841" s="75" t="s">
        <v>5307</v>
      </c>
      <c r="AK841" s="53">
        <v>44414</v>
      </c>
      <c r="AL841" s="23" t="s">
        <v>5308</v>
      </c>
      <c r="AM841" s="102">
        <v>44418</v>
      </c>
      <c r="AW841" s="23" t="s">
        <v>4399</v>
      </c>
      <c r="BA841" s="23" t="s">
        <v>4438</v>
      </c>
    </row>
    <row r="842" spans="1:53">
      <c r="A842" s="72" t="s">
        <v>4319</v>
      </c>
      <c r="B842" s="23" t="s">
        <v>4320</v>
      </c>
      <c r="C842" s="140">
        <v>44396</v>
      </c>
      <c r="D842" s="23" t="s">
        <v>729</v>
      </c>
      <c r="E842" s="23" t="s">
        <v>752</v>
      </c>
      <c r="F842" s="23" t="s">
        <v>2200</v>
      </c>
      <c r="G842" s="23" t="s">
        <v>301</v>
      </c>
      <c r="H842" s="23">
        <v>20362404</v>
      </c>
      <c r="I842" s="23">
        <v>20362404</v>
      </c>
      <c r="J842" s="140">
        <v>44394</v>
      </c>
      <c r="K842" s="23" t="s">
        <v>4331</v>
      </c>
      <c r="L842" s="140">
        <v>44410</v>
      </c>
      <c r="Q842" s="141" t="s">
        <v>4314</v>
      </c>
      <c r="T842" s="23" t="s">
        <v>305</v>
      </c>
      <c r="U842" s="23" t="s">
        <v>305</v>
      </c>
      <c r="V842" s="23" t="s">
        <v>298</v>
      </c>
      <c r="W842" s="23" t="s">
        <v>4326</v>
      </c>
      <c r="Y842" s="37">
        <v>3210</v>
      </c>
      <c r="Z842" s="23">
        <v>30.48</v>
      </c>
      <c r="AB842" s="59" t="s">
        <v>4327</v>
      </c>
      <c r="AC842" s="23" t="s">
        <v>123</v>
      </c>
      <c r="AD842" s="118">
        <v>0</v>
      </c>
      <c r="AE842" s="118">
        <v>1</v>
      </c>
      <c r="AF842" s="23" t="s">
        <v>3193</v>
      </c>
      <c r="AG842" s="23" t="s">
        <v>1553</v>
      </c>
      <c r="AH842" s="39">
        <v>44411</v>
      </c>
      <c r="AJ842" s="75" t="s">
        <v>5309</v>
      </c>
      <c r="AK842" s="53">
        <v>44414</v>
      </c>
      <c r="AL842" s="23" t="s">
        <v>5310</v>
      </c>
      <c r="AM842" s="102">
        <v>44418</v>
      </c>
      <c r="AW842" s="23" t="s">
        <v>4400</v>
      </c>
      <c r="BA842" s="23" t="s">
        <v>4438</v>
      </c>
    </row>
    <row r="843" spans="1:53" ht="64">
      <c r="A843" s="72" t="s">
        <v>4321</v>
      </c>
      <c r="B843" s="23" t="s">
        <v>4322</v>
      </c>
      <c r="C843" s="140">
        <v>44396</v>
      </c>
      <c r="D843" s="23" t="s">
        <v>729</v>
      </c>
      <c r="E843" s="23" t="s">
        <v>752</v>
      </c>
      <c r="F843" s="23" t="s">
        <v>2200</v>
      </c>
      <c r="G843" s="23" t="s">
        <v>301</v>
      </c>
      <c r="H843" s="23">
        <v>20363194</v>
      </c>
      <c r="I843" s="23">
        <v>20363194</v>
      </c>
      <c r="J843" s="140">
        <v>44394</v>
      </c>
      <c r="K843" s="23" t="s">
        <v>4332</v>
      </c>
      <c r="L843" s="140">
        <v>44410</v>
      </c>
      <c r="Q843" s="141" t="s">
        <v>4314</v>
      </c>
      <c r="T843" s="23" t="s">
        <v>305</v>
      </c>
      <c r="U843" s="23" t="s">
        <v>305</v>
      </c>
      <c r="V843" s="23" t="s">
        <v>298</v>
      </c>
      <c r="W843" s="23" t="s">
        <v>4324</v>
      </c>
      <c r="Y843" s="37">
        <v>6030</v>
      </c>
      <c r="Z843" s="23">
        <v>55.32</v>
      </c>
      <c r="AB843" s="60" t="s">
        <v>4329</v>
      </c>
      <c r="AC843" s="23" t="s">
        <v>2730</v>
      </c>
      <c r="AD843" s="118">
        <v>1</v>
      </c>
      <c r="AE843" s="118">
        <v>1</v>
      </c>
      <c r="AF843" s="19" t="s">
        <v>4328</v>
      </c>
      <c r="AG843" s="23" t="s">
        <v>1553</v>
      </c>
      <c r="AH843" s="39">
        <v>44411</v>
      </c>
      <c r="AJ843" s="75" t="s">
        <v>5311</v>
      </c>
      <c r="AK843" s="53">
        <v>44414</v>
      </c>
      <c r="AL843" s="23" t="s">
        <v>5312</v>
      </c>
      <c r="AM843" s="102">
        <v>44418</v>
      </c>
      <c r="AW843" s="23" t="s">
        <v>4401</v>
      </c>
      <c r="BA843" s="23" t="s">
        <v>4438</v>
      </c>
    </row>
    <row r="844" spans="1:53" ht="32">
      <c r="A844" s="72" t="s">
        <v>4323</v>
      </c>
      <c r="B844" s="23" t="s">
        <v>4361</v>
      </c>
      <c r="C844" s="140">
        <v>44413</v>
      </c>
      <c r="D844" s="23" t="s">
        <v>729</v>
      </c>
      <c r="E844" s="23" t="s">
        <v>2919</v>
      </c>
      <c r="F844" s="23" t="s">
        <v>1723</v>
      </c>
      <c r="G844" s="23" t="s">
        <v>1724</v>
      </c>
      <c r="Q844" s="141" t="s">
        <v>4362</v>
      </c>
      <c r="T844" s="23" t="s">
        <v>3715</v>
      </c>
      <c r="U844" s="23" t="s">
        <v>3715</v>
      </c>
      <c r="V844" s="23" t="s">
        <v>298</v>
      </c>
      <c r="W844" s="23" t="s">
        <v>3288</v>
      </c>
      <c r="Y844" s="37">
        <v>7200</v>
      </c>
      <c r="Z844" s="23">
        <v>76</v>
      </c>
      <c r="AB844" s="19" t="s">
        <v>4363</v>
      </c>
      <c r="AC844" s="23" t="s">
        <v>1756</v>
      </c>
      <c r="AD844" s="118">
        <v>0</v>
      </c>
      <c r="AE844" s="118">
        <v>1</v>
      </c>
      <c r="AF844" s="23" t="s">
        <v>3181</v>
      </c>
      <c r="AG844" s="23" t="s">
        <v>637</v>
      </c>
      <c r="AH844" s="39">
        <v>44414</v>
      </c>
    </row>
    <row r="845" spans="1:53">
      <c r="A845" s="72" t="s">
        <v>4333</v>
      </c>
      <c r="B845" s="23" t="s">
        <v>4334</v>
      </c>
      <c r="C845" s="140">
        <v>44411</v>
      </c>
      <c r="D845" s="23" t="s">
        <v>729</v>
      </c>
      <c r="E845" s="23" t="s">
        <v>2919</v>
      </c>
      <c r="F845" s="23" t="s">
        <v>1723</v>
      </c>
      <c r="G845" s="23" t="s">
        <v>1724</v>
      </c>
      <c r="Q845" s="141" t="s">
        <v>4335</v>
      </c>
      <c r="T845" s="23" t="s">
        <v>3715</v>
      </c>
      <c r="U845" s="23" t="s">
        <v>3715</v>
      </c>
      <c r="V845" s="23" t="s">
        <v>298</v>
      </c>
      <c r="W845" s="23" t="s">
        <v>2710</v>
      </c>
      <c r="Y845" s="37">
        <v>21480</v>
      </c>
      <c r="Z845" s="23">
        <v>73.400000000000006</v>
      </c>
      <c r="AB845" s="23" t="s">
        <v>4336</v>
      </c>
      <c r="AC845" s="23" t="s">
        <v>4337</v>
      </c>
      <c r="AD845" s="118">
        <v>1</v>
      </c>
      <c r="AE845" s="118">
        <v>1</v>
      </c>
      <c r="AF845" s="23" t="s">
        <v>3181</v>
      </c>
      <c r="AG845" s="23" t="s">
        <v>1640</v>
      </c>
      <c r="AH845" s="39">
        <v>44412</v>
      </c>
    </row>
    <row r="846" spans="1:53">
      <c r="A846" s="72" t="s">
        <v>4338</v>
      </c>
      <c r="B846" s="23" t="s">
        <v>4339</v>
      </c>
      <c r="C846" s="140">
        <v>44410</v>
      </c>
      <c r="F846" s="23" t="s">
        <v>1723</v>
      </c>
      <c r="G846" s="23" t="s">
        <v>1724</v>
      </c>
      <c r="Q846" s="141" t="s">
        <v>4335</v>
      </c>
      <c r="W846" s="23" t="s">
        <v>4340</v>
      </c>
      <c r="Y846" s="37">
        <v>2910.4</v>
      </c>
      <c r="Z846" s="23">
        <v>25.89</v>
      </c>
      <c r="AB846" s="23" t="s">
        <v>4341</v>
      </c>
      <c r="AC846" s="23" t="s">
        <v>4342</v>
      </c>
      <c r="AD846" s="118"/>
      <c r="AE846" s="118"/>
      <c r="AF846" s="23" t="s">
        <v>3451</v>
      </c>
      <c r="AG846" s="23" t="s">
        <v>4343</v>
      </c>
      <c r="AH846" s="39">
        <v>44412</v>
      </c>
    </row>
    <row r="847" spans="1:53" ht="64">
      <c r="A847" s="72" t="s">
        <v>4344</v>
      </c>
      <c r="B847" s="23" t="s">
        <v>4345</v>
      </c>
      <c r="C847" s="140">
        <v>44406</v>
      </c>
      <c r="D847" s="23" t="s">
        <v>729</v>
      </c>
      <c r="E847" s="23" t="s">
        <v>752</v>
      </c>
      <c r="F847" s="23" t="s">
        <v>2314</v>
      </c>
      <c r="G847" s="23" t="s">
        <v>5538</v>
      </c>
      <c r="H847" s="23" t="s">
        <v>4360</v>
      </c>
      <c r="I847" s="23" t="s">
        <v>4360</v>
      </c>
      <c r="J847" s="140">
        <v>44392</v>
      </c>
      <c r="T847" s="23" t="s">
        <v>12031</v>
      </c>
      <c r="U847" s="23" t="s">
        <v>12031</v>
      </c>
      <c r="V847" s="23" t="s">
        <v>299</v>
      </c>
      <c r="W847" s="23" t="s">
        <v>4346</v>
      </c>
      <c r="AB847" s="60" t="s">
        <v>4347</v>
      </c>
      <c r="AC847" s="23">
        <v>12</v>
      </c>
      <c r="AD847" s="118">
        <v>0</v>
      </c>
      <c r="AE847" s="118">
        <v>4</v>
      </c>
      <c r="AG847" s="23" t="s">
        <v>2319</v>
      </c>
      <c r="AH847" s="39">
        <v>44411</v>
      </c>
      <c r="AI847" s="53" t="s">
        <v>3943</v>
      </c>
      <c r="AJ847" s="75" t="s">
        <v>5311</v>
      </c>
      <c r="AL847" s="23" t="s">
        <v>5313</v>
      </c>
      <c r="AM847" s="102">
        <v>44415</v>
      </c>
      <c r="BA847" s="59" t="s">
        <v>4438</v>
      </c>
    </row>
    <row r="848" spans="1:53">
      <c r="A848" s="72" t="s">
        <v>4348</v>
      </c>
      <c r="B848" s="23" t="s">
        <v>4349</v>
      </c>
      <c r="C848" s="140">
        <v>44412</v>
      </c>
      <c r="D848" s="23" t="s">
        <v>729</v>
      </c>
      <c r="E848" s="23" t="s">
        <v>2919</v>
      </c>
      <c r="F848" s="23" t="s">
        <v>1723</v>
      </c>
      <c r="G848" s="23" t="s">
        <v>1724</v>
      </c>
      <c r="Q848" s="141" t="s">
        <v>4350</v>
      </c>
      <c r="T848" s="23" t="s">
        <v>3715</v>
      </c>
      <c r="U848" s="23" t="s">
        <v>3715</v>
      </c>
      <c r="V848" s="23" t="s">
        <v>298</v>
      </c>
      <c r="W848" s="23" t="s">
        <v>4351</v>
      </c>
      <c r="Y848" s="23" t="s">
        <v>4352</v>
      </c>
      <c r="Z848" s="23">
        <v>76</v>
      </c>
      <c r="AB848" s="23" t="s">
        <v>4353</v>
      </c>
      <c r="AC848" s="23" t="s">
        <v>3673</v>
      </c>
      <c r="AD848" s="118">
        <v>1</v>
      </c>
      <c r="AE848" s="118">
        <v>2</v>
      </c>
      <c r="AF848" s="23" t="s">
        <v>3181</v>
      </c>
      <c r="AH848" s="39">
        <v>44411</v>
      </c>
    </row>
    <row r="849" spans="1:34" ht="32">
      <c r="A849" s="72" t="s">
        <v>4359</v>
      </c>
      <c r="B849" s="23" t="s">
        <v>4354</v>
      </c>
      <c r="C849" s="140">
        <v>44412</v>
      </c>
      <c r="F849" s="23" t="s">
        <v>1723</v>
      </c>
      <c r="G849" s="23" t="s">
        <v>1724</v>
      </c>
      <c r="W849" s="23" t="s">
        <v>3288</v>
      </c>
      <c r="Y849" s="23" t="s">
        <v>4355</v>
      </c>
      <c r="Z849" s="23">
        <v>77.8</v>
      </c>
      <c r="AB849" s="19" t="s">
        <v>4356</v>
      </c>
      <c r="AC849" s="23" t="s">
        <v>4357</v>
      </c>
      <c r="AD849" s="118"/>
      <c r="AE849" s="118"/>
      <c r="AF849" s="19" t="s">
        <v>4358</v>
      </c>
      <c r="AH849" s="39">
        <v>44411</v>
      </c>
    </row>
    <row r="850" spans="1:34">
      <c r="A850" s="72" t="s">
        <v>4364</v>
      </c>
      <c r="B850" s="23" t="s">
        <v>4365</v>
      </c>
      <c r="C850" s="140">
        <v>44412</v>
      </c>
      <c r="D850" s="23" t="s">
        <v>729</v>
      </c>
      <c r="E850" s="23" t="s">
        <v>2919</v>
      </c>
      <c r="F850" s="23" t="s">
        <v>1723</v>
      </c>
      <c r="G850" s="23" t="s">
        <v>1724</v>
      </c>
      <c r="Q850" s="141" t="s">
        <v>4366</v>
      </c>
      <c r="T850" s="23" t="s">
        <v>3715</v>
      </c>
      <c r="U850" s="23" t="s">
        <v>3715</v>
      </c>
      <c r="V850" s="23" t="s">
        <v>298</v>
      </c>
      <c r="W850" s="23" t="s">
        <v>2710</v>
      </c>
      <c r="Y850" s="37">
        <v>24000</v>
      </c>
      <c r="Z850" s="23">
        <v>75.400000000000006</v>
      </c>
      <c r="AB850" s="23" t="s">
        <v>4367</v>
      </c>
      <c r="AC850" s="23" t="s">
        <v>2712</v>
      </c>
      <c r="AD850" s="118">
        <v>0</v>
      </c>
      <c r="AE850" s="118">
        <v>3</v>
      </c>
      <c r="AF850" s="23" t="s">
        <v>3181</v>
      </c>
      <c r="AG850" s="23" t="s">
        <v>1640</v>
      </c>
      <c r="AH850" s="39">
        <v>44417</v>
      </c>
    </row>
    <row r="851" spans="1:34">
      <c r="A851" s="72" t="s">
        <v>4368</v>
      </c>
      <c r="B851" s="23" t="s">
        <v>4369</v>
      </c>
      <c r="C851" s="140">
        <v>44413</v>
      </c>
      <c r="Q851" s="141" t="s">
        <v>4366</v>
      </c>
      <c r="W851" s="23" t="s">
        <v>4370</v>
      </c>
      <c r="Y851" s="37">
        <v>20000</v>
      </c>
      <c r="Z851" s="23">
        <v>74</v>
      </c>
      <c r="AB851" s="23" t="s">
        <v>4371</v>
      </c>
      <c r="AC851" s="23" t="s">
        <v>4372</v>
      </c>
      <c r="AD851" s="118"/>
      <c r="AE851" s="118"/>
      <c r="AF851" s="23" t="s">
        <v>3181</v>
      </c>
      <c r="AG851" s="23" t="s">
        <v>1640</v>
      </c>
      <c r="AH851" s="39">
        <v>44417</v>
      </c>
    </row>
    <row r="852" spans="1:34">
      <c r="A852" s="72" t="s">
        <v>4373</v>
      </c>
      <c r="B852" s="23" t="s">
        <v>4374</v>
      </c>
      <c r="C852" s="140">
        <v>44414</v>
      </c>
      <c r="Q852" s="141" t="s">
        <v>4366</v>
      </c>
      <c r="W852" s="23" t="s">
        <v>1716</v>
      </c>
      <c r="Y852" s="37">
        <v>5680</v>
      </c>
      <c r="Z852" s="23">
        <v>74.099999999999994</v>
      </c>
      <c r="AB852" s="23" t="s">
        <v>4375</v>
      </c>
      <c r="AC852" s="23" t="s">
        <v>1824</v>
      </c>
      <c r="AD852" s="118"/>
      <c r="AE852" s="118"/>
      <c r="AF852" s="23" t="s">
        <v>3181</v>
      </c>
      <c r="AG852" s="23" t="s">
        <v>1640</v>
      </c>
      <c r="AH852" s="39">
        <v>44417</v>
      </c>
    </row>
    <row r="853" spans="1:34">
      <c r="A853" s="72" t="s">
        <v>4376</v>
      </c>
      <c r="B853" s="23" t="s">
        <v>4377</v>
      </c>
      <c r="C853" s="140">
        <v>44395</v>
      </c>
      <c r="D853" s="23" t="s">
        <v>729</v>
      </c>
      <c r="E853" s="23" t="s">
        <v>752</v>
      </c>
      <c r="F853" s="23" t="s">
        <v>2969</v>
      </c>
      <c r="G853" s="23" t="s">
        <v>1724</v>
      </c>
      <c r="P853" s="23" t="s">
        <v>4380</v>
      </c>
      <c r="Q853" s="141" t="s">
        <v>4335</v>
      </c>
      <c r="T853" s="23" t="s">
        <v>12031</v>
      </c>
      <c r="U853" s="23" t="s">
        <v>12031</v>
      </c>
      <c r="V853" s="23" t="s">
        <v>298</v>
      </c>
      <c r="W853" s="23" t="s">
        <v>4378</v>
      </c>
      <c r="Y853" s="37">
        <v>4000</v>
      </c>
      <c r="Z853" s="23">
        <v>24</v>
      </c>
      <c r="AB853" s="23" t="s">
        <v>4379</v>
      </c>
      <c r="AC853" s="23" t="s">
        <v>123</v>
      </c>
      <c r="AD853" s="118">
        <v>0</v>
      </c>
      <c r="AE853" s="118">
        <v>1</v>
      </c>
      <c r="AF853" s="23" t="s">
        <v>3297</v>
      </c>
      <c r="AG853" s="23" t="s">
        <v>2652</v>
      </c>
      <c r="AH853" s="39">
        <v>44417</v>
      </c>
    </row>
    <row r="854" spans="1:34">
      <c r="A854" s="72" t="s">
        <v>4381</v>
      </c>
      <c r="B854" s="23" t="s">
        <v>4382</v>
      </c>
      <c r="C854" s="140">
        <v>44416</v>
      </c>
      <c r="D854" s="23" t="s">
        <v>729</v>
      </c>
      <c r="E854" s="23" t="s">
        <v>2919</v>
      </c>
      <c r="F854" s="23" t="s">
        <v>1723</v>
      </c>
      <c r="G854" s="23" t="s">
        <v>1724</v>
      </c>
      <c r="Q854" s="141" t="s">
        <v>4383</v>
      </c>
      <c r="T854" s="23" t="s">
        <v>3715</v>
      </c>
      <c r="U854" s="23" t="s">
        <v>3715</v>
      </c>
      <c r="V854" s="23" t="s">
        <v>298</v>
      </c>
      <c r="W854" s="23" t="s">
        <v>3288</v>
      </c>
      <c r="Y854" s="37">
        <v>7180</v>
      </c>
      <c r="Z854" s="23">
        <v>75.8</v>
      </c>
      <c r="AB854" s="23" t="s">
        <v>4384</v>
      </c>
      <c r="AC854" s="23" t="s">
        <v>4195</v>
      </c>
      <c r="AD854" s="118">
        <v>0</v>
      </c>
      <c r="AE854" s="118">
        <v>2</v>
      </c>
      <c r="AF854" s="23" t="s">
        <v>3181</v>
      </c>
      <c r="AG854" s="23" t="s">
        <v>637</v>
      </c>
      <c r="AH854" s="39">
        <v>44418</v>
      </c>
    </row>
    <row r="855" spans="1:34">
      <c r="A855" s="72" t="s">
        <v>4385</v>
      </c>
      <c r="B855" s="23" t="s">
        <v>4386</v>
      </c>
      <c r="C855" s="140">
        <v>44414</v>
      </c>
      <c r="Q855" s="141" t="s">
        <v>4383</v>
      </c>
      <c r="W855" s="23" t="s">
        <v>4387</v>
      </c>
      <c r="Y855" s="37">
        <v>18768</v>
      </c>
      <c r="Z855" s="23">
        <v>69</v>
      </c>
      <c r="AB855" s="23" t="s">
        <v>4388</v>
      </c>
      <c r="AC855" s="23" t="s">
        <v>4389</v>
      </c>
      <c r="AD855" s="118"/>
      <c r="AE855" s="118"/>
      <c r="AF855" s="23" t="s">
        <v>3297</v>
      </c>
      <c r="AG855" s="23" t="s">
        <v>1640</v>
      </c>
      <c r="AH855" s="39">
        <v>44418</v>
      </c>
    </row>
    <row r="856" spans="1:34">
      <c r="A856" s="72" t="s">
        <v>4390</v>
      </c>
      <c r="B856" s="23" t="s">
        <v>4391</v>
      </c>
      <c r="C856" s="140">
        <v>44417</v>
      </c>
      <c r="D856" s="23" t="s">
        <v>729</v>
      </c>
      <c r="E856" s="23" t="s">
        <v>2919</v>
      </c>
      <c r="F856" s="23" t="s">
        <v>1723</v>
      </c>
      <c r="G856" s="23" t="s">
        <v>1724</v>
      </c>
      <c r="Q856" s="141" t="s">
        <v>4392</v>
      </c>
      <c r="T856" s="23" t="s">
        <v>3715</v>
      </c>
      <c r="U856" s="23" t="s">
        <v>3715</v>
      </c>
      <c r="V856" s="23" t="s">
        <v>298</v>
      </c>
      <c r="W856" s="23" t="s">
        <v>4393</v>
      </c>
      <c r="Y856" s="37">
        <v>17780</v>
      </c>
      <c r="Z856" s="23">
        <v>76</v>
      </c>
      <c r="AB856" s="23" t="s">
        <v>4394</v>
      </c>
      <c r="AC856" s="23" t="s">
        <v>3165</v>
      </c>
      <c r="AD856" s="118">
        <v>0</v>
      </c>
      <c r="AE856" s="118">
        <v>1</v>
      </c>
      <c r="AF856" s="23" t="s">
        <v>3181</v>
      </c>
      <c r="AG856" s="23" t="s">
        <v>1640</v>
      </c>
      <c r="AH856" s="39">
        <v>44418</v>
      </c>
    </row>
    <row r="857" spans="1:34">
      <c r="A857" s="72" t="s">
        <v>4395</v>
      </c>
      <c r="B857" s="23" t="s">
        <v>4396</v>
      </c>
      <c r="C857" s="140">
        <v>44418</v>
      </c>
      <c r="D857" s="23" t="s">
        <v>729</v>
      </c>
      <c r="E857" s="23" t="s">
        <v>2919</v>
      </c>
      <c r="F857" s="23" t="s">
        <v>1723</v>
      </c>
      <c r="G857" s="23" t="s">
        <v>1724</v>
      </c>
      <c r="Q857" s="141" t="s">
        <v>4397</v>
      </c>
      <c r="T857" s="23" t="s">
        <v>3715</v>
      </c>
      <c r="U857" s="23" t="s">
        <v>3715</v>
      </c>
      <c r="V857" s="23" t="s">
        <v>298</v>
      </c>
      <c r="W857" s="23" t="s">
        <v>3288</v>
      </c>
      <c r="Y857" s="37">
        <v>7200</v>
      </c>
      <c r="Z857" s="23">
        <v>76</v>
      </c>
      <c r="AB857" s="23" t="s">
        <v>4398</v>
      </c>
      <c r="AC857" s="23" t="s">
        <v>1756</v>
      </c>
      <c r="AD857" s="118">
        <v>0</v>
      </c>
      <c r="AE857" s="118">
        <v>1</v>
      </c>
      <c r="AF857" s="23" t="s">
        <v>3181</v>
      </c>
      <c r="AG857" s="23" t="s">
        <v>637</v>
      </c>
      <c r="AH857" s="39">
        <v>44418</v>
      </c>
    </row>
    <row r="858" spans="1:34">
      <c r="A858" s="72" t="s">
        <v>4402</v>
      </c>
      <c r="B858" s="23" t="s">
        <v>4403</v>
      </c>
      <c r="C858" s="140">
        <v>44419</v>
      </c>
      <c r="D858" s="23" t="s">
        <v>729</v>
      </c>
      <c r="E858" s="23" t="s">
        <v>2919</v>
      </c>
      <c r="F858" s="23" t="s">
        <v>1723</v>
      </c>
      <c r="Q858" s="141" t="s">
        <v>4404</v>
      </c>
      <c r="T858" s="23" t="s">
        <v>3715</v>
      </c>
      <c r="U858" s="23" t="s">
        <v>3715</v>
      </c>
      <c r="V858" s="23" t="s">
        <v>298</v>
      </c>
      <c r="W858" s="23" t="s">
        <v>4405</v>
      </c>
      <c r="Y858" s="37">
        <v>13710</v>
      </c>
      <c r="Z858" s="23">
        <v>75</v>
      </c>
      <c r="AB858" s="23" t="s">
        <v>4406</v>
      </c>
      <c r="AC858" s="23" t="s">
        <v>4407</v>
      </c>
      <c r="AD858" s="118">
        <v>0</v>
      </c>
      <c r="AE858" s="118">
        <v>4</v>
      </c>
      <c r="AF858" s="23" t="s">
        <v>3181</v>
      </c>
      <c r="AG858" s="23" t="s">
        <v>1640</v>
      </c>
      <c r="AH858" s="39">
        <v>44424</v>
      </c>
    </row>
    <row r="859" spans="1:34">
      <c r="A859" s="72" t="s">
        <v>4408</v>
      </c>
      <c r="B859" s="23" t="s">
        <v>4409</v>
      </c>
      <c r="C859" s="140">
        <v>44421</v>
      </c>
      <c r="F859" s="23" t="s">
        <v>1723</v>
      </c>
      <c r="Q859" s="141" t="s">
        <v>4404</v>
      </c>
      <c r="W859" s="23" t="s">
        <v>3841</v>
      </c>
      <c r="Y859" s="37">
        <v>15740</v>
      </c>
      <c r="Z859" s="23">
        <v>76</v>
      </c>
      <c r="AB859" s="23" t="s">
        <v>4410</v>
      </c>
      <c r="AC859" s="23" t="s">
        <v>4411</v>
      </c>
      <c r="AD859" s="118"/>
      <c r="AE859" s="118"/>
      <c r="AF859" s="23" t="s">
        <v>3181</v>
      </c>
      <c r="AG859" s="23" t="s">
        <v>1640</v>
      </c>
      <c r="AH859" s="39">
        <v>44424</v>
      </c>
    </row>
    <row r="860" spans="1:34" ht="64">
      <c r="A860" s="72" t="s">
        <v>4412</v>
      </c>
      <c r="B860" s="23">
        <v>212250012</v>
      </c>
      <c r="C860" s="140">
        <v>44423</v>
      </c>
      <c r="F860" s="23" t="s">
        <v>1723</v>
      </c>
      <c r="Q860" s="141" t="s">
        <v>4404</v>
      </c>
      <c r="W860" s="23" t="s">
        <v>2903</v>
      </c>
      <c r="Y860" s="37">
        <v>26625</v>
      </c>
      <c r="Z860" s="23">
        <v>135.52000000000001</v>
      </c>
      <c r="AB860" s="19" t="s">
        <v>4413</v>
      </c>
      <c r="AC860" s="23" t="s">
        <v>3789</v>
      </c>
      <c r="AD860" s="118"/>
      <c r="AE860" s="118"/>
      <c r="AF860" s="19" t="s">
        <v>3214</v>
      </c>
      <c r="AG860" s="23" t="s">
        <v>666</v>
      </c>
      <c r="AH860" s="39">
        <v>44424</v>
      </c>
    </row>
    <row r="861" spans="1:34">
      <c r="A861" s="72" t="s">
        <v>4414</v>
      </c>
      <c r="B861" s="23" t="s">
        <v>4415</v>
      </c>
      <c r="C861" s="140">
        <v>44389</v>
      </c>
      <c r="D861" s="23" t="s">
        <v>729</v>
      </c>
      <c r="E861" s="23" t="s">
        <v>752</v>
      </c>
      <c r="F861" s="23" t="s">
        <v>2926</v>
      </c>
      <c r="G861" s="23" t="s">
        <v>2165</v>
      </c>
      <c r="P861" s="23" t="s">
        <v>4417</v>
      </c>
      <c r="Q861" s="141" t="s">
        <v>4416</v>
      </c>
      <c r="T861" s="23" t="s">
        <v>12031</v>
      </c>
      <c r="U861" s="23" t="s">
        <v>12031</v>
      </c>
      <c r="V861" s="23" t="s">
        <v>298</v>
      </c>
      <c r="W861" s="23" t="s">
        <v>4418</v>
      </c>
      <c r="Y861" s="23">
        <v>1800</v>
      </c>
      <c r="AB861" s="23" t="s">
        <v>4419</v>
      </c>
      <c r="AC861" s="23" t="s">
        <v>4201</v>
      </c>
      <c r="AD861" s="118">
        <v>0</v>
      </c>
      <c r="AE861" s="118">
        <v>1</v>
      </c>
      <c r="AF861" s="23" t="s">
        <v>3193</v>
      </c>
      <c r="AG861" s="23" t="s">
        <v>3782</v>
      </c>
      <c r="AH861" s="39">
        <v>44425</v>
      </c>
    </row>
    <row r="862" spans="1:34">
      <c r="A862" s="72" t="s">
        <v>4420</v>
      </c>
      <c r="B862" s="23" t="s">
        <v>4421</v>
      </c>
      <c r="C862" s="140">
        <v>44424</v>
      </c>
      <c r="D862" s="23" t="s">
        <v>729</v>
      </c>
      <c r="E862" s="23" t="s">
        <v>2919</v>
      </c>
      <c r="F862" s="23" t="s">
        <v>1723</v>
      </c>
      <c r="G862" s="23" t="s">
        <v>1724</v>
      </c>
      <c r="Q862" s="141" t="s">
        <v>4422</v>
      </c>
      <c r="T862" s="23" t="s">
        <v>3715</v>
      </c>
      <c r="U862" s="23" t="s">
        <v>3715</v>
      </c>
      <c r="V862" s="23" t="s">
        <v>298</v>
      </c>
      <c r="W862" s="23" t="s">
        <v>2710</v>
      </c>
      <c r="Y862" s="37">
        <v>21600</v>
      </c>
      <c r="Z862" s="23">
        <v>74</v>
      </c>
      <c r="AB862" s="23" t="s">
        <v>4423</v>
      </c>
      <c r="AC862" s="23" t="s">
        <v>3081</v>
      </c>
      <c r="AD862" s="118">
        <v>0</v>
      </c>
      <c r="AE862" s="118">
        <v>2</v>
      </c>
      <c r="AF862" s="23" t="s">
        <v>3181</v>
      </c>
      <c r="AG862" s="23" t="s">
        <v>1640</v>
      </c>
      <c r="AH862" s="39">
        <v>44425</v>
      </c>
    </row>
    <row r="863" spans="1:34">
      <c r="A863" s="72" t="s">
        <v>4424</v>
      </c>
      <c r="B863" s="23" t="s">
        <v>4425</v>
      </c>
      <c r="C863" s="140">
        <v>44424</v>
      </c>
      <c r="F863" s="23" t="s">
        <v>1723</v>
      </c>
      <c r="G863" s="23" t="s">
        <v>1724</v>
      </c>
      <c r="Q863" s="141" t="s">
        <v>4422</v>
      </c>
      <c r="W863" s="23" t="s">
        <v>3288</v>
      </c>
      <c r="Y863" s="37">
        <v>7220</v>
      </c>
      <c r="Z863" s="23">
        <v>76.2</v>
      </c>
      <c r="AB863" s="23" t="s">
        <v>4426</v>
      </c>
      <c r="AC863" s="23" t="s">
        <v>4427</v>
      </c>
      <c r="AD863" s="118"/>
      <c r="AE863" s="118"/>
      <c r="AF863" s="23" t="s">
        <v>3181</v>
      </c>
      <c r="AG863" s="23" t="s">
        <v>637</v>
      </c>
      <c r="AH863" s="39">
        <v>44425</v>
      </c>
    </row>
    <row r="864" spans="1:34">
      <c r="A864" s="72" t="s">
        <v>4428</v>
      </c>
      <c r="B864" s="23" t="s">
        <v>4429</v>
      </c>
      <c r="C864" s="140">
        <v>44408</v>
      </c>
      <c r="D864" s="23" t="s">
        <v>729</v>
      </c>
      <c r="E864" s="23" t="s">
        <v>752</v>
      </c>
      <c r="F864" s="23" t="s">
        <v>3707</v>
      </c>
      <c r="G864" s="23" t="s">
        <v>2165</v>
      </c>
      <c r="P864" s="23" t="s">
        <v>4417</v>
      </c>
      <c r="Q864" s="141" t="s">
        <v>4416</v>
      </c>
      <c r="T864" s="23" t="s">
        <v>12031</v>
      </c>
      <c r="U864" s="23" t="s">
        <v>12031</v>
      </c>
      <c r="V864" s="23" t="s">
        <v>298</v>
      </c>
      <c r="W864" s="23" t="s">
        <v>4430</v>
      </c>
      <c r="Y864" s="37">
        <v>2440</v>
      </c>
      <c r="Z864" s="23">
        <v>20</v>
      </c>
      <c r="AB864" s="23" t="s">
        <v>4431</v>
      </c>
      <c r="AC864" s="23" t="s">
        <v>131</v>
      </c>
      <c r="AD864" s="118">
        <v>1</v>
      </c>
      <c r="AE864" s="118">
        <v>0</v>
      </c>
      <c r="AF864" s="23" t="s">
        <v>3451</v>
      </c>
      <c r="AG864" s="23" t="s">
        <v>1872</v>
      </c>
      <c r="AH864" s="39">
        <v>44425</v>
      </c>
    </row>
    <row r="865" spans="1:39">
      <c r="A865" s="72" t="s">
        <v>4432</v>
      </c>
      <c r="B865" s="23" t="s">
        <v>4433</v>
      </c>
      <c r="C865" s="140">
        <v>44402</v>
      </c>
      <c r="D865" s="23" t="s">
        <v>729</v>
      </c>
      <c r="E865" s="23" t="s">
        <v>752</v>
      </c>
      <c r="F865" s="23" t="s">
        <v>4434</v>
      </c>
      <c r="G865" s="23" t="s">
        <v>1724</v>
      </c>
      <c r="P865" s="23" t="s">
        <v>4435</v>
      </c>
      <c r="Q865" s="141" t="s">
        <v>4350</v>
      </c>
      <c r="T865" s="23" t="s">
        <v>305</v>
      </c>
      <c r="U865" s="23" t="s">
        <v>305</v>
      </c>
      <c r="V865" s="23" t="s">
        <v>298</v>
      </c>
      <c r="W865" s="23" t="s">
        <v>3861</v>
      </c>
      <c r="Y865" s="23">
        <v>25750</v>
      </c>
      <c r="Z865" s="23">
        <v>64</v>
      </c>
      <c r="AB865" s="23" t="s">
        <v>4436</v>
      </c>
      <c r="AC865" s="23" t="s">
        <v>4437</v>
      </c>
      <c r="AD865" s="118">
        <v>0</v>
      </c>
      <c r="AE865" s="118">
        <v>1</v>
      </c>
      <c r="AF865" s="23" t="s">
        <v>3193</v>
      </c>
      <c r="AG865" s="23" t="s">
        <v>1640</v>
      </c>
      <c r="AH865" s="39">
        <v>44425</v>
      </c>
    </row>
    <row r="866" spans="1:39">
      <c r="A866" s="72" t="s">
        <v>4439</v>
      </c>
      <c r="B866" s="23" t="s">
        <v>4440</v>
      </c>
      <c r="C866" s="140">
        <v>44414</v>
      </c>
      <c r="D866" s="23" t="s">
        <v>729</v>
      </c>
      <c r="E866" s="23" t="s">
        <v>752</v>
      </c>
      <c r="F866" s="23" t="s">
        <v>57</v>
      </c>
      <c r="G866" s="23" t="s">
        <v>57</v>
      </c>
      <c r="H866" s="23" t="s">
        <v>4441</v>
      </c>
      <c r="I866" s="23" t="s">
        <v>4441</v>
      </c>
      <c r="J866" s="140">
        <v>44412</v>
      </c>
      <c r="K866" s="23" t="s">
        <v>4442</v>
      </c>
      <c r="L866" s="140">
        <v>44417</v>
      </c>
      <c r="Q866" s="140">
        <v>44425</v>
      </c>
      <c r="S866" s="23" t="s">
        <v>183</v>
      </c>
      <c r="T866" s="23" t="s">
        <v>305</v>
      </c>
      <c r="U866" s="23" t="s">
        <v>305</v>
      </c>
      <c r="V866" s="23" t="s">
        <v>233</v>
      </c>
      <c r="W866" s="23" t="s">
        <v>112</v>
      </c>
      <c r="X866" s="23">
        <v>30949.1</v>
      </c>
      <c r="Y866" s="23">
        <v>31157.9</v>
      </c>
      <c r="Z866" s="23">
        <v>28504.12</v>
      </c>
      <c r="AA866" s="23">
        <v>26618.12</v>
      </c>
      <c r="AB866" s="23" t="s">
        <v>4443</v>
      </c>
      <c r="AC866" s="23" t="s">
        <v>791</v>
      </c>
      <c r="AD866" s="118">
        <v>0</v>
      </c>
      <c r="AE866" s="118">
        <v>2</v>
      </c>
      <c r="AF866" s="23" t="s">
        <v>20</v>
      </c>
      <c r="AG866" s="23" t="s">
        <v>792</v>
      </c>
      <c r="AH866" s="39">
        <v>44425</v>
      </c>
      <c r="AJ866" s="75" t="s">
        <v>5305</v>
      </c>
      <c r="AL866" s="23" t="s">
        <v>5306</v>
      </c>
      <c r="AM866" s="102">
        <v>44427</v>
      </c>
    </row>
    <row r="867" spans="1:39">
      <c r="A867" s="72" t="s">
        <v>4444</v>
      </c>
      <c r="B867" s="23" t="s">
        <v>4445</v>
      </c>
      <c r="C867" s="140">
        <v>44395</v>
      </c>
      <c r="D867" s="23" t="s">
        <v>729</v>
      </c>
      <c r="E867" s="23" t="s">
        <v>2919</v>
      </c>
      <c r="F867" s="23" t="s">
        <v>1723</v>
      </c>
      <c r="G867" s="23" t="s">
        <v>1724</v>
      </c>
      <c r="Q867" s="141" t="s">
        <v>4446</v>
      </c>
      <c r="T867" s="23" t="s">
        <v>3715</v>
      </c>
      <c r="U867" s="23" t="s">
        <v>3715</v>
      </c>
      <c r="V867" s="23" t="s">
        <v>298</v>
      </c>
      <c r="W867" s="23" t="s">
        <v>3288</v>
      </c>
      <c r="Y867" s="37">
        <v>7150</v>
      </c>
      <c r="Z867" s="23">
        <v>61.5</v>
      </c>
      <c r="AB867" s="23" t="s">
        <v>4447</v>
      </c>
      <c r="AC867" s="23" t="s">
        <v>3793</v>
      </c>
      <c r="AD867" s="118">
        <v>0</v>
      </c>
      <c r="AE867" s="118">
        <v>2</v>
      </c>
      <c r="AF867" s="23" t="s">
        <v>3193</v>
      </c>
      <c r="AG867" s="23" t="s">
        <v>1640</v>
      </c>
      <c r="AH867" s="39">
        <v>44427</v>
      </c>
    </row>
    <row r="868" spans="1:39">
      <c r="A868" s="72" t="s">
        <v>4448</v>
      </c>
      <c r="B868" s="23" t="s">
        <v>4449</v>
      </c>
      <c r="C868" s="140">
        <v>44426</v>
      </c>
      <c r="F868" s="23" t="s">
        <v>1723</v>
      </c>
      <c r="G868" s="23" t="s">
        <v>1724</v>
      </c>
      <c r="Q868" s="141" t="s">
        <v>4446</v>
      </c>
      <c r="W868" s="23" t="s">
        <v>4450</v>
      </c>
      <c r="Y868" s="37">
        <v>26000</v>
      </c>
      <c r="Z868" s="23">
        <v>65</v>
      </c>
      <c r="AB868" s="23" t="s">
        <v>4451</v>
      </c>
      <c r="AC868" s="23" t="s">
        <v>1799</v>
      </c>
      <c r="AD868" s="118"/>
      <c r="AE868" s="118"/>
      <c r="AF868" s="23" t="s">
        <v>3297</v>
      </c>
      <c r="AG868" s="23" t="s">
        <v>666</v>
      </c>
      <c r="AH868" s="39">
        <v>44427</v>
      </c>
    </row>
    <row r="869" spans="1:39">
      <c r="A869" s="72" t="s">
        <v>4452</v>
      </c>
      <c r="B869" s="23" t="s">
        <v>4453</v>
      </c>
      <c r="C869" s="140">
        <v>44426</v>
      </c>
      <c r="D869" s="23" t="s">
        <v>729</v>
      </c>
      <c r="E869" s="23" t="s">
        <v>2919</v>
      </c>
      <c r="F869" s="23" t="s">
        <v>1723</v>
      </c>
      <c r="G869" s="23" t="s">
        <v>1724</v>
      </c>
      <c r="Q869" s="141" t="s">
        <v>4446</v>
      </c>
      <c r="T869" s="23" t="s">
        <v>3715</v>
      </c>
      <c r="U869" s="23" t="s">
        <v>3715</v>
      </c>
      <c r="V869" s="23" t="s">
        <v>298</v>
      </c>
      <c r="W869" s="23" t="s">
        <v>3841</v>
      </c>
      <c r="Y869" s="37">
        <v>16420</v>
      </c>
      <c r="Z869" s="23">
        <v>75.8</v>
      </c>
      <c r="AB869" s="23" t="s">
        <v>4454</v>
      </c>
      <c r="AC869" s="23" t="s">
        <v>4455</v>
      </c>
      <c r="AD869" s="118">
        <v>0</v>
      </c>
      <c r="AE869" s="118">
        <v>3</v>
      </c>
      <c r="AF869" s="23" t="s">
        <v>3181</v>
      </c>
      <c r="AG869" s="23" t="s">
        <v>1640</v>
      </c>
      <c r="AH869" s="39">
        <v>44427</v>
      </c>
    </row>
    <row r="870" spans="1:39">
      <c r="A870" s="72" t="s">
        <v>4456</v>
      </c>
      <c r="B870" s="23" t="s">
        <v>4457</v>
      </c>
      <c r="C870" s="140">
        <v>44426</v>
      </c>
      <c r="F870" s="23" t="s">
        <v>1723</v>
      </c>
      <c r="G870" s="23" t="s">
        <v>1724</v>
      </c>
      <c r="Q870" s="141" t="s">
        <v>4446</v>
      </c>
      <c r="W870" s="23" t="s">
        <v>4387</v>
      </c>
      <c r="Y870" s="37">
        <v>18130</v>
      </c>
      <c r="Z870" s="23">
        <v>68</v>
      </c>
      <c r="AB870" s="23" t="s">
        <v>4458</v>
      </c>
      <c r="AC870" s="23" t="s">
        <v>4459</v>
      </c>
      <c r="AD870" s="118"/>
      <c r="AE870" s="118"/>
      <c r="AF870" s="23" t="s">
        <v>3297</v>
      </c>
      <c r="AG870" s="23" t="s">
        <v>1640</v>
      </c>
      <c r="AH870" s="39">
        <v>44427</v>
      </c>
    </row>
    <row r="871" spans="1:39">
      <c r="A871" s="72" t="s">
        <v>4460</v>
      </c>
      <c r="B871" s="23">
        <v>268057685</v>
      </c>
      <c r="C871" s="140">
        <v>44426</v>
      </c>
      <c r="F871" s="23" t="s">
        <v>1723</v>
      </c>
      <c r="G871" s="23" t="s">
        <v>1724</v>
      </c>
      <c r="Q871" s="141" t="s">
        <v>4446</v>
      </c>
      <c r="W871" s="23" t="s">
        <v>4461</v>
      </c>
      <c r="Y871" s="37">
        <v>14224</v>
      </c>
      <c r="Z871" s="23">
        <v>60</v>
      </c>
      <c r="AB871" s="23" t="s">
        <v>4462</v>
      </c>
      <c r="AC871" s="23" t="s">
        <v>4463</v>
      </c>
      <c r="AD871" s="118"/>
      <c r="AE871" s="118"/>
      <c r="AF871" s="23" t="s">
        <v>3297</v>
      </c>
      <c r="AG871" s="23" t="s">
        <v>1640</v>
      </c>
      <c r="AH871" s="39">
        <v>44427</v>
      </c>
    </row>
    <row r="872" spans="1:39">
      <c r="A872" s="72" t="s">
        <v>4464</v>
      </c>
      <c r="B872" s="23" t="s">
        <v>4465</v>
      </c>
      <c r="C872" s="140">
        <v>44427</v>
      </c>
      <c r="D872" s="23" t="s">
        <v>729</v>
      </c>
      <c r="E872" s="23" t="s">
        <v>2919</v>
      </c>
      <c r="F872" s="23" t="s">
        <v>1723</v>
      </c>
      <c r="G872" s="23" t="s">
        <v>1724</v>
      </c>
      <c r="Q872" s="141" t="s">
        <v>4466</v>
      </c>
      <c r="T872" s="23" t="s">
        <v>3715</v>
      </c>
      <c r="U872" s="23" t="s">
        <v>3715</v>
      </c>
      <c r="V872" s="23" t="s">
        <v>298</v>
      </c>
      <c r="W872" s="23" t="s">
        <v>3288</v>
      </c>
      <c r="Y872" s="37">
        <v>7220</v>
      </c>
      <c r="Z872" s="23">
        <v>76.099999999999994</v>
      </c>
      <c r="AB872" s="23" t="s">
        <v>4467</v>
      </c>
      <c r="AC872" s="23" t="s">
        <v>4427</v>
      </c>
      <c r="AD872" s="118">
        <v>0</v>
      </c>
      <c r="AE872" s="118">
        <v>1</v>
      </c>
      <c r="AF872" s="23" t="s">
        <v>3181</v>
      </c>
      <c r="AG872" s="23" t="s">
        <v>637</v>
      </c>
      <c r="AH872" s="39">
        <v>44428</v>
      </c>
    </row>
    <row r="873" spans="1:39">
      <c r="A873" s="72" t="s">
        <v>4468</v>
      </c>
      <c r="B873" s="23" t="s">
        <v>4469</v>
      </c>
      <c r="C873" s="140">
        <v>44430</v>
      </c>
      <c r="D873" s="23" t="s">
        <v>729</v>
      </c>
      <c r="E873" s="23" t="s">
        <v>2919</v>
      </c>
      <c r="F873" s="23" t="s">
        <v>1723</v>
      </c>
      <c r="G873" s="23" t="s">
        <v>1724</v>
      </c>
      <c r="Q873" s="141" t="s">
        <v>4470</v>
      </c>
      <c r="T873" s="23" t="s">
        <v>3715</v>
      </c>
      <c r="U873" s="23" t="s">
        <v>3715</v>
      </c>
      <c r="V873" s="23" t="s">
        <v>298</v>
      </c>
      <c r="W873" s="23" t="s">
        <v>3288</v>
      </c>
      <c r="Y873" s="37">
        <v>7180</v>
      </c>
      <c r="Z873" s="23">
        <v>75.8</v>
      </c>
      <c r="AB873" s="23" t="s">
        <v>4471</v>
      </c>
      <c r="AC873" s="23" t="s">
        <v>4195</v>
      </c>
      <c r="AD873" s="118">
        <v>0</v>
      </c>
      <c r="AE873" s="118">
        <v>2</v>
      </c>
      <c r="AF873" s="23" t="s">
        <v>3181</v>
      </c>
      <c r="AG873" s="23" t="s">
        <v>637</v>
      </c>
      <c r="AH873" s="39">
        <v>44431</v>
      </c>
    </row>
    <row r="874" spans="1:39">
      <c r="A874" s="72" t="s">
        <v>4472</v>
      </c>
      <c r="B874" s="23" t="s">
        <v>4473</v>
      </c>
      <c r="C874" s="140">
        <v>44428</v>
      </c>
      <c r="F874" s="23" t="s">
        <v>1723</v>
      </c>
      <c r="G874" s="23" t="s">
        <v>1724</v>
      </c>
      <c r="Q874" s="141" t="s">
        <v>4470</v>
      </c>
      <c r="W874" s="23" t="s">
        <v>2710</v>
      </c>
      <c r="Y874" s="37">
        <v>24000</v>
      </c>
      <c r="Z874" s="23">
        <v>74</v>
      </c>
      <c r="AB874" s="23" t="s">
        <v>4474</v>
      </c>
      <c r="AC874" s="23" t="s">
        <v>2712</v>
      </c>
      <c r="AD874" s="118"/>
      <c r="AE874" s="118"/>
      <c r="AF874" s="23" t="s">
        <v>3181</v>
      </c>
      <c r="AG874" s="23" t="s">
        <v>1640</v>
      </c>
      <c r="AH874" s="39">
        <v>44431</v>
      </c>
    </row>
    <row r="875" spans="1:39">
      <c r="A875" s="72" t="s">
        <v>4475</v>
      </c>
      <c r="B875" s="23" t="s">
        <v>4476</v>
      </c>
      <c r="C875" s="140">
        <v>44432</v>
      </c>
      <c r="D875" s="23" t="s">
        <v>729</v>
      </c>
      <c r="E875" s="23" t="s">
        <v>2919</v>
      </c>
      <c r="F875" s="23" t="s">
        <v>1723</v>
      </c>
      <c r="G875" s="23" t="s">
        <v>1724</v>
      </c>
      <c r="Q875" s="141" t="s">
        <v>4477</v>
      </c>
      <c r="T875" s="23" t="s">
        <v>3715</v>
      </c>
      <c r="U875" s="23" t="s">
        <v>3715</v>
      </c>
      <c r="V875" s="23" t="s">
        <v>298</v>
      </c>
      <c r="W875" s="23" t="s">
        <v>4351</v>
      </c>
      <c r="Y875" s="37">
        <v>14940</v>
      </c>
      <c r="Z875" s="23">
        <v>75.599999999999994</v>
      </c>
      <c r="AB875" s="23" t="s">
        <v>4478</v>
      </c>
      <c r="AC875" s="23" t="s">
        <v>3673</v>
      </c>
      <c r="AD875" s="118">
        <v>0</v>
      </c>
      <c r="AE875" s="118">
        <v>3</v>
      </c>
      <c r="AF875" s="23" t="s">
        <v>3181</v>
      </c>
      <c r="AG875" s="23" t="s">
        <v>1640</v>
      </c>
      <c r="AH875" s="39">
        <v>44432</v>
      </c>
    </row>
    <row r="876" spans="1:39">
      <c r="A876" s="72" t="s">
        <v>4479</v>
      </c>
      <c r="B876" s="23" t="s">
        <v>4480</v>
      </c>
      <c r="C876" s="140">
        <v>44431</v>
      </c>
      <c r="F876" s="23" t="s">
        <v>1723</v>
      </c>
      <c r="G876" s="23" t="s">
        <v>1724</v>
      </c>
      <c r="Q876" s="141" t="s">
        <v>4477</v>
      </c>
      <c r="W876" s="23" t="s">
        <v>2903</v>
      </c>
      <c r="Y876" s="37">
        <v>13375</v>
      </c>
      <c r="Z876" s="23">
        <v>66.819999999999993</v>
      </c>
      <c r="AB876" s="23" t="s">
        <v>4481</v>
      </c>
      <c r="AC876" s="23" t="s">
        <v>3098</v>
      </c>
      <c r="AD876" s="118"/>
      <c r="AE876" s="118"/>
      <c r="AF876" s="23" t="s">
        <v>3193</v>
      </c>
      <c r="AG876" s="23" t="s">
        <v>637</v>
      </c>
      <c r="AH876" s="39">
        <v>44432</v>
      </c>
    </row>
    <row r="877" spans="1:39">
      <c r="A877" s="72" t="s">
        <v>4482</v>
      </c>
      <c r="B877" s="23" t="s">
        <v>4483</v>
      </c>
      <c r="C877" s="140">
        <v>44431</v>
      </c>
      <c r="F877" s="23" t="s">
        <v>1723</v>
      </c>
      <c r="G877" s="23" t="s">
        <v>1724</v>
      </c>
      <c r="Q877" s="141" t="s">
        <v>4477</v>
      </c>
      <c r="W877" s="23" t="s">
        <v>3288</v>
      </c>
      <c r="Y877" s="37">
        <v>7150</v>
      </c>
      <c r="Z877" s="23">
        <v>61.5</v>
      </c>
      <c r="AB877" s="23" t="s">
        <v>4484</v>
      </c>
      <c r="AC877" s="23" t="s">
        <v>3793</v>
      </c>
      <c r="AD877" s="118"/>
      <c r="AE877" s="118"/>
      <c r="AF877" s="23" t="s">
        <v>3193</v>
      </c>
      <c r="AG877" s="23" t="s">
        <v>1640</v>
      </c>
      <c r="AH877" s="39">
        <v>44432</v>
      </c>
    </row>
    <row r="878" spans="1:39">
      <c r="A878" s="72" t="s">
        <v>4485</v>
      </c>
      <c r="B878" s="23" t="s">
        <v>4486</v>
      </c>
      <c r="C878" s="140">
        <v>44431</v>
      </c>
      <c r="F878" s="23" t="s">
        <v>1723</v>
      </c>
      <c r="G878" s="23" t="s">
        <v>1724</v>
      </c>
      <c r="Q878" s="141" t="s">
        <v>4487</v>
      </c>
      <c r="T878" s="23" t="s">
        <v>3715</v>
      </c>
      <c r="U878" s="23" t="s">
        <v>3715</v>
      </c>
      <c r="V878" s="23" t="s">
        <v>298</v>
      </c>
      <c r="W878" s="23" t="s">
        <v>2710</v>
      </c>
      <c r="Y878" s="37">
        <v>21720</v>
      </c>
      <c r="Z878" s="23">
        <v>73.8</v>
      </c>
      <c r="AB878" s="23" t="s">
        <v>4488</v>
      </c>
      <c r="AC878" s="23" t="s">
        <v>4489</v>
      </c>
      <c r="AD878" s="118">
        <v>0</v>
      </c>
      <c r="AE878" s="118">
        <v>1</v>
      </c>
      <c r="AF878" s="23" t="s">
        <v>3181</v>
      </c>
      <c r="AG878" s="23" t="s">
        <v>1640</v>
      </c>
      <c r="AH878" s="39">
        <v>44432</v>
      </c>
    </row>
    <row r="879" spans="1:39">
      <c r="A879" s="72" t="s">
        <v>4490</v>
      </c>
      <c r="B879" s="23" t="s">
        <v>4491</v>
      </c>
      <c r="C879" s="140">
        <v>44432</v>
      </c>
      <c r="D879" s="23" t="s">
        <v>729</v>
      </c>
      <c r="E879" s="23" t="s">
        <v>2919</v>
      </c>
      <c r="F879" s="23" t="s">
        <v>1723</v>
      </c>
      <c r="G879" s="23" t="s">
        <v>1724</v>
      </c>
      <c r="Q879" s="141" t="s">
        <v>4492</v>
      </c>
      <c r="T879" s="23" t="s">
        <v>3715</v>
      </c>
      <c r="U879" s="23" t="s">
        <v>3715</v>
      </c>
      <c r="V879" s="23" t="s">
        <v>298</v>
      </c>
      <c r="W879" s="23" t="s">
        <v>4493</v>
      </c>
      <c r="Y879" s="37">
        <v>9600</v>
      </c>
      <c r="Z879" s="23">
        <v>75.599999999999994</v>
      </c>
      <c r="AB879" s="23" t="s">
        <v>4494</v>
      </c>
      <c r="AC879" s="23" t="s">
        <v>4495</v>
      </c>
      <c r="AD879" s="118">
        <v>0</v>
      </c>
      <c r="AE879" s="118">
        <v>1</v>
      </c>
      <c r="AF879" s="23" t="s">
        <v>3181</v>
      </c>
      <c r="AG879" s="23" t="s">
        <v>1640</v>
      </c>
      <c r="AH879" s="39">
        <v>44433</v>
      </c>
    </row>
    <row r="880" spans="1:39">
      <c r="A880" s="72" t="s">
        <v>4496</v>
      </c>
      <c r="B880" s="23" t="s">
        <v>4497</v>
      </c>
      <c r="C880" s="140">
        <v>44433</v>
      </c>
      <c r="D880" s="23" t="s">
        <v>729</v>
      </c>
      <c r="E880" s="23" t="s">
        <v>2919</v>
      </c>
      <c r="F880" s="23" t="s">
        <v>1723</v>
      </c>
      <c r="G880" s="23" t="s">
        <v>1724</v>
      </c>
      <c r="Q880" s="141" t="s">
        <v>4498</v>
      </c>
      <c r="T880" s="23" t="s">
        <v>3715</v>
      </c>
      <c r="U880" s="23" t="s">
        <v>3715</v>
      </c>
      <c r="V880" s="23" t="s">
        <v>298</v>
      </c>
      <c r="W880" s="23" t="s">
        <v>3288</v>
      </c>
      <c r="Y880" s="37">
        <v>7160</v>
      </c>
      <c r="Z880" s="23">
        <v>75.400000000000006</v>
      </c>
      <c r="AB880" s="23" t="s">
        <v>4499</v>
      </c>
      <c r="AC880" s="23" t="s">
        <v>4169</v>
      </c>
      <c r="AD880" s="118">
        <v>0</v>
      </c>
      <c r="AE880" s="118">
        <v>1</v>
      </c>
      <c r="AF880" s="23" t="s">
        <v>3181</v>
      </c>
      <c r="AG880" s="23" t="s">
        <v>637</v>
      </c>
      <c r="AH880" s="39">
        <v>44434</v>
      </c>
    </row>
    <row r="881" spans="1:39">
      <c r="A881" s="72" t="s">
        <v>4500</v>
      </c>
      <c r="B881" s="23" t="s">
        <v>4501</v>
      </c>
      <c r="C881" s="140">
        <v>44418</v>
      </c>
      <c r="D881" s="23" t="s">
        <v>729</v>
      </c>
      <c r="E881" s="23" t="s">
        <v>752</v>
      </c>
      <c r="F881" s="23" t="s">
        <v>3969</v>
      </c>
      <c r="G881" s="23" t="s">
        <v>3469</v>
      </c>
      <c r="H881" s="23" t="s">
        <v>4502</v>
      </c>
      <c r="I881" s="23" t="s">
        <v>4502</v>
      </c>
      <c r="J881" s="140">
        <v>44412</v>
      </c>
      <c r="T881" s="23" t="s">
        <v>12031</v>
      </c>
      <c r="U881" s="23" t="s">
        <v>12031</v>
      </c>
      <c r="V881" s="23" t="s">
        <v>299</v>
      </c>
      <c r="W881" s="23" t="s">
        <v>4503</v>
      </c>
      <c r="Y881" s="23">
        <v>3180</v>
      </c>
      <c r="AB881" s="23" t="s">
        <v>4504</v>
      </c>
      <c r="AC881" s="23">
        <v>4</v>
      </c>
      <c r="AD881" s="118">
        <v>0</v>
      </c>
      <c r="AE881" s="118">
        <v>1</v>
      </c>
      <c r="AG881" s="23" t="s">
        <v>3973</v>
      </c>
      <c r="AH881" s="39">
        <v>44435</v>
      </c>
      <c r="AI881" s="53" t="s">
        <v>3469</v>
      </c>
      <c r="AJ881" s="75" t="s">
        <v>5304</v>
      </c>
      <c r="AL881" s="23" t="s">
        <v>5303</v>
      </c>
      <c r="AM881" s="102">
        <v>44445</v>
      </c>
    </row>
    <row r="882" spans="1:39">
      <c r="A882" s="72" t="s">
        <v>4507</v>
      </c>
      <c r="B882" s="23" t="s">
        <v>4526</v>
      </c>
      <c r="C882" s="140">
        <v>44419</v>
      </c>
      <c r="D882" s="23" t="s">
        <v>729</v>
      </c>
      <c r="E882" s="23" t="s">
        <v>752</v>
      </c>
      <c r="F882" s="23" t="s">
        <v>2926</v>
      </c>
      <c r="G882" s="23" t="s">
        <v>2165</v>
      </c>
      <c r="P882" s="23" t="s">
        <v>4508</v>
      </c>
      <c r="Q882" s="141" t="s">
        <v>4509</v>
      </c>
      <c r="T882" s="23" t="s">
        <v>12031</v>
      </c>
      <c r="U882" s="23" t="s">
        <v>12031</v>
      </c>
      <c r="V882" s="23" t="s">
        <v>298</v>
      </c>
      <c r="W882" s="23" t="s">
        <v>4510</v>
      </c>
      <c r="Y882" s="38">
        <v>2330</v>
      </c>
      <c r="Z882" s="23">
        <v>20</v>
      </c>
      <c r="AB882" s="23" t="s">
        <v>4511</v>
      </c>
      <c r="AC882" s="23" t="s">
        <v>131</v>
      </c>
      <c r="AD882" s="118">
        <v>1</v>
      </c>
      <c r="AE882" s="118">
        <v>0</v>
      </c>
      <c r="AF882" s="23" t="s">
        <v>4512</v>
      </c>
      <c r="AG882" s="23" t="s">
        <v>4513</v>
      </c>
      <c r="AH882" s="39">
        <v>44436</v>
      </c>
    </row>
    <row r="883" spans="1:39">
      <c r="A883" s="72" t="s">
        <v>4514</v>
      </c>
      <c r="B883" s="23" t="s">
        <v>4515</v>
      </c>
      <c r="C883" s="140">
        <v>44436</v>
      </c>
      <c r="D883" s="23" t="s">
        <v>729</v>
      </c>
      <c r="E883" s="23" t="s">
        <v>2919</v>
      </c>
      <c r="F883" s="23" t="s">
        <v>1723</v>
      </c>
      <c r="G883" s="23" t="s">
        <v>1724</v>
      </c>
      <c r="Q883" s="141" t="s">
        <v>4516</v>
      </c>
      <c r="T883" s="23" t="s">
        <v>3715</v>
      </c>
      <c r="U883" s="23" t="s">
        <v>3715</v>
      </c>
      <c r="V883" s="23" t="s">
        <v>298</v>
      </c>
      <c r="W883" s="23" t="s">
        <v>3288</v>
      </c>
      <c r="Y883" s="37">
        <v>7180</v>
      </c>
      <c r="Z883" s="23">
        <v>75.599999999999994</v>
      </c>
      <c r="AB883" s="23" t="s">
        <v>4517</v>
      </c>
      <c r="AC883" s="23" t="s">
        <v>4195</v>
      </c>
      <c r="AD883" s="118">
        <v>0</v>
      </c>
      <c r="AE883" s="118">
        <v>4</v>
      </c>
      <c r="AF883" s="23" t="s">
        <v>3181</v>
      </c>
      <c r="AG883" s="23" t="s">
        <v>637</v>
      </c>
      <c r="AH883" s="39">
        <v>44438</v>
      </c>
    </row>
    <row r="884" spans="1:39">
      <c r="A884" s="72" t="s">
        <v>4518</v>
      </c>
      <c r="B884" s="23" t="s">
        <v>4519</v>
      </c>
      <c r="C884" s="140">
        <v>44436</v>
      </c>
      <c r="F884" s="23" t="s">
        <v>1723</v>
      </c>
      <c r="G884" s="23" t="s">
        <v>1724</v>
      </c>
      <c r="Q884" s="141" t="s">
        <v>4516</v>
      </c>
      <c r="W884" s="23" t="s">
        <v>4493</v>
      </c>
      <c r="Y884" s="37">
        <v>9340</v>
      </c>
      <c r="Z884" s="23">
        <v>75.400000000000006</v>
      </c>
      <c r="AB884" s="23" t="s">
        <v>4520</v>
      </c>
      <c r="AC884" s="23" t="s">
        <v>4521</v>
      </c>
      <c r="AD884" s="118"/>
      <c r="AE884" s="118"/>
      <c r="AF884" s="23" t="s">
        <v>3181</v>
      </c>
      <c r="AG884" s="23" t="s">
        <v>1640</v>
      </c>
      <c r="AH884" s="39">
        <v>44438</v>
      </c>
    </row>
    <row r="885" spans="1:39" ht="32">
      <c r="A885" s="72" t="s">
        <v>4522</v>
      </c>
      <c r="B885" s="23" t="s">
        <v>4523</v>
      </c>
      <c r="C885" s="140">
        <v>44436</v>
      </c>
      <c r="F885" s="23" t="s">
        <v>1723</v>
      </c>
      <c r="G885" s="23" t="s">
        <v>1724</v>
      </c>
      <c r="Q885" s="141" t="s">
        <v>4516</v>
      </c>
      <c r="W885" s="23" t="s">
        <v>3288</v>
      </c>
      <c r="Y885" s="37">
        <v>14350</v>
      </c>
      <c r="Z885" s="23">
        <v>123</v>
      </c>
      <c r="AB885" s="19" t="s">
        <v>4524</v>
      </c>
      <c r="AC885" s="23" t="s">
        <v>4525</v>
      </c>
      <c r="AD885" s="118"/>
      <c r="AE885" s="118"/>
      <c r="AF885" s="19" t="s">
        <v>3208</v>
      </c>
      <c r="AG885" s="23" t="s">
        <v>1640</v>
      </c>
      <c r="AH885" s="39">
        <v>44438</v>
      </c>
    </row>
    <row r="886" spans="1:39" ht="16">
      <c r="A886" s="72" t="s">
        <v>4527</v>
      </c>
      <c r="B886" s="23" t="s">
        <v>4528</v>
      </c>
      <c r="C886" s="140">
        <v>44425</v>
      </c>
      <c r="D886" s="23" t="s">
        <v>729</v>
      </c>
      <c r="E886" s="23" t="s">
        <v>752</v>
      </c>
      <c r="F886" s="23" t="s">
        <v>4531</v>
      </c>
      <c r="G886" s="23" t="s">
        <v>1724</v>
      </c>
      <c r="P886" s="23" t="s">
        <v>4529</v>
      </c>
      <c r="Q886" s="141" t="s">
        <v>4530</v>
      </c>
      <c r="T886" s="23" t="s">
        <v>12031</v>
      </c>
      <c r="U886" s="23" t="s">
        <v>12031</v>
      </c>
      <c r="V886" s="23" t="s">
        <v>298</v>
      </c>
      <c r="W886" s="19" t="s">
        <v>498</v>
      </c>
      <c r="Y886" s="38">
        <v>13926</v>
      </c>
      <c r="Z886" s="23">
        <v>54.21</v>
      </c>
      <c r="AB886" s="23" t="s">
        <v>4532</v>
      </c>
      <c r="AC886" s="23" t="s">
        <v>4533</v>
      </c>
      <c r="AD886" s="118">
        <v>0</v>
      </c>
      <c r="AE886" s="118">
        <v>1</v>
      </c>
      <c r="AF886" s="23" t="s">
        <v>3297</v>
      </c>
      <c r="AG886" s="23" t="s">
        <v>4534</v>
      </c>
      <c r="AH886" s="39">
        <v>44438</v>
      </c>
    </row>
    <row r="887" spans="1:39">
      <c r="A887" s="72" t="s">
        <v>4535</v>
      </c>
      <c r="B887" s="23" t="s">
        <v>4536</v>
      </c>
      <c r="C887" s="140">
        <v>44438</v>
      </c>
      <c r="D887" s="23" t="s">
        <v>729</v>
      </c>
      <c r="E887" s="23" t="s">
        <v>2919</v>
      </c>
      <c r="F887" s="23" t="s">
        <v>1723</v>
      </c>
      <c r="G887" s="23" t="s">
        <v>1724</v>
      </c>
      <c r="Q887" s="141" t="s">
        <v>4537</v>
      </c>
      <c r="T887" s="23" t="s">
        <v>3715</v>
      </c>
      <c r="U887" s="23" t="s">
        <v>3715</v>
      </c>
      <c r="V887" s="23" t="s">
        <v>298</v>
      </c>
      <c r="W887" s="23" t="s">
        <v>4538</v>
      </c>
      <c r="Y887" s="37">
        <v>17000</v>
      </c>
      <c r="Z887" s="23">
        <v>75.8</v>
      </c>
      <c r="AB887" s="23" t="s">
        <v>4539</v>
      </c>
      <c r="AC887" s="23" t="s">
        <v>4540</v>
      </c>
      <c r="AD887" s="118">
        <v>0</v>
      </c>
      <c r="AE887" s="118">
        <v>1</v>
      </c>
      <c r="AF887" s="23" t="s">
        <v>3181</v>
      </c>
      <c r="AG887" s="23" t="s">
        <v>1640</v>
      </c>
      <c r="AH887" s="39">
        <v>44439</v>
      </c>
    </row>
    <row r="888" spans="1:39">
      <c r="A888" s="72" t="s">
        <v>4541</v>
      </c>
      <c r="B888" s="23" t="s">
        <v>4542</v>
      </c>
      <c r="C888" s="140">
        <v>44397</v>
      </c>
      <c r="D888" s="23" t="s">
        <v>729</v>
      </c>
      <c r="E888" s="23" t="s">
        <v>752</v>
      </c>
      <c r="F888" s="23" t="s">
        <v>4543</v>
      </c>
      <c r="G888" s="23" t="s">
        <v>2165</v>
      </c>
      <c r="P888" s="23" t="s">
        <v>4380</v>
      </c>
      <c r="Q888" s="141" t="s">
        <v>4335</v>
      </c>
      <c r="T888" s="23" t="s">
        <v>12031</v>
      </c>
      <c r="U888" s="23" t="s">
        <v>12031</v>
      </c>
      <c r="V888" s="23" t="s">
        <v>298</v>
      </c>
      <c r="W888" s="23" t="s">
        <v>4544</v>
      </c>
      <c r="Y888" s="37">
        <v>2129</v>
      </c>
      <c r="Z888" s="23">
        <v>20</v>
      </c>
      <c r="AB888" s="23" t="s">
        <v>4545</v>
      </c>
      <c r="AC888" s="23" t="s">
        <v>131</v>
      </c>
      <c r="AD888" s="118">
        <v>1</v>
      </c>
      <c r="AE888" s="118">
        <v>0</v>
      </c>
      <c r="AF888" s="23" t="s">
        <v>3451</v>
      </c>
      <c r="AG888" s="23" t="s">
        <v>1872</v>
      </c>
      <c r="AH888" s="39">
        <v>44440</v>
      </c>
    </row>
    <row r="889" spans="1:39">
      <c r="A889" s="72" t="s">
        <v>4546</v>
      </c>
      <c r="B889" s="23" t="s">
        <v>4547</v>
      </c>
      <c r="C889" s="140">
        <v>44439</v>
      </c>
      <c r="D889" s="23" t="s">
        <v>729</v>
      </c>
      <c r="E889" s="23" t="s">
        <v>2919</v>
      </c>
      <c r="F889" s="23" t="s">
        <v>1723</v>
      </c>
      <c r="G889" s="23" t="s">
        <v>1724</v>
      </c>
      <c r="Q889" s="141" t="s">
        <v>4548</v>
      </c>
      <c r="T889" s="23" t="s">
        <v>3715</v>
      </c>
      <c r="U889" s="23" t="s">
        <v>3715</v>
      </c>
      <c r="V889" s="23" t="s">
        <v>298</v>
      </c>
      <c r="W889" s="23" t="s">
        <v>3288</v>
      </c>
      <c r="Y889" s="37">
        <v>7220</v>
      </c>
      <c r="Z889" s="23">
        <v>76.099999999999994</v>
      </c>
      <c r="AB889" s="23" t="s">
        <v>4549</v>
      </c>
      <c r="AC889" s="23" t="s">
        <v>4427</v>
      </c>
      <c r="AD889" s="118">
        <v>0</v>
      </c>
      <c r="AE889" s="118">
        <v>2</v>
      </c>
      <c r="AF889" s="23" t="s">
        <v>3181</v>
      </c>
      <c r="AG889" s="23" t="s">
        <v>637</v>
      </c>
      <c r="AH889" s="39">
        <v>44440</v>
      </c>
    </row>
    <row r="890" spans="1:39">
      <c r="A890" s="72" t="s">
        <v>4550</v>
      </c>
      <c r="B890" s="23" t="s">
        <v>4551</v>
      </c>
      <c r="C890" s="140">
        <v>44439</v>
      </c>
      <c r="F890" s="23" t="s">
        <v>1723</v>
      </c>
      <c r="G890" s="23" t="s">
        <v>1724</v>
      </c>
      <c r="Q890" s="141" t="s">
        <v>4548</v>
      </c>
      <c r="W890" s="23" t="s">
        <v>3841</v>
      </c>
      <c r="Y890" s="37">
        <v>16480</v>
      </c>
      <c r="Z890" s="23">
        <v>76</v>
      </c>
      <c r="AB890" s="23" t="s">
        <v>4552</v>
      </c>
      <c r="AC890" s="23" t="s">
        <v>4553</v>
      </c>
      <c r="AD890" s="118"/>
      <c r="AE890" s="118"/>
      <c r="AF890" s="23" t="s">
        <v>3181</v>
      </c>
      <c r="AG890" s="23" t="s">
        <v>1640</v>
      </c>
      <c r="AH890" s="39">
        <v>44440</v>
      </c>
    </row>
    <row r="891" spans="1:39">
      <c r="A891" s="72" t="s">
        <v>4554</v>
      </c>
      <c r="B891" s="23" t="s">
        <v>4555</v>
      </c>
      <c r="C891" s="140">
        <v>44440</v>
      </c>
      <c r="D891" s="23" t="s">
        <v>729</v>
      </c>
      <c r="E891" s="23" t="s">
        <v>2919</v>
      </c>
      <c r="F891" s="23" t="s">
        <v>1723</v>
      </c>
      <c r="G891" s="23" t="s">
        <v>1724</v>
      </c>
      <c r="Q891" s="141" t="s">
        <v>4556</v>
      </c>
      <c r="T891" s="23" t="s">
        <v>3715</v>
      </c>
      <c r="U891" s="23" t="s">
        <v>3715</v>
      </c>
      <c r="V891" s="23" t="s">
        <v>298</v>
      </c>
      <c r="W891" s="23" t="s">
        <v>1716</v>
      </c>
      <c r="Y891" s="37">
        <v>5664</v>
      </c>
      <c r="Z891" s="23">
        <v>75</v>
      </c>
      <c r="AB891" s="23" t="s">
        <v>4557</v>
      </c>
      <c r="AC891" s="23" t="s">
        <v>1718</v>
      </c>
      <c r="AD891" s="118">
        <v>0</v>
      </c>
      <c r="AE891" s="118">
        <v>3</v>
      </c>
      <c r="AF891" s="23" t="s">
        <v>3181</v>
      </c>
      <c r="AG891" s="23" t="s">
        <v>1640</v>
      </c>
      <c r="AH891" s="39">
        <v>44441</v>
      </c>
    </row>
    <row r="892" spans="1:39">
      <c r="A892" s="72" t="s">
        <v>4558</v>
      </c>
      <c r="B892" s="23" t="s">
        <v>4559</v>
      </c>
      <c r="C892" s="140">
        <v>44440</v>
      </c>
      <c r="F892" s="23" t="s">
        <v>1723</v>
      </c>
      <c r="G892" s="23" t="s">
        <v>1724</v>
      </c>
      <c r="Q892" s="141" t="s">
        <v>4556</v>
      </c>
      <c r="W892" s="23" t="s">
        <v>3288</v>
      </c>
      <c r="Y892" s="37">
        <v>7240</v>
      </c>
      <c r="Z892" s="23">
        <v>76.2</v>
      </c>
      <c r="AB892" s="23" t="s">
        <v>4560</v>
      </c>
      <c r="AC892" s="23" t="s">
        <v>4151</v>
      </c>
      <c r="AD892" s="118"/>
      <c r="AE892" s="118"/>
      <c r="AF892" s="23" t="s">
        <v>3181</v>
      </c>
      <c r="AG892" s="23" t="s">
        <v>637</v>
      </c>
      <c r="AH892" s="39">
        <v>44441</v>
      </c>
    </row>
    <row r="893" spans="1:39">
      <c r="A893" s="72" t="s">
        <v>4562</v>
      </c>
      <c r="B893" s="23" t="s">
        <v>4561</v>
      </c>
      <c r="C893" s="140">
        <v>44440</v>
      </c>
      <c r="F893" s="23" t="s">
        <v>1723</v>
      </c>
      <c r="G893" s="23" t="s">
        <v>1724</v>
      </c>
      <c r="Q893" s="141" t="s">
        <v>4556</v>
      </c>
      <c r="W893" s="23" t="s">
        <v>2710</v>
      </c>
      <c r="Y893" s="37">
        <v>24000</v>
      </c>
      <c r="Z893" s="23">
        <v>76</v>
      </c>
      <c r="AB893" s="23" t="s">
        <v>4563</v>
      </c>
      <c r="AC893" s="23" t="s">
        <v>2712</v>
      </c>
      <c r="AD893" s="118"/>
      <c r="AE893" s="118"/>
      <c r="AF893" s="23" t="s">
        <v>3181</v>
      </c>
      <c r="AG893" s="23" t="s">
        <v>1640</v>
      </c>
      <c r="AH893" s="39">
        <v>44441</v>
      </c>
    </row>
    <row r="894" spans="1:39" ht="48">
      <c r="A894" s="72" t="s">
        <v>4564</v>
      </c>
      <c r="B894" s="23" t="s">
        <v>4565</v>
      </c>
      <c r="C894" s="140">
        <v>44426</v>
      </c>
      <c r="D894" s="23" t="s">
        <v>729</v>
      </c>
      <c r="E894" s="23" t="s">
        <v>752</v>
      </c>
      <c r="F894" s="23" t="s">
        <v>2926</v>
      </c>
      <c r="G894" s="23" t="s">
        <v>2165</v>
      </c>
      <c r="P894" s="23" t="s">
        <v>4566</v>
      </c>
      <c r="Q894" s="141" t="s">
        <v>4548</v>
      </c>
      <c r="T894" s="23" t="s">
        <v>12031</v>
      </c>
      <c r="U894" s="23" t="s">
        <v>12031</v>
      </c>
      <c r="V894" s="23" t="s">
        <v>298</v>
      </c>
      <c r="W894" s="19" t="s">
        <v>4570</v>
      </c>
      <c r="Y894" s="38">
        <v>5500</v>
      </c>
      <c r="Z894" s="23">
        <v>45.3</v>
      </c>
      <c r="AB894" s="23" t="s">
        <v>4567</v>
      </c>
      <c r="AC894" s="23" t="s">
        <v>2730</v>
      </c>
      <c r="AD894" s="118">
        <v>0</v>
      </c>
      <c r="AE894" s="118">
        <v>1</v>
      </c>
      <c r="AF894" s="23" t="s">
        <v>4568</v>
      </c>
      <c r="AG894" s="23" t="s">
        <v>4569</v>
      </c>
      <c r="AH894" s="39">
        <v>44441</v>
      </c>
    </row>
    <row r="895" spans="1:39">
      <c r="A895" s="72" t="s">
        <v>4571</v>
      </c>
      <c r="B895" s="23" t="s">
        <v>4572</v>
      </c>
      <c r="C895" s="140">
        <v>44441</v>
      </c>
      <c r="D895" s="23" t="s">
        <v>729</v>
      </c>
      <c r="E895" s="23" t="s">
        <v>2919</v>
      </c>
      <c r="F895" s="23" t="s">
        <v>1723</v>
      </c>
      <c r="G895" s="23" t="s">
        <v>1724</v>
      </c>
      <c r="Q895" s="141" t="s">
        <v>4556</v>
      </c>
      <c r="T895" s="23" t="s">
        <v>3715</v>
      </c>
      <c r="U895" s="23" t="s">
        <v>3715</v>
      </c>
      <c r="V895" s="23" t="s">
        <v>298</v>
      </c>
      <c r="W895" s="23" t="s">
        <v>2710</v>
      </c>
      <c r="Y895" s="37">
        <v>21480</v>
      </c>
      <c r="Z895" s="23">
        <v>74</v>
      </c>
      <c r="AB895" s="23" t="s">
        <v>4573</v>
      </c>
      <c r="AC895" s="23" t="s">
        <v>4337</v>
      </c>
      <c r="AD895" s="118">
        <v>0</v>
      </c>
      <c r="AE895" s="118">
        <v>1</v>
      </c>
      <c r="AF895" s="23" t="s">
        <v>3181</v>
      </c>
      <c r="AG895" s="23" t="s">
        <v>1640</v>
      </c>
      <c r="AH895" s="39">
        <v>44442</v>
      </c>
    </row>
    <row r="896" spans="1:39">
      <c r="A896" s="72" t="s">
        <v>4574</v>
      </c>
      <c r="B896" s="23" t="s">
        <v>4575</v>
      </c>
      <c r="C896" s="140">
        <v>44442</v>
      </c>
      <c r="D896" s="23" t="s">
        <v>729</v>
      </c>
      <c r="E896" s="23" t="s">
        <v>2919</v>
      </c>
      <c r="F896" s="23" t="s">
        <v>1723</v>
      </c>
      <c r="G896" s="23" t="s">
        <v>1724</v>
      </c>
      <c r="Q896" s="141" t="s">
        <v>4576</v>
      </c>
      <c r="T896" s="23" t="s">
        <v>3715</v>
      </c>
      <c r="U896" s="23" t="s">
        <v>3715</v>
      </c>
      <c r="V896" s="23" t="s">
        <v>298</v>
      </c>
      <c r="W896" s="23" t="s">
        <v>4538</v>
      </c>
      <c r="Y896" s="37">
        <v>16980</v>
      </c>
      <c r="Z896" s="23">
        <v>75.8</v>
      </c>
      <c r="AB896" s="23" t="s">
        <v>4577</v>
      </c>
      <c r="AC896" s="23" t="s">
        <v>3087</v>
      </c>
      <c r="AD896" s="118">
        <v>0</v>
      </c>
      <c r="AE896" s="118">
        <v>1</v>
      </c>
      <c r="AF896" s="23" t="s">
        <v>3181</v>
      </c>
      <c r="AG896" s="23" t="s">
        <v>1640</v>
      </c>
      <c r="AH896" s="39">
        <v>44442</v>
      </c>
    </row>
    <row r="897" spans="1:39">
      <c r="A897" s="72" t="s">
        <v>4578</v>
      </c>
      <c r="B897" s="23" t="s">
        <v>4579</v>
      </c>
      <c r="C897" s="140">
        <v>44442</v>
      </c>
      <c r="D897" s="23" t="s">
        <v>729</v>
      </c>
      <c r="E897" s="23" t="s">
        <v>2919</v>
      </c>
      <c r="F897" s="23" t="s">
        <v>1723</v>
      </c>
      <c r="G897" s="23" t="s">
        <v>1724</v>
      </c>
      <c r="Q897" s="141" t="s">
        <v>4576</v>
      </c>
      <c r="T897" s="23" t="s">
        <v>3715</v>
      </c>
      <c r="U897" s="23" t="s">
        <v>3715</v>
      </c>
      <c r="V897" s="23" t="s">
        <v>298</v>
      </c>
      <c r="W897" s="23" t="s">
        <v>4077</v>
      </c>
      <c r="Y897" s="37">
        <v>7732</v>
      </c>
      <c r="Z897" s="23">
        <v>75.2</v>
      </c>
      <c r="AB897" s="23" t="s">
        <v>4580</v>
      </c>
      <c r="AC897" s="23" t="s">
        <v>4581</v>
      </c>
      <c r="AD897" s="118">
        <v>0</v>
      </c>
      <c r="AE897" s="118">
        <v>1</v>
      </c>
      <c r="AF897" s="23" t="s">
        <v>3181</v>
      </c>
      <c r="AG897" s="23" t="s">
        <v>1640</v>
      </c>
      <c r="AH897" s="39">
        <v>44445</v>
      </c>
    </row>
    <row r="898" spans="1:39" ht="16">
      <c r="A898" s="72" t="s">
        <v>4587</v>
      </c>
      <c r="B898" s="23" t="s">
        <v>4582</v>
      </c>
      <c r="C898" s="140">
        <v>44439</v>
      </c>
      <c r="D898" s="23" t="s">
        <v>729</v>
      </c>
      <c r="E898" s="23" t="s">
        <v>752</v>
      </c>
      <c r="F898" s="23" t="s">
        <v>2969</v>
      </c>
      <c r="G898" s="23" t="s">
        <v>1724</v>
      </c>
      <c r="P898" s="23" t="s">
        <v>4583</v>
      </c>
      <c r="Q898" s="141" t="s">
        <v>4576</v>
      </c>
      <c r="T898" s="23" t="s">
        <v>12031</v>
      </c>
      <c r="U898" s="23" t="s">
        <v>12031</v>
      </c>
      <c r="V898" s="23" t="s">
        <v>298</v>
      </c>
      <c r="W898" s="23" t="s">
        <v>4584</v>
      </c>
      <c r="Y898" s="38">
        <v>1680</v>
      </c>
      <c r="Z898" s="23">
        <v>10.55</v>
      </c>
      <c r="AB898" s="23" t="s">
        <v>4585</v>
      </c>
      <c r="AC898" s="19" t="s">
        <v>131</v>
      </c>
      <c r="AD898" s="118">
        <v>1</v>
      </c>
      <c r="AE898" s="118">
        <v>0</v>
      </c>
      <c r="AF898" s="23" t="s">
        <v>4205</v>
      </c>
      <c r="AG898" s="23" t="s">
        <v>4586</v>
      </c>
      <c r="AH898" s="39">
        <v>44445</v>
      </c>
    </row>
    <row r="899" spans="1:39">
      <c r="A899" s="72" t="s">
        <v>4588</v>
      </c>
      <c r="B899" s="23" t="s">
        <v>4589</v>
      </c>
      <c r="C899" s="140">
        <v>44444</v>
      </c>
      <c r="D899" s="23" t="s">
        <v>729</v>
      </c>
      <c r="E899" s="23" t="s">
        <v>2919</v>
      </c>
      <c r="F899" s="23" t="s">
        <v>1723</v>
      </c>
      <c r="G899" s="23" t="s">
        <v>1724</v>
      </c>
      <c r="Q899" s="141" t="s">
        <v>4590</v>
      </c>
      <c r="T899" s="23" t="s">
        <v>3715</v>
      </c>
      <c r="U899" s="23" t="s">
        <v>3715</v>
      </c>
      <c r="V899" s="23" t="s">
        <v>298</v>
      </c>
      <c r="W899" s="23" t="s">
        <v>3288</v>
      </c>
      <c r="Y899" s="37">
        <v>7160</v>
      </c>
      <c r="Z899" s="23">
        <v>76.2</v>
      </c>
      <c r="AB899" s="23" t="s">
        <v>4591</v>
      </c>
      <c r="AC899" s="23" t="s">
        <v>4169</v>
      </c>
      <c r="AD899" s="118">
        <v>0</v>
      </c>
      <c r="AE899" s="118">
        <v>1</v>
      </c>
      <c r="AF899" s="23" t="s">
        <v>3181</v>
      </c>
      <c r="AG899" s="23" t="s">
        <v>637</v>
      </c>
      <c r="AH899" s="39">
        <v>44446</v>
      </c>
    </row>
    <row r="900" spans="1:39">
      <c r="A900" s="72" t="s">
        <v>4592</v>
      </c>
      <c r="B900" s="23" t="s">
        <v>4593</v>
      </c>
      <c r="C900" s="140">
        <v>44445</v>
      </c>
      <c r="D900" s="23" t="s">
        <v>729</v>
      </c>
      <c r="E900" s="23" t="s">
        <v>2919</v>
      </c>
      <c r="F900" s="23" t="s">
        <v>1723</v>
      </c>
      <c r="G900" s="23" t="s">
        <v>1724</v>
      </c>
      <c r="Q900" s="141" t="s">
        <v>4594</v>
      </c>
      <c r="T900" s="23" t="s">
        <v>3715</v>
      </c>
      <c r="U900" s="23" t="s">
        <v>3715</v>
      </c>
      <c r="V900" s="23" t="s">
        <v>298</v>
      </c>
      <c r="W900" s="23" t="s">
        <v>4595</v>
      </c>
      <c r="Y900" s="37">
        <v>14604</v>
      </c>
      <c r="Z900" s="23">
        <v>75.8</v>
      </c>
      <c r="AB900" s="23" t="s">
        <v>4596</v>
      </c>
      <c r="AC900" s="23" t="s">
        <v>4597</v>
      </c>
      <c r="AD900" s="118">
        <v>0</v>
      </c>
      <c r="AE900" s="118">
        <v>3</v>
      </c>
      <c r="AF900" s="23" t="s">
        <v>3181</v>
      </c>
      <c r="AG900" s="23" t="s">
        <v>1640</v>
      </c>
      <c r="AH900" s="39">
        <v>44446</v>
      </c>
    </row>
    <row r="901" spans="1:39">
      <c r="A901" s="72" t="s">
        <v>4598</v>
      </c>
      <c r="B901" s="23">
        <v>212247678</v>
      </c>
      <c r="C901" s="140">
        <v>44443</v>
      </c>
      <c r="F901" s="23" t="s">
        <v>1723</v>
      </c>
      <c r="G901" s="23" t="s">
        <v>1724</v>
      </c>
      <c r="Q901" s="141" t="s">
        <v>4594</v>
      </c>
      <c r="W901" s="23" t="s">
        <v>3288</v>
      </c>
      <c r="Y901" s="37">
        <v>7150</v>
      </c>
      <c r="Z901" s="23">
        <v>61.5</v>
      </c>
      <c r="AB901" s="23" t="s">
        <v>4599</v>
      </c>
      <c r="AC901" s="23" t="s">
        <v>3793</v>
      </c>
      <c r="AD901" s="118"/>
      <c r="AE901" s="118"/>
      <c r="AF901" s="23" t="s">
        <v>3297</v>
      </c>
      <c r="AG901" s="23" t="s">
        <v>1640</v>
      </c>
      <c r="AH901" s="39">
        <v>44446</v>
      </c>
    </row>
    <row r="902" spans="1:39">
      <c r="A902" s="72" t="s">
        <v>4600</v>
      </c>
      <c r="B902" s="23" t="s">
        <v>4601</v>
      </c>
      <c r="C902" s="140">
        <v>44446</v>
      </c>
      <c r="F902" s="23" t="s">
        <v>1723</v>
      </c>
      <c r="G902" s="23" t="s">
        <v>1724</v>
      </c>
      <c r="Q902" s="141" t="s">
        <v>4594</v>
      </c>
      <c r="W902" s="23" t="s">
        <v>3131</v>
      </c>
      <c r="Y902" s="37">
        <v>13375</v>
      </c>
      <c r="Z902" s="23">
        <v>67.650000000000006</v>
      </c>
      <c r="AB902" s="23" t="s">
        <v>4602</v>
      </c>
      <c r="AC902" s="23" t="s">
        <v>3098</v>
      </c>
      <c r="AD902" s="118"/>
      <c r="AE902" s="118"/>
      <c r="AF902" s="23" t="s">
        <v>3193</v>
      </c>
      <c r="AG902" s="23" t="s">
        <v>637</v>
      </c>
      <c r="AH902" s="39">
        <v>44446</v>
      </c>
    </row>
    <row r="903" spans="1:39">
      <c r="A903" s="72" t="s">
        <v>4603</v>
      </c>
      <c r="B903" s="23" t="s">
        <v>4604</v>
      </c>
      <c r="C903" s="140">
        <v>44446</v>
      </c>
      <c r="D903" s="23" t="s">
        <v>729</v>
      </c>
      <c r="E903" s="23" t="s">
        <v>2919</v>
      </c>
      <c r="F903" s="23" t="s">
        <v>1723</v>
      </c>
      <c r="G903" s="23" t="s">
        <v>1724</v>
      </c>
      <c r="Q903" s="141" t="s">
        <v>4605</v>
      </c>
      <c r="T903" s="23" t="s">
        <v>3715</v>
      </c>
      <c r="U903" s="23" t="s">
        <v>3715</v>
      </c>
      <c r="V903" s="23" t="s">
        <v>298</v>
      </c>
      <c r="W903" s="23" t="s">
        <v>2710</v>
      </c>
      <c r="Y903" s="37">
        <v>24000</v>
      </c>
      <c r="Z903" s="23">
        <v>76</v>
      </c>
      <c r="AB903" s="23" t="s">
        <v>4606</v>
      </c>
      <c r="AC903" s="23" t="s">
        <v>2712</v>
      </c>
      <c r="AD903" s="118">
        <v>0</v>
      </c>
      <c r="AE903" s="118">
        <v>1</v>
      </c>
      <c r="AF903" s="23" t="s">
        <v>3181</v>
      </c>
      <c r="AG903" s="23" t="s">
        <v>1640</v>
      </c>
      <c r="AH903" s="39">
        <v>44447</v>
      </c>
    </row>
    <row r="904" spans="1:39">
      <c r="A904" s="72" t="s">
        <v>4607</v>
      </c>
      <c r="B904" s="23" t="s">
        <v>4608</v>
      </c>
      <c r="C904" s="140">
        <v>44446</v>
      </c>
      <c r="D904" s="23" t="s">
        <v>729</v>
      </c>
      <c r="E904" s="23" t="s">
        <v>2919</v>
      </c>
      <c r="F904" s="23" t="s">
        <v>1723</v>
      </c>
      <c r="G904" s="23" t="s">
        <v>1724</v>
      </c>
      <c r="Q904" s="141" t="s">
        <v>4605</v>
      </c>
      <c r="T904" s="23" t="s">
        <v>3715</v>
      </c>
      <c r="U904" s="23" t="s">
        <v>3715</v>
      </c>
      <c r="V904" s="23" t="s">
        <v>298</v>
      </c>
      <c r="W904" s="23" t="s">
        <v>4609</v>
      </c>
      <c r="Y904" s="37">
        <v>19125</v>
      </c>
      <c r="Z904" s="23">
        <v>75.5</v>
      </c>
      <c r="AB904" s="23" t="s">
        <v>4610</v>
      </c>
      <c r="AC904" s="23" t="s">
        <v>4611</v>
      </c>
      <c r="AD904" s="118">
        <v>0</v>
      </c>
      <c r="AE904" s="118">
        <v>1</v>
      </c>
      <c r="AF904" s="23" t="s">
        <v>3181</v>
      </c>
      <c r="AG904" s="23" t="s">
        <v>1640</v>
      </c>
      <c r="AH904" s="39">
        <v>44447</v>
      </c>
    </row>
    <row r="905" spans="1:39">
      <c r="A905" s="72" t="s">
        <v>4612</v>
      </c>
      <c r="B905" s="23" t="s">
        <v>4613</v>
      </c>
      <c r="C905" s="140">
        <v>44448</v>
      </c>
      <c r="D905" s="23" t="s">
        <v>729</v>
      </c>
      <c r="E905" s="23" t="s">
        <v>2919</v>
      </c>
      <c r="F905" s="23" t="s">
        <v>1723</v>
      </c>
      <c r="G905" s="23" t="s">
        <v>1724</v>
      </c>
      <c r="Q905" s="141" t="s">
        <v>4614</v>
      </c>
      <c r="T905" s="23" t="s">
        <v>3715</v>
      </c>
      <c r="U905" s="23" t="s">
        <v>3715</v>
      </c>
      <c r="V905" s="23" t="s">
        <v>298</v>
      </c>
      <c r="W905" s="23" t="s">
        <v>3288</v>
      </c>
      <c r="Y905" s="37">
        <v>7220</v>
      </c>
      <c r="Z905" s="23">
        <v>76.400000000000006</v>
      </c>
      <c r="AB905" s="23" t="s">
        <v>4615</v>
      </c>
      <c r="AC905" s="23" t="s">
        <v>4427</v>
      </c>
      <c r="AD905" s="118">
        <v>0</v>
      </c>
      <c r="AE905" s="118">
        <v>3</v>
      </c>
      <c r="AF905" s="23" t="s">
        <v>3181</v>
      </c>
      <c r="AG905" s="23" t="s">
        <v>637</v>
      </c>
      <c r="AH905" s="39">
        <v>44448</v>
      </c>
    </row>
    <row r="906" spans="1:39">
      <c r="A906" s="72" t="s">
        <v>4616</v>
      </c>
      <c r="B906" s="23" t="s">
        <v>4617</v>
      </c>
      <c r="C906" s="140">
        <v>44447</v>
      </c>
      <c r="F906" s="23" t="s">
        <v>1723</v>
      </c>
      <c r="G906" s="23" t="s">
        <v>1724</v>
      </c>
      <c r="Q906" s="141" t="s">
        <v>4614</v>
      </c>
      <c r="W906" s="23" t="s">
        <v>4618</v>
      </c>
      <c r="Y906" s="37">
        <v>9472</v>
      </c>
      <c r="Z906" s="23">
        <v>75.8</v>
      </c>
      <c r="AB906" s="23" t="s">
        <v>4619</v>
      </c>
      <c r="AC906" s="23" t="s">
        <v>4620</v>
      </c>
      <c r="AD906" s="118"/>
      <c r="AE906" s="118"/>
      <c r="AF906" s="23" t="s">
        <v>3181</v>
      </c>
      <c r="AG906" s="23" t="s">
        <v>1640</v>
      </c>
      <c r="AH906" s="39">
        <v>44448</v>
      </c>
    </row>
    <row r="907" spans="1:39">
      <c r="A907" s="72" t="s">
        <v>4621</v>
      </c>
      <c r="B907" s="23" t="s">
        <v>4622</v>
      </c>
      <c r="C907" s="140">
        <v>44448</v>
      </c>
      <c r="F907" s="23" t="s">
        <v>1723</v>
      </c>
      <c r="G907" s="23" t="s">
        <v>1724</v>
      </c>
      <c r="Q907" s="141" t="s">
        <v>4614</v>
      </c>
      <c r="W907" s="23" t="s">
        <v>3288</v>
      </c>
      <c r="Y907" s="37">
        <v>7160</v>
      </c>
      <c r="Z907" s="23">
        <v>75.8</v>
      </c>
      <c r="AB907" s="23" t="s">
        <v>4623</v>
      </c>
      <c r="AC907" s="23" t="s">
        <v>4169</v>
      </c>
      <c r="AD907" s="118"/>
      <c r="AE907" s="118"/>
      <c r="AF907" s="23" t="s">
        <v>3181</v>
      </c>
      <c r="AG907" s="23" t="s">
        <v>637</v>
      </c>
      <c r="AH907" s="39">
        <v>44448</v>
      </c>
    </row>
    <row r="908" spans="1:39">
      <c r="A908" s="72" t="s">
        <v>4624</v>
      </c>
      <c r="B908" s="23" t="s">
        <v>4625</v>
      </c>
      <c r="C908" s="140">
        <v>44447</v>
      </c>
      <c r="D908" s="23" t="s">
        <v>729</v>
      </c>
      <c r="E908" s="23" t="s">
        <v>2919</v>
      </c>
      <c r="F908" s="23" t="s">
        <v>1723</v>
      </c>
      <c r="G908" s="23" t="s">
        <v>1724</v>
      </c>
      <c r="Q908" s="141" t="s">
        <v>4614</v>
      </c>
      <c r="T908" s="23" t="s">
        <v>3715</v>
      </c>
      <c r="U908" s="23" t="s">
        <v>3715</v>
      </c>
      <c r="V908" s="23" t="s">
        <v>298</v>
      </c>
      <c r="W908" s="23" t="s">
        <v>4626</v>
      </c>
      <c r="Y908" s="37">
        <v>9550</v>
      </c>
      <c r="Z908" s="23">
        <v>75.8</v>
      </c>
      <c r="AB908" s="23" t="s">
        <v>4627</v>
      </c>
      <c r="AC908" s="23" t="s">
        <v>4628</v>
      </c>
      <c r="AD908" s="118">
        <v>0</v>
      </c>
      <c r="AE908" s="118">
        <v>1</v>
      </c>
      <c r="AF908" s="23" t="s">
        <v>3181</v>
      </c>
      <c r="AG908" s="23" t="s">
        <v>1640</v>
      </c>
      <c r="AH908" s="39">
        <v>44448</v>
      </c>
    </row>
    <row r="909" spans="1:39">
      <c r="A909" s="72" t="s">
        <v>4629</v>
      </c>
      <c r="B909" s="23" t="s">
        <v>4630</v>
      </c>
      <c r="C909" s="140">
        <v>44448</v>
      </c>
      <c r="D909" s="23" t="s">
        <v>729</v>
      </c>
      <c r="E909" s="23" t="s">
        <v>2919</v>
      </c>
      <c r="F909" s="23" t="s">
        <v>1723</v>
      </c>
      <c r="G909" s="23" t="s">
        <v>1724</v>
      </c>
      <c r="Q909" s="141" t="s">
        <v>4631</v>
      </c>
      <c r="T909" s="23" t="s">
        <v>3715</v>
      </c>
      <c r="U909" s="23" t="s">
        <v>3715</v>
      </c>
      <c r="V909" s="23" t="s">
        <v>298</v>
      </c>
      <c r="W909" s="23" t="s">
        <v>3841</v>
      </c>
      <c r="Y909" s="37">
        <v>15740</v>
      </c>
      <c r="Z909" s="23">
        <v>75</v>
      </c>
      <c r="AB909" s="23" t="s">
        <v>4632</v>
      </c>
      <c r="AC909" s="23" t="s">
        <v>4411</v>
      </c>
      <c r="AD909" s="118">
        <v>0</v>
      </c>
      <c r="AE909" s="118">
        <v>2</v>
      </c>
      <c r="AF909" s="23" t="s">
        <v>3181</v>
      </c>
      <c r="AG909" s="23" t="s">
        <v>1640</v>
      </c>
      <c r="AH909" s="39">
        <v>44449</v>
      </c>
    </row>
    <row r="910" spans="1:39">
      <c r="A910" s="72" t="s">
        <v>4633</v>
      </c>
      <c r="B910" s="23" t="s">
        <v>4634</v>
      </c>
      <c r="C910" s="140">
        <v>44448</v>
      </c>
      <c r="F910" s="23" t="s">
        <v>1723</v>
      </c>
      <c r="G910" s="23" t="s">
        <v>1724</v>
      </c>
      <c r="Q910" s="141" t="s">
        <v>4631</v>
      </c>
      <c r="W910" s="23" t="s">
        <v>2710</v>
      </c>
      <c r="Y910" s="37">
        <v>21480</v>
      </c>
      <c r="Z910" s="23">
        <v>74.400000000000006</v>
      </c>
      <c r="AB910" s="23" t="s">
        <v>4635</v>
      </c>
      <c r="AC910" s="23" t="s">
        <v>4337</v>
      </c>
      <c r="AD910" s="118"/>
      <c r="AE910" s="118"/>
      <c r="AF910" s="23" t="s">
        <v>3181</v>
      </c>
      <c r="AG910" s="23" t="s">
        <v>1640</v>
      </c>
      <c r="AH910" s="39">
        <v>44449</v>
      </c>
    </row>
    <row r="911" spans="1:39" ht="48">
      <c r="A911" s="72" t="s">
        <v>4636</v>
      </c>
      <c r="B911" s="23" t="s">
        <v>4637</v>
      </c>
      <c r="C911" s="140">
        <v>44448</v>
      </c>
      <c r="D911" s="23" t="s">
        <v>729</v>
      </c>
      <c r="E911" s="23" t="s">
        <v>752</v>
      </c>
      <c r="F911" s="23" t="s">
        <v>2314</v>
      </c>
      <c r="G911" s="23" t="s">
        <v>5538</v>
      </c>
      <c r="H911" s="23" t="s">
        <v>4670</v>
      </c>
      <c r="I911" s="23" t="s">
        <v>4670</v>
      </c>
      <c r="J911" s="140">
        <v>44445</v>
      </c>
      <c r="T911" s="23" t="s">
        <v>12031</v>
      </c>
      <c r="U911" s="23" t="s">
        <v>12031</v>
      </c>
      <c r="V911" s="23" t="s">
        <v>299</v>
      </c>
      <c r="W911" s="19" t="s">
        <v>4671</v>
      </c>
      <c r="Y911" s="23">
        <v>12540</v>
      </c>
      <c r="Z911" s="23">
        <v>125.28700000000001</v>
      </c>
      <c r="AB911" s="19" t="s">
        <v>4876</v>
      </c>
      <c r="AC911" s="23">
        <v>9</v>
      </c>
      <c r="AD911" s="118">
        <v>0</v>
      </c>
      <c r="AE911" s="118">
        <v>3</v>
      </c>
      <c r="AG911" s="23" t="s">
        <v>4638</v>
      </c>
      <c r="AH911" s="39">
        <v>44452</v>
      </c>
      <c r="AI911" s="53" t="s">
        <v>3943</v>
      </c>
      <c r="AJ911" s="75" t="s">
        <v>5299</v>
      </c>
      <c r="AL911" s="23" t="s">
        <v>5300</v>
      </c>
      <c r="AM911" s="102">
        <v>44455</v>
      </c>
    </row>
    <row r="912" spans="1:39">
      <c r="A912" s="72" t="s">
        <v>4639</v>
      </c>
      <c r="B912" s="23" t="s">
        <v>4641</v>
      </c>
      <c r="C912" s="140">
        <v>44450</v>
      </c>
      <c r="D912" s="23" t="s">
        <v>729</v>
      </c>
      <c r="E912" s="23" t="s">
        <v>2919</v>
      </c>
      <c r="F912" s="23" t="s">
        <v>1723</v>
      </c>
      <c r="G912" s="23" t="s">
        <v>1724</v>
      </c>
      <c r="Q912" s="141" t="s">
        <v>4642</v>
      </c>
      <c r="T912" s="23" t="s">
        <v>3715</v>
      </c>
      <c r="U912" s="23" t="s">
        <v>3715</v>
      </c>
      <c r="V912" s="23" t="s">
        <v>298</v>
      </c>
      <c r="W912" s="23" t="s">
        <v>3841</v>
      </c>
      <c r="Y912" s="37">
        <v>15580</v>
      </c>
      <c r="Z912" s="23">
        <v>74.599999999999994</v>
      </c>
      <c r="AB912" s="23" t="s">
        <v>4645</v>
      </c>
      <c r="AC912" s="23" t="s">
        <v>4643</v>
      </c>
      <c r="AD912" s="118">
        <v>0</v>
      </c>
      <c r="AE912" s="118">
        <v>2</v>
      </c>
      <c r="AF912" s="23" t="s">
        <v>3181</v>
      </c>
      <c r="AG912" s="23" t="s">
        <v>666</v>
      </c>
      <c r="AH912" s="39">
        <v>44452</v>
      </c>
    </row>
    <row r="913" spans="1:39">
      <c r="A913" s="72" t="s">
        <v>4640</v>
      </c>
      <c r="B913" s="23" t="s">
        <v>4644</v>
      </c>
      <c r="C913" s="140">
        <v>44451</v>
      </c>
      <c r="F913" s="23" t="s">
        <v>1723</v>
      </c>
      <c r="W913" s="23" t="s">
        <v>3288</v>
      </c>
      <c r="Y913" s="37">
        <v>7440</v>
      </c>
      <c r="Z913" s="23">
        <v>75.2</v>
      </c>
      <c r="AB913" s="23" t="s">
        <v>4646</v>
      </c>
      <c r="AC913" s="23" t="s">
        <v>4647</v>
      </c>
      <c r="AD913" s="118"/>
      <c r="AE913" s="118"/>
      <c r="AF913" s="23" t="s">
        <v>3181</v>
      </c>
      <c r="AG913" s="23" t="s">
        <v>666</v>
      </c>
      <c r="AH913" s="39">
        <v>44452</v>
      </c>
    </row>
    <row r="914" spans="1:39">
      <c r="A914" s="72" t="s">
        <v>4648</v>
      </c>
      <c r="B914" s="23" t="s">
        <v>4649</v>
      </c>
      <c r="C914" s="140">
        <v>44449</v>
      </c>
      <c r="D914" s="23" t="s">
        <v>729</v>
      </c>
      <c r="E914" s="23" t="s">
        <v>2919</v>
      </c>
      <c r="F914" s="23" t="s">
        <v>1723</v>
      </c>
      <c r="G914" s="23" t="s">
        <v>1724</v>
      </c>
      <c r="Q914" s="141" t="s">
        <v>4650</v>
      </c>
      <c r="T914" s="23" t="s">
        <v>3715</v>
      </c>
      <c r="U914" s="23" t="s">
        <v>3715</v>
      </c>
      <c r="V914" s="23" t="s">
        <v>298</v>
      </c>
      <c r="W914" s="23" t="s">
        <v>4651</v>
      </c>
      <c r="Y914" s="37">
        <v>17720</v>
      </c>
      <c r="Z914" s="23">
        <v>75.3</v>
      </c>
      <c r="AB914" s="23" t="s">
        <v>4652</v>
      </c>
      <c r="AC914" s="23" t="s">
        <v>4659</v>
      </c>
      <c r="AD914" s="118">
        <v>0</v>
      </c>
      <c r="AE914" s="118">
        <v>2</v>
      </c>
      <c r="AF914" s="23" t="s">
        <v>3181</v>
      </c>
      <c r="AG914" s="23" t="s">
        <v>4653</v>
      </c>
      <c r="AH914" s="39">
        <v>44452</v>
      </c>
    </row>
    <row r="915" spans="1:39">
      <c r="A915" s="72" t="s">
        <v>4654</v>
      </c>
      <c r="B915" s="23" t="s">
        <v>4655</v>
      </c>
      <c r="C915" s="140">
        <v>44450</v>
      </c>
      <c r="F915" s="23" t="s">
        <v>1723</v>
      </c>
      <c r="W915" s="23" t="s">
        <v>4656</v>
      </c>
      <c r="Y915" s="37">
        <v>7865</v>
      </c>
      <c r="Z915" s="23">
        <v>72.5</v>
      </c>
      <c r="AB915" s="23" t="s">
        <v>4657</v>
      </c>
      <c r="AC915" s="23" t="s">
        <v>4658</v>
      </c>
      <c r="AD915" s="118"/>
      <c r="AE915" s="118"/>
      <c r="AF915" s="23" t="s">
        <v>3181</v>
      </c>
      <c r="AH915" s="39">
        <v>44452</v>
      </c>
    </row>
    <row r="916" spans="1:39">
      <c r="A916" s="72" t="s">
        <v>4660</v>
      </c>
      <c r="B916" s="23" t="s">
        <v>4661</v>
      </c>
      <c r="C916" s="140">
        <v>44452</v>
      </c>
      <c r="D916" s="23" t="s">
        <v>729</v>
      </c>
      <c r="E916" s="23" t="s">
        <v>2919</v>
      </c>
      <c r="F916" s="23" t="s">
        <v>1723</v>
      </c>
      <c r="G916" s="23" t="s">
        <v>1724</v>
      </c>
      <c r="Q916" s="141" t="s">
        <v>4642</v>
      </c>
      <c r="T916" s="23" t="s">
        <v>3715</v>
      </c>
      <c r="U916" s="23" t="s">
        <v>3715</v>
      </c>
      <c r="V916" s="23" t="s">
        <v>298</v>
      </c>
      <c r="W916" s="23" t="s">
        <v>4662</v>
      </c>
      <c r="Y916" s="37">
        <v>9852.5</v>
      </c>
      <c r="Z916" s="23">
        <v>73.8</v>
      </c>
      <c r="AB916" s="23" t="s">
        <v>4663</v>
      </c>
      <c r="AC916" s="23" t="s">
        <v>4664</v>
      </c>
      <c r="AD916" s="118">
        <v>0</v>
      </c>
      <c r="AE916" s="118">
        <v>2</v>
      </c>
      <c r="AF916" s="23" t="s">
        <v>3181</v>
      </c>
      <c r="AG916" s="23" t="s">
        <v>1921</v>
      </c>
      <c r="AH916" s="39">
        <v>44452</v>
      </c>
    </row>
    <row r="917" spans="1:39">
      <c r="A917" s="72" t="s">
        <v>4665</v>
      </c>
      <c r="B917" s="23" t="s">
        <v>4666</v>
      </c>
      <c r="C917" s="140">
        <v>44452</v>
      </c>
      <c r="F917" s="23" t="s">
        <v>1723</v>
      </c>
      <c r="G917" s="23" t="s">
        <v>1724</v>
      </c>
      <c r="Q917" s="141" t="s">
        <v>4642</v>
      </c>
      <c r="W917" s="23" t="s">
        <v>4667</v>
      </c>
      <c r="Y917" s="37">
        <v>8200</v>
      </c>
      <c r="Z917" s="23">
        <v>72.5</v>
      </c>
      <c r="AB917" s="23" t="s">
        <v>4668</v>
      </c>
      <c r="AC917" s="23" t="s">
        <v>4669</v>
      </c>
      <c r="AD917" s="118"/>
      <c r="AE917" s="118"/>
      <c r="AF917" s="23" t="s">
        <v>3181</v>
      </c>
      <c r="AG917" s="23" t="s">
        <v>1640</v>
      </c>
      <c r="AH917" s="39">
        <v>44452</v>
      </c>
    </row>
    <row r="918" spans="1:39" ht="16">
      <c r="A918" s="72" t="s">
        <v>4672</v>
      </c>
      <c r="B918" s="23" t="s">
        <v>4673</v>
      </c>
      <c r="C918" s="140">
        <v>44447</v>
      </c>
      <c r="D918" s="23" t="s">
        <v>729</v>
      </c>
      <c r="E918" s="23" t="s">
        <v>3773</v>
      </c>
      <c r="F918" s="23" t="s">
        <v>4674</v>
      </c>
      <c r="G918" s="23" t="s">
        <v>3469</v>
      </c>
      <c r="H918" s="23" t="s">
        <v>4675</v>
      </c>
      <c r="I918" s="23" t="s">
        <v>4675</v>
      </c>
      <c r="J918" s="140">
        <v>44417</v>
      </c>
      <c r="T918" s="23" t="s">
        <v>12031</v>
      </c>
      <c r="U918" s="23" t="s">
        <v>12031</v>
      </c>
      <c r="V918" s="23" t="s">
        <v>299</v>
      </c>
      <c r="W918" s="19" t="s">
        <v>4676</v>
      </c>
      <c r="Y918" s="23">
        <v>255000</v>
      </c>
      <c r="Z918" s="23">
        <v>1296.28</v>
      </c>
      <c r="AB918" s="23" t="s">
        <v>97</v>
      </c>
      <c r="AC918" s="23">
        <v>17</v>
      </c>
      <c r="AD918" s="118"/>
      <c r="AE918" s="118" t="s">
        <v>97</v>
      </c>
      <c r="AG918" s="23" t="s">
        <v>4677</v>
      </c>
      <c r="AH918" s="39">
        <v>44453</v>
      </c>
      <c r="AI918" s="53" t="s">
        <v>3469</v>
      </c>
      <c r="AJ918" s="75" t="s">
        <v>5301</v>
      </c>
      <c r="AL918" s="23" t="s">
        <v>5302</v>
      </c>
      <c r="AM918" s="102">
        <v>44459</v>
      </c>
    </row>
    <row r="919" spans="1:39" ht="16">
      <c r="A919" s="72" t="s">
        <v>4678</v>
      </c>
      <c r="B919" s="23" t="s">
        <v>4679</v>
      </c>
      <c r="C919" s="140">
        <v>44447</v>
      </c>
      <c r="D919" s="23" t="s">
        <v>729</v>
      </c>
      <c r="E919" s="23" t="s">
        <v>3773</v>
      </c>
      <c r="F919" s="23" t="s">
        <v>4691</v>
      </c>
      <c r="G919" s="23" t="s">
        <v>3469</v>
      </c>
      <c r="H919" s="23" t="s">
        <v>4680</v>
      </c>
      <c r="I919" s="23" t="s">
        <v>4680</v>
      </c>
      <c r="J919" s="140">
        <v>44417</v>
      </c>
      <c r="T919" s="23" t="s">
        <v>12031</v>
      </c>
      <c r="U919" s="23" t="s">
        <v>12031</v>
      </c>
      <c r="V919" s="23" t="s">
        <v>299</v>
      </c>
      <c r="W919" s="19" t="s">
        <v>4676</v>
      </c>
      <c r="Y919" s="23">
        <v>45000</v>
      </c>
      <c r="Z919" s="23">
        <v>228.76</v>
      </c>
      <c r="AB919" s="23" t="s">
        <v>97</v>
      </c>
      <c r="AC919" s="23">
        <v>3</v>
      </c>
      <c r="AD919" s="118"/>
      <c r="AE919" s="118" t="s">
        <v>97</v>
      </c>
      <c r="AG919" s="23" t="s">
        <v>4677</v>
      </c>
      <c r="AH919" s="39">
        <v>44453</v>
      </c>
      <c r="AI919" s="53" t="s">
        <v>3469</v>
      </c>
      <c r="AJ919" s="75" t="s">
        <v>5297</v>
      </c>
      <c r="AL919" s="23" t="s">
        <v>5298</v>
      </c>
      <c r="AM919" s="102">
        <v>44459</v>
      </c>
    </row>
    <row r="920" spans="1:39">
      <c r="A920" s="72" t="s">
        <v>4682</v>
      </c>
      <c r="B920" s="23" t="s">
        <v>4681</v>
      </c>
      <c r="C920" s="140">
        <v>44452</v>
      </c>
      <c r="D920" s="23" t="s">
        <v>729</v>
      </c>
      <c r="E920" s="23" t="s">
        <v>2919</v>
      </c>
      <c r="F920" s="23" t="s">
        <v>1723</v>
      </c>
      <c r="G920" s="23" t="s">
        <v>1724</v>
      </c>
      <c r="Q920" s="141" t="s">
        <v>4687</v>
      </c>
      <c r="T920" s="23" t="s">
        <v>3715</v>
      </c>
      <c r="U920" s="23" t="s">
        <v>3715</v>
      </c>
      <c r="V920" s="23" t="s">
        <v>298</v>
      </c>
      <c r="W920" s="23" t="s">
        <v>4683</v>
      </c>
      <c r="Y920" s="37">
        <v>8408</v>
      </c>
      <c r="Z920" s="23">
        <v>74.400000000000006</v>
      </c>
      <c r="AB920" s="23" t="s">
        <v>4684</v>
      </c>
      <c r="AC920" s="23" t="s">
        <v>4647</v>
      </c>
      <c r="AD920" s="118">
        <v>0</v>
      </c>
      <c r="AE920" s="118">
        <v>2</v>
      </c>
      <c r="AF920" s="23" t="s">
        <v>3181</v>
      </c>
      <c r="AG920" s="23" t="s">
        <v>666</v>
      </c>
      <c r="AH920" s="39">
        <v>44453</v>
      </c>
    </row>
    <row r="921" spans="1:39">
      <c r="A921" s="72" t="s">
        <v>4685</v>
      </c>
      <c r="B921" s="23" t="s">
        <v>4686</v>
      </c>
      <c r="C921" s="140">
        <v>44453</v>
      </c>
      <c r="F921" s="23" t="s">
        <v>1723</v>
      </c>
      <c r="G921" s="23" t="s">
        <v>1724</v>
      </c>
      <c r="Q921" s="141" t="s">
        <v>4687</v>
      </c>
      <c r="W921" s="23" t="s">
        <v>4688</v>
      </c>
      <c r="Y921" s="37">
        <v>9495</v>
      </c>
      <c r="Z921" s="23">
        <v>73.7</v>
      </c>
      <c r="AB921" s="23" t="s">
        <v>4689</v>
      </c>
      <c r="AC921" s="23" t="s">
        <v>4690</v>
      </c>
      <c r="AD921" s="118"/>
      <c r="AE921" s="118"/>
      <c r="AF921" s="23" t="s">
        <v>3181</v>
      </c>
      <c r="AG921" s="23" t="s">
        <v>1921</v>
      </c>
      <c r="AH921" s="39">
        <v>44453</v>
      </c>
    </row>
    <row r="922" spans="1:39">
      <c r="A922" s="72" t="s">
        <v>4692</v>
      </c>
      <c r="B922" s="23" t="s">
        <v>4693</v>
      </c>
      <c r="C922" s="140">
        <v>44420</v>
      </c>
      <c r="D922" s="23" t="s">
        <v>729</v>
      </c>
      <c r="E922" s="23" t="s">
        <v>752</v>
      </c>
      <c r="F922" s="23" t="s">
        <v>2969</v>
      </c>
      <c r="G922" s="23" t="s">
        <v>1724</v>
      </c>
      <c r="P922" s="23" t="s">
        <v>4694</v>
      </c>
      <c r="Q922" s="141" t="s">
        <v>4695</v>
      </c>
      <c r="T922" s="23" t="s">
        <v>12031</v>
      </c>
      <c r="U922" s="23" t="s">
        <v>12031</v>
      </c>
      <c r="V922" s="23" t="s">
        <v>298</v>
      </c>
      <c r="W922" s="23" t="s">
        <v>4696</v>
      </c>
      <c r="Y922" s="23">
        <v>3500</v>
      </c>
      <c r="Z922" s="23" t="s">
        <v>2131</v>
      </c>
      <c r="AB922" s="23" t="s">
        <v>4697</v>
      </c>
      <c r="AC922" s="23" t="s">
        <v>131</v>
      </c>
      <c r="AD922" s="118">
        <v>0</v>
      </c>
      <c r="AE922" s="118">
        <v>1</v>
      </c>
      <c r="AF922" s="23" t="s">
        <v>3297</v>
      </c>
      <c r="AG922" s="23" t="s">
        <v>2416</v>
      </c>
      <c r="AH922" s="39">
        <v>44454</v>
      </c>
    </row>
    <row r="923" spans="1:39">
      <c r="A923" s="72" t="s">
        <v>4698</v>
      </c>
      <c r="B923" s="23" t="s">
        <v>4699</v>
      </c>
      <c r="C923" s="140">
        <v>44453</v>
      </c>
      <c r="D923" s="23" t="s">
        <v>729</v>
      </c>
      <c r="E923" s="23" t="s">
        <v>2919</v>
      </c>
      <c r="F923" s="23" t="s">
        <v>1723</v>
      </c>
      <c r="G923" s="23" t="s">
        <v>1724</v>
      </c>
      <c r="Q923" s="141" t="s">
        <v>4700</v>
      </c>
      <c r="T923" s="23" t="s">
        <v>3715</v>
      </c>
      <c r="U923" s="23" t="s">
        <v>3715</v>
      </c>
      <c r="V923" s="23" t="s">
        <v>298</v>
      </c>
      <c r="W923" s="23" t="s">
        <v>4493</v>
      </c>
      <c r="Y923" s="37">
        <v>9000</v>
      </c>
      <c r="Z923" s="23">
        <v>74.599999999999994</v>
      </c>
      <c r="AB923" s="23" t="s">
        <v>4701</v>
      </c>
      <c r="AC923" s="23" t="s">
        <v>4707</v>
      </c>
      <c r="AD923" s="118">
        <v>0</v>
      </c>
      <c r="AE923" s="118">
        <v>2</v>
      </c>
      <c r="AF923" s="23" t="s">
        <v>3181</v>
      </c>
      <c r="AG923" s="23" t="s">
        <v>666</v>
      </c>
      <c r="AH923" s="39">
        <v>44454</v>
      </c>
    </row>
    <row r="924" spans="1:39">
      <c r="A924" s="72" t="s">
        <v>4702</v>
      </c>
      <c r="B924" s="23" t="s">
        <v>4703</v>
      </c>
      <c r="C924" s="140">
        <v>44453</v>
      </c>
      <c r="F924" s="23" t="s">
        <v>1723</v>
      </c>
      <c r="G924" s="23" t="s">
        <v>1724</v>
      </c>
      <c r="Q924" s="141" t="s">
        <v>4700</v>
      </c>
      <c r="W924" s="23" t="s">
        <v>4705</v>
      </c>
      <c r="Y924" s="37">
        <v>11275</v>
      </c>
      <c r="Z924" s="23">
        <v>75</v>
      </c>
      <c r="AB924" s="23" t="s">
        <v>4706</v>
      </c>
      <c r="AC924" s="23" t="s">
        <v>4704</v>
      </c>
      <c r="AD924" s="118"/>
      <c r="AE924" s="118"/>
      <c r="AF924" s="23" t="s">
        <v>3181</v>
      </c>
      <c r="AG924" s="23" t="s">
        <v>666</v>
      </c>
      <c r="AH924" s="39">
        <v>44454</v>
      </c>
    </row>
    <row r="925" spans="1:39">
      <c r="A925" s="72" t="s">
        <v>4708</v>
      </c>
      <c r="B925" s="23" t="s">
        <v>4709</v>
      </c>
      <c r="C925" s="140">
        <v>44453</v>
      </c>
      <c r="D925" s="23" t="s">
        <v>729</v>
      </c>
      <c r="E925" s="23" t="s">
        <v>2919</v>
      </c>
      <c r="F925" s="23" t="s">
        <v>1723</v>
      </c>
      <c r="G925" s="23" t="s">
        <v>1724</v>
      </c>
      <c r="Q925" s="141" t="s">
        <v>4687</v>
      </c>
      <c r="T925" s="23" t="s">
        <v>3715</v>
      </c>
      <c r="U925" s="23" t="s">
        <v>3715</v>
      </c>
      <c r="V925" s="23" t="s">
        <v>298</v>
      </c>
      <c r="W925" s="23" t="s">
        <v>4710</v>
      </c>
      <c r="Y925" s="37">
        <v>23350</v>
      </c>
      <c r="Z925" s="23">
        <v>75.8</v>
      </c>
      <c r="AB925" s="23" t="s">
        <v>4711</v>
      </c>
      <c r="AC925" s="23" t="s">
        <v>4712</v>
      </c>
      <c r="AD925" s="118">
        <v>0</v>
      </c>
      <c r="AE925" s="118">
        <v>2</v>
      </c>
      <c r="AF925" s="23" t="s">
        <v>3181</v>
      </c>
      <c r="AG925" s="23" t="s">
        <v>1640</v>
      </c>
      <c r="AH925" s="39">
        <v>44454</v>
      </c>
    </row>
    <row r="926" spans="1:39">
      <c r="A926" s="63" t="s">
        <v>4713</v>
      </c>
      <c r="B926" s="59" t="s">
        <v>4714</v>
      </c>
      <c r="C926" s="143">
        <v>44453</v>
      </c>
      <c r="F926" s="59" t="s">
        <v>1723</v>
      </c>
      <c r="G926" s="23" t="s">
        <v>1724</v>
      </c>
      <c r="Q926" s="141" t="s">
        <v>4687</v>
      </c>
      <c r="W926" s="23" t="s">
        <v>4715</v>
      </c>
      <c r="Y926" s="37">
        <v>9460</v>
      </c>
      <c r="Z926" s="23">
        <v>73.5</v>
      </c>
      <c r="AB926" s="23" t="s">
        <v>4716</v>
      </c>
      <c r="AC926" s="23" t="s">
        <v>4717</v>
      </c>
      <c r="AD926" s="118"/>
      <c r="AE926" s="118"/>
      <c r="AF926" s="23" t="s">
        <v>3181</v>
      </c>
      <c r="AG926" s="23" t="s">
        <v>1845</v>
      </c>
      <c r="AH926" s="39">
        <v>44454</v>
      </c>
    </row>
    <row r="927" spans="1:39">
      <c r="A927" s="72" t="s">
        <v>4718</v>
      </c>
      <c r="B927" s="23" t="s">
        <v>4719</v>
      </c>
      <c r="C927" s="140">
        <v>44454</v>
      </c>
      <c r="D927" s="23" t="s">
        <v>729</v>
      </c>
      <c r="E927" s="23" t="s">
        <v>2919</v>
      </c>
      <c r="F927" s="23" t="s">
        <v>1723</v>
      </c>
      <c r="G927" s="23" t="s">
        <v>1724</v>
      </c>
      <c r="Q927" s="141" t="s">
        <v>4720</v>
      </c>
      <c r="T927" s="23" t="s">
        <v>3715</v>
      </c>
      <c r="U927" s="23" t="s">
        <v>3715</v>
      </c>
      <c r="V927" s="23" t="s">
        <v>298</v>
      </c>
      <c r="W927" s="23" t="s">
        <v>4721</v>
      </c>
      <c r="Y927" s="37">
        <v>8280</v>
      </c>
      <c r="Z927" s="23">
        <v>74.599999999999994</v>
      </c>
      <c r="AB927" s="23" t="s">
        <v>4722</v>
      </c>
      <c r="AD927" s="118">
        <v>0</v>
      </c>
      <c r="AE927" s="118">
        <v>1</v>
      </c>
      <c r="AF927" s="23" t="s">
        <v>3181</v>
      </c>
      <c r="AG927" s="23" t="s">
        <v>1845</v>
      </c>
      <c r="AH927" s="39">
        <v>44455</v>
      </c>
    </row>
    <row r="928" spans="1:39">
      <c r="A928" s="72" t="s">
        <v>4734</v>
      </c>
      <c r="B928" s="23" t="s">
        <v>4735</v>
      </c>
      <c r="C928" s="140">
        <v>44455</v>
      </c>
      <c r="D928" s="23" t="s">
        <v>729</v>
      </c>
      <c r="E928" s="23" t="s">
        <v>2919</v>
      </c>
      <c r="F928" s="23" t="s">
        <v>1723</v>
      </c>
      <c r="G928" s="23" t="s">
        <v>1724</v>
      </c>
      <c r="Q928" s="141" t="s">
        <v>4695</v>
      </c>
      <c r="T928" s="23" t="s">
        <v>3715</v>
      </c>
      <c r="U928" s="23" t="s">
        <v>3715</v>
      </c>
      <c r="V928" s="23" t="s">
        <v>298</v>
      </c>
      <c r="W928" s="23" t="s">
        <v>3841</v>
      </c>
      <c r="Y928" s="37">
        <v>9860</v>
      </c>
      <c r="Z928" s="23">
        <v>74.599999999999994</v>
      </c>
      <c r="AB928" s="23" t="s">
        <v>4736</v>
      </c>
      <c r="AC928" s="23" t="s">
        <v>4737</v>
      </c>
      <c r="AD928" s="118">
        <v>0</v>
      </c>
      <c r="AE928" s="118">
        <v>3</v>
      </c>
      <c r="AF928" s="23" t="s">
        <v>3181</v>
      </c>
      <c r="AG928" s="23" t="s">
        <v>666</v>
      </c>
      <c r="AH928" s="39">
        <v>44456</v>
      </c>
    </row>
    <row r="929" spans="1:34">
      <c r="A929" s="72" t="s">
        <v>4738</v>
      </c>
      <c r="B929" s="23" t="s">
        <v>4743</v>
      </c>
      <c r="C929" s="140">
        <v>44455</v>
      </c>
      <c r="F929" s="23" t="s">
        <v>1723</v>
      </c>
      <c r="G929" s="23" t="s">
        <v>1724</v>
      </c>
      <c r="Q929" s="141" t="s">
        <v>4695</v>
      </c>
      <c r="W929" s="23" t="s">
        <v>3288</v>
      </c>
      <c r="Y929" s="37">
        <v>7460</v>
      </c>
      <c r="Z929" s="23">
        <v>75.400000000000006</v>
      </c>
      <c r="AB929" s="23" t="s">
        <v>4739</v>
      </c>
      <c r="AC929" s="23" t="s">
        <v>4740</v>
      </c>
      <c r="AD929" s="118"/>
      <c r="AE929" s="118"/>
      <c r="AF929" s="23" t="s">
        <v>3181</v>
      </c>
      <c r="AG929" s="23" t="s">
        <v>666</v>
      </c>
      <c r="AH929" s="39">
        <v>44456</v>
      </c>
    </row>
    <row r="930" spans="1:34">
      <c r="A930" s="72" t="s">
        <v>4741</v>
      </c>
      <c r="B930" s="23" t="s">
        <v>4742</v>
      </c>
      <c r="C930" s="140">
        <v>44455</v>
      </c>
      <c r="F930" s="23" t="s">
        <v>1723</v>
      </c>
      <c r="G930" s="23" t="s">
        <v>1724</v>
      </c>
      <c r="Q930" s="141" t="s">
        <v>4695</v>
      </c>
      <c r="W930" s="23" t="s">
        <v>4651</v>
      </c>
      <c r="Y930" s="37">
        <v>18260</v>
      </c>
      <c r="Z930" s="23">
        <v>75.8</v>
      </c>
      <c r="AB930" s="23" t="s">
        <v>4744</v>
      </c>
      <c r="AC930" s="23" t="s">
        <v>4745</v>
      </c>
      <c r="AD930" s="118"/>
      <c r="AE930" s="118"/>
      <c r="AF930" s="23" t="s">
        <v>3181</v>
      </c>
      <c r="AG930" s="23" t="s">
        <v>1921</v>
      </c>
      <c r="AH930" s="39">
        <v>44456</v>
      </c>
    </row>
    <row r="931" spans="1:34">
      <c r="A931" s="72" t="s">
        <v>4800</v>
      </c>
      <c r="B931" s="27" t="s">
        <v>4832</v>
      </c>
      <c r="C931" s="140">
        <v>44384</v>
      </c>
      <c r="D931" s="23" t="s">
        <v>729</v>
      </c>
      <c r="E931" s="23" t="s">
        <v>752</v>
      </c>
      <c r="F931" s="23" t="s">
        <v>4801</v>
      </c>
      <c r="G931" s="23" t="s">
        <v>1724</v>
      </c>
      <c r="P931" s="23" t="s">
        <v>4802</v>
      </c>
      <c r="Q931" s="141" t="s">
        <v>4695</v>
      </c>
      <c r="T931" s="23" t="s">
        <v>12031</v>
      </c>
      <c r="U931" s="23" t="s">
        <v>12031</v>
      </c>
      <c r="V931" s="23" t="s">
        <v>298</v>
      </c>
      <c r="W931" s="23" t="s">
        <v>4803</v>
      </c>
      <c r="Y931" s="38">
        <v>18450</v>
      </c>
      <c r="Z931" s="23">
        <v>45</v>
      </c>
      <c r="AB931" s="23" t="s">
        <v>4804</v>
      </c>
      <c r="AC931" s="23" t="s">
        <v>4805</v>
      </c>
      <c r="AD931" s="118">
        <v>0</v>
      </c>
      <c r="AE931" s="118">
        <v>1</v>
      </c>
      <c r="AF931" s="23" t="s">
        <v>4296</v>
      </c>
      <c r="AG931" s="23" t="s">
        <v>4806</v>
      </c>
      <c r="AH931" s="95">
        <v>44459</v>
      </c>
    </row>
    <row r="932" spans="1:34">
      <c r="A932" s="72" t="s">
        <v>4807</v>
      </c>
      <c r="B932" s="23" t="s">
        <v>4808</v>
      </c>
      <c r="C932" s="140">
        <v>44456</v>
      </c>
      <c r="D932" s="23" t="s">
        <v>729</v>
      </c>
      <c r="E932" s="23" t="s">
        <v>2919</v>
      </c>
      <c r="F932" s="23" t="s">
        <v>1723</v>
      </c>
      <c r="G932" s="23" t="s">
        <v>1724</v>
      </c>
      <c r="Q932" s="141" t="s">
        <v>4809</v>
      </c>
      <c r="T932" s="23" t="s">
        <v>3715</v>
      </c>
      <c r="U932" s="23" t="s">
        <v>3715</v>
      </c>
      <c r="V932" s="23" t="s">
        <v>298</v>
      </c>
      <c r="W932" s="23" t="s">
        <v>4810</v>
      </c>
      <c r="Y932" s="37">
        <v>9860</v>
      </c>
      <c r="Z932" s="23">
        <v>74.8</v>
      </c>
      <c r="AB932" s="23" t="s">
        <v>4811</v>
      </c>
      <c r="AC932" s="23" t="s">
        <v>4812</v>
      </c>
      <c r="AD932" s="118">
        <v>0</v>
      </c>
      <c r="AE932" s="118">
        <v>2</v>
      </c>
      <c r="AF932" s="23" t="s">
        <v>3181</v>
      </c>
      <c r="AG932" s="23" t="s">
        <v>666</v>
      </c>
      <c r="AH932" s="95">
        <v>44459</v>
      </c>
    </row>
    <row r="933" spans="1:34">
      <c r="A933" s="72" t="s">
        <v>4813</v>
      </c>
      <c r="B933" s="23" t="s">
        <v>4814</v>
      </c>
      <c r="C933" s="140">
        <v>44459</v>
      </c>
      <c r="F933" s="23" t="s">
        <v>1723</v>
      </c>
      <c r="G933" s="23" t="s">
        <v>1724</v>
      </c>
      <c r="Q933" s="141" t="s">
        <v>4809</v>
      </c>
      <c r="W933" s="23" t="s">
        <v>4815</v>
      </c>
      <c r="Y933" s="37">
        <v>9624</v>
      </c>
      <c r="Z933" s="23">
        <v>73.8</v>
      </c>
      <c r="AB933" s="23" t="s">
        <v>4817</v>
      </c>
      <c r="AC933" s="23" t="s">
        <v>4816</v>
      </c>
      <c r="AD933" s="118"/>
      <c r="AE933" s="118"/>
      <c r="AF933" s="23" t="s">
        <v>3181</v>
      </c>
      <c r="AG933" s="23" t="s">
        <v>1921</v>
      </c>
      <c r="AH933" s="95">
        <v>44459</v>
      </c>
    </row>
    <row r="934" spans="1:34">
      <c r="A934" s="72" t="s">
        <v>4818</v>
      </c>
      <c r="B934" s="23" t="s">
        <v>4819</v>
      </c>
      <c r="C934" s="140">
        <v>44459</v>
      </c>
      <c r="D934" s="23" t="s">
        <v>729</v>
      </c>
      <c r="E934" s="23" t="s">
        <v>2919</v>
      </c>
      <c r="F934" s="23" t="s">
        <v>1723</v>
      </c>
      <c r="G934" s="23" t="s">
        <v>1724</v>
      </c>
      <c r="Q934" s="141" t="s">
        <v>4820</v>
      </c>
      <c r="T934" s="23" t="s">
        <v>3715</v>
      </c>
      <c r="U934" s="23" t="s">
        <v>3715</v>
      </c>
      <c r="V934" s="23" t="s">
        <v>298</v>
      </c>
      <c r="W934" s="23" t="s">
        <v>3288</v>
      </c>
      <c r="Y934" s="37">
        <v>8010</v>
      </c>
      <c r="Z934" s="23">
        <v>75.400000000000006</v>
      </c>
      <c r="AB934" s="23" t="s">
        <v>4821</v>
      </c>
      <c r="AC934" s="23" t="s">
        <v>4822</v>
      </c>
      <c r="AD934" s="118">
        <v>0</v>
      </c>
      <c r="AE934" s="118">
        <v>3</v>
      </c>
      <c r="AF934" s="23" t="s">
        <v>3181</v>
      </c>
      <c r="AG934" s="23" t="s">
        <v>666</v>
      </c>
      <c r="AH934" s="95">
        <v>44459</v>
      </c>
    </row>
    <row r="935" spans="1:34">
      <c r="A935" s="72" t="s">
        <v>4823</v>
      </c>
      <c r="B935" s="23" t="s">
        <v>4824</v>
      </c>
      <c r="C935" s="140">
        <v>44459</v>
      </c>
      <c r="F935" s="23" t="s">
        <v>1723</v>
      </c>
      <c r="G935" s="23" t="s">
        <v>1724</v>
      </c>
      <c r="Q935" s="141" t="s">
        <v>4820</v>
      </c>
      <c r="W935" s="23" t="s">
        <v>3841</v>
      </c>
      <c r="Y935" s="37">
        <v>9600</v>
      </c>
      <c r="Z935" s="23">
        <v>74.599999999999994</v>
      </c>
      <c r="AB935" s="23" t="s">
        <v>4826</v>
      </c>
      <c r="AC935" s="23" t="s">
        <v>4825</v>
      </c>
      <c r="AD935" s="118"/>
      <c r="AE935" s="118"/>
      <c r="AF935" s="23" t="s">
        <v>3181</v>
      </c>
      <c r="AG935" s="23" t="s">
        <v>666</v>
      </c>
      <c r="AH935" s="95">
        <v>44459</v>
      </c>
    </row>
    <row r="936" spans="1:34">
      <c r="A936" s="72" t="s">
        <v>4827</v>
      </c>
      <c r="B936" s="23" t="s">
        <v>4828</v>
      </c>
      <c r="C936" s="140">
        <v>44458</v>
      </c>
      <c r="F936" s="23" t="s">
        <v>1723</v>
      </c>
      <c r="G936" s="23" t="s">
        <v>1724</v>
      </c>
      <c r="Q936" s="141" t="s">
        <v>4820</v>
      </c>
      <c r="W936" s="23" t="s">
        <v>4829</v>
      </c>
      <c r="Y936" s="37">
        <v>9505</v>
      </c>
      <c r="Z936" s="23">
        <v>74.8</v>
      </c>
      <c r="AB936" s="23" t="s">
        <v>4830</v>
      </c>
      <c r="AC936" s="23" t="s">
        <v>4831</v>
      </c>
      <c r="AD936" s="118"/>
      <c r="AE936" s="118"/>
      <c r="AF936" s="23" t="s">
        <v>3181</v>
      </c>
      <c r="AG936" s="23" t="s">
        <v>666</v>
      </c>
      <c r="AH936" s="95">
        <v>44459</v>
      </c>
    </row>
    <row r="937" spans="1:34">
      <c r="A937" s="72" t="s">
        <v>4834</v>
      </c>
      <c r="B937" s="23" t="s">
        <v>4835</v>
      </c>
      <c r="C937" s="140">
        <v>44459</v>
      </c>
      <c r="D937" s="23" t="s">
        <v>729</v>
      </c>
      <c r="E937" s="23" t="s">
        <v>2919</v>
      </c>
      <c r="F937" s="23" t="s">
        <v>1723</v>
      </c>
      <c r="G937" s="23" t="s">
        <v>1724</v>
      </c>
      <c r="Q937" s="141" t="s">
        <v>4836</v>
      </c>
      <c r="T937" s="23" t="s">
        <v>3715</v>
      </c>
      <c r="U937" s="23" t="s">
        <v>3715</v>
      </c>
      <c r="V937" s="23" t="s">
        <v>298</v>
      </c>
      <c r="W937" s="23" t="s">
        <v>4837</v>
      </c>
      <c r="Y937" s="37">
        <v>9840</v>
      </c>
      <c r="Z937" s="23">
        <v>75</v>
      </c>
      <c r="AB937" s="23" t="s">
        <v>4838</v>
      </c>
      <c r="AC937" s="23" t="s">
        <v>4839</v>
      </c>
      <c r="AD937" s="118">
        <v>0</v>
      </c>
      <c r="AE937" s="118">
        <v>2</v>
      </c>
      <c r="AF937" s="23" t="s">
        <v>3181</v>
      </c>
      <c r="AG937" s="23" t="s">
        <v>665</v>
      </c>
      <c r="AH937" s="39">
        <v>44460</v>
      </c>
    </row>
    <row r="938" spans="1:34">
      <c r="A938" s="72" t="s">
        <v>4840</v>
      </c>
      <c r="B938" s="23" t="s">
        <v>4841</v>
      </c>
      <c r="C938" s="140">
        <v>44459</v>
      </c>
      <c r="F938" s="23" t="s">
        <v>1723</v>
      </c>
      <c r="G938" s="23" t="s">
        <v>1724</v>
      </c>
      <c r="Q938" s="141" t="s">
        <v>4836</v>
      </c>
      <c r="W938" s="23" t="s">
        <v>4842</v>
      </c>
      <c r="Y938" s="37">
        <v>8650</v>
      </c>
      <c r="Z938" s="23">
        <v>74.599999999999994</v>
      </c>
      <c r="AB938" s="23" t="s">
        <v>4843</v>
      </c>
      <c r="AC938" s="23" t="s">
        <v>1811</v>
      </c>
      <c r="AD938" s="118"/>
      <c r="AE938" s="118"/>
      <c r="AF938" s="23" t="s">
        <v>3181</v>
      </c>
      <c r="AG938" s="23" t="s">
        <v>666</v>
      </c>
      <c r="AH938" s="39">
        <v>44460</v>
      </c>
    </row>
    <row r="939" spans="1:34">
      <c r="A939" s="72" t="s">
        <v>4844</v>
      </c>
      <c r="B939" s="23" t="s">
        <v>4845</v>
      </c>
      <c r="C939" s="140">
        <v>44459</v>
      </c>
      <c r="D939" s="23" t="s">
        <v>729</v>
      </c>
      <c r="E939" s="23" t="s">
        <v>2919</v>
      </c>
      <c r="F939" s="23" t="s">
        <v>1723</v>
      </c>
      <c r="G939" s="23" t="s">
        <v>1724</v>
      </c>
      <c r="Q939" s="141" t="s">
        <v>4836</v>
      </c>
      <c r="T939" s="23" t="s">
        <v>3715</v>
      </c>
      <c r="U939" s="23" t="s">
        <v>3715</v>
      </c>
      <c r="V939" s="23" t="s">
        <v>298</v>
      </c>
      <c r="W939" s="23" t="s">
        <v>3288</v>
      </c>
      <c r="Y939" s="37">
        <v>7820</v>
      </c>
      <c r="Z939" s="23">
        <v>73.8</v>
      </c>
      <c r="AB939" s="23" t="s">
        <v>4846</v>
      </c>
      <c r="AC939" s="23" t="s">
        <v>4847</v>
      </c>
      <c r="AD939" s="118">
        <v>0</v>
      </c>
      <c r="AE939" s="118">
        <v>2</v>
      </c>
      <c r="AF939" s="23" t="s">
        <v>3181</v>
      </c>
      <c r="AG939" s="23" t="s">
        <v>666</v>
      </c>
      <c r="AH939" s="39">
        <v>44460</v>
      </c>
    </row>
    <row r="940" spans="1:34">
      <c r="A940" s="72" t="s">
        <v>4848</v>
      </c>
      <c r="B940" s="23" t="s">
        <v>4849</v>
      </c>
      <c r="C940" s="140">
        <v>44459</v>
      </c>
      <c r="F940" s="23" t="s">
        <v>1723</v>
      </c>
      <c r="G940" s="23" t="s">
        <v>1724</v>
      </c>
      <c r="Q940" s="141" t="s">
        <v>4836</v>
      </c>
      <c r="W940" s="23" t="s">
        <v>4850</v>
      </c>
      <c r="Y940" s="37">
        <v>10300</v>
      </c>
      <c r="Z940" s="23">
        <v>75.2</v>
      </c>
      <c r="AB940" s="23" t="s">
        <v>4851</v>
      </c>
      <c r="AC940" s="23" t="s">
        <v>3087</v>
      </c>
      <c r="AD940" s="118"/>
      <c r="AE940" s="118"/>
      <c r="AF940" s="23" t="s">
        <v>3181</v>
      </c>
      <c r="AG940" s="23" t="s">
        <v>1921</v>
      </c>
      <c r="AH940" s="39">
        <v>44460</v>
      </c>
    </row>
    <row r="941" spans="1:34">
      <c r="A941" s="72" t="s">
        <v>4852</v>
      </c>
      <c r="B941" s="23" t="s">
        <v>4859</v>
      </c>
      <c r="C941" s="140">
        <v>44461</v>
      </c>
      <c r="D941" s="23" t="s">
        <v>729</v>
      </c>
      <c r="E941" s="23" t="s">
        <v>2919</v>
      </c>
      <c r="F941" s="23" t="s">
        <v>1723</v>
      </c>
      <c r="G941" s="23" t="s">
        <v>1724</v>
      </c>
      <c r="Q941" s="141" t="s">
        <v>4860</v>
      </c>
      <c r="T941" s="23" t="s">
        <v>3715</v>
      </c>
      <c r="U941" s="23" t="s">
        <v>3715</v>
      </c>
      <c r="V941" s="23" t="s">
        <v>298</v>
      </c>
      <c r="W941" s="23" t="s">
        <v>3288</v>
      </c>
      <c r="Y941" s="37">
        <v>8000</v>
      </c>
      <c r="Z941" s="23">
        <v>76</v>
      </c>
      <c r="AB941" s="23" t="s">
        <v>4861</v>
      </c>
      <c r="AC941" s="23" t="s">
        <v>4372</v>
      </c>
      <c r="AD941" s="118">
        <v>0</v>
      </c>
      <c r="AE941" s="118">
        <v>2</v>
      </c>
      <c r="AF941" s="23" t="s">
        <v>3181</v>
      </c>
      <c r="AG941" s="23" t="s">
        <v>666</v>
      </c>
      <c r="AH941" s="39">
        <v>44462</v>
      </c>
    </row>
    <row r="942" spans="1:34">
      <c r="A942" s="72" t="s">
        <v>4862</v>
      </c>
      <c r="B942" s="23" t="s">
        <v>4863</v>
      </c>
      <c r="C942" s="140">
        <v>44460</v>
      </c>
      <c r="F942" s="23" t="s">
        <v>1723</v>
      </c>
      <c r="G942" s="23" t="s">
        <v>1724</v>
      </c>
      <c r="Q942" s="141" t="s">
        <v>4860</v>
      </c>
      <c r="W942" s="23" t="s">
        <v>4864</v>
      </c>
      <c r="Y942" s="37">
        <v>11200</v>
      </c>
      <c r="Z942" s="23">
        <v>73.5</v>
      </c>
      <c r="AB942" s="23" t="s">
        <v>4865</v>
      </c>
      <c r="AC942" s="23" t="s">
        <v>4866</v>
      </c>
      <c r="AD942" s="118"/>
      <c r="AE942" s="118"/>
      <c r="AF942" s="23" t="s">
        <v>3181</v>
      </c>
      <c r="AG942" s="23" t="s">
        <v>1845</v>
      </c>
      <c r="AH942" s="39">
        <v>44462</v>
      </c>
    </row>
    <row r="943" spans="1:34">
      <c r="A943" s="72" t="s">
        <v>4853</v>
      </c>
      <c r="B943" s="23" t="s">
        <v>4854</v>
      </c>
      <c r="C943" s="140">
        <v>44460</v>
      </c>
      <c r="D943" s="23" t="s">
        <v>729</v>
      </c>
      <c r="E943" s="23" t="s">
        <v>2919</v>
      </c>
      <c r="F943" s="23" t="s">
        <v>1723</v>
      </c>
      <c r="G943" s="23" t="s">
        <v>1724</v>
      </c>
      <c r="Q943" s="141" t="s">
        <v>4855</v>
      </c>
      <c r="T943" s="23" t="s">
        <v>3715</v>
      </c>
      <c r="U943" s="23" t="s">
        <v>3715</v>
      </c>
      <c r="V943" s="23" t="s">
        <v>298</v>
      </c>
      <c r="W943" s="23" t="s">
        <v>4856</v>
      </c>
      <c r="Y943" s="37">
        <v>7392</v>
      </c>
      <c r="Z943" s="23">
        <v>74.8</v>
      </c>
      <c r="AB943" s="23" t="s">
        <v>4857</v>
      </c>
      <c r="AC943" s="23" t="s">
        <v>4858</v>
      </c>
      <c r="AD943" s="118">
        <v>0</v>
      </c>
      <c r="AE943" s="118">
        <v>1</v>
      </c>
      <c r="AF943" s="23" t="s">
        <v>3181</v>
      </c>
      <c r="AG943" s="23" t="s">
        <v>666</v>
      </c>
      <c r="AH943" s="39">
        <v>44461</v>
      </c>
    </row>
    <row r="944" spans="1:34">
      <c r="A944" s="72" t="s">
        <v>4867</v>
      </c>
      <c r="B944" s="23" t="s">
        <v>4868</v>
      </c>
      <c r="C944" s="140">
        <v>44462</v>
      </c>
      <c r="D944" s="23" t="s">
        <v>729</v>
      </c>
      <c r="E944" s="23" t="s">
        <v>2919</v>
      </c>
      <c r="F944" s="23" t="s">
        <v>1723</v>
      </c>
      <c r="G944" s="23" t="s">
        <v>1724</v>
      </c>
      <c r="Q944" s="141" t="s">
        <v>4869</v>
      </c>
      <c r="T944" s="23" t="s">
        <v>3715</v>
      </c>
      <c r="U944" s="23" t="s">
        <v>3715</v>
      </c>
      <c r="V944" s="23" t="s">
        <v>298</v>
      </c>
      <c r="W944" s="23" t="s">
        <v>4667</v>
      </c>
      <c r="Y944" s="37">
        <v>7150</v>
      </c>
      <c r="Z944" s="23">
        <v>74.8</v>
      </c>
      <c r="AB944" s="23" t="s">
        <v>4871</v>
      </c>
      <c r="AC944" s="23" t="s">
        <v>4870</v>
      </c>
      <c r="AD944" s="118">
        <v>0</v>
      </c>
      <c r="AE944" s="118">
        <v>2</v>
      </c>
      <c r="AF944" s="23" t="s">
        <v>3181</v>
      </c>
      <c r="AG944" s="23" t="s">
        <v>666</v>
      </c>
      <c r="AH944" s="39">
        <v>44466</v>
      </c>
    </row>
    <row r="945" spans="1:55">
      <c r="A945" s="72" t="s">
        <v>4872</v>
      </c>
      <c r="B945" s="23" t="s">
        <v>4873</v>
      </c>
      <c r="C945" s="140">
        <v>44465</v>
      </c>
      <c r="F945" s="23" t="s">
        <v>1723</v>
      </c>
      <c r="G945" s="23" t="s">
        <v>1724</v>
      </c>
      <c r="Q945" s="141" t="s">
        <v>4869</v>
      </c>
      <c r="W945" s="23" t="s">
        <v>3288</v>
      </c>
      <c r="Y945" s="37">
        <v>7760</v>
      </c>
      <c r="Z945" s="23">
        <v>75.599999999999994</v>
      </c>
      <c r="AB945" s="23" t="s">
        <v>4874</v>
      </c>
      <c r="AC945" s="23" t="s">
        <v>4875</v>
      </c>
      <c r="AD945" s="118"/>
      <c r="AE945" s="118"/>
      <c r="AF945" s="23" t="s">
        <v>3181</v>
      </c>
      <c r="AG945" s="23" t="s">
        <v>666</v>
      </c>
      <c r="AH945" s="39">
        <v>44466</v>
      </c>
    </row>
    <row r="946" spans="1:55">
      <c r="A946" s="72" t="s">
        <v>4878</v>
      </c>
      <c r="B946" s="23" t="s">
        <v>4880</v>
      </c>
      <c r="C946" s="140">
        <v>44457</v>
      </c>
      <c r="D946" s="23" t="s">
        <v>729</v>
      </c>
      <c r="E946" s="23" t="s">
        <v>752</v>
      </c>
      <c r="F946" s="23" t="s">
        <v>2200</v>
      </c>
      <c r="G946" s="23" t="s">
        <v>301</v>
      </c>
      <c r="H946" s="75" t="s">
        <v>4879</v>
      </c>
      <c r="I946" s="75" t="s">
        <v>4879</v>
      </c>
      <c r="J946" s="140">
        <v>44442</v>
      </c>
      <c r="K946" s="23" t="s">
        <v>4881</v>
      </c>
      <c r="L946" s="140">
        <v>44460</v>
      </c>
      <c r="P946" s="23" t="s">
        <v>5004</v>
      </c>
      <c r="Q946" s="141" t="s">
        <v>4982</v>
      </c>
      <c r="T946" s="23" t="s">
        <v>305</v>
      </c>
      <c r="U946" s="23" t="s">
        <v>305</v>
      </c>
      <c r="V946" s="23" t="s">
        <v>298</v>
      </c>
      <c r="W946" s="23" t="s">
        <v>3141</v>
      </c>
      <c r="Y946" s="23">
        <v>8488</v>
      </c>
      <c r="Z946" s="23">
        <v>63.9</v>
      </c>
      <c r="AB946" s="59" t="s">
        <v>5015</v>
      </c>
      <c r="AC946" s="23" t="s">
        <v>3516</v>
      </c>
      <c r="AD946" s="118">
        <v>0</v>
      </c>
      <c r="AE946" s="118">
        <v>1</v>
      </c>
      <c r="AF946" s="23" t="s">
        <v>3297</v>
      </c>
      <c r="AG946" s="23" t="s">
        <v>3507</v>
      </c>
      <c r="AH946" s="39">
        <v>44467</v>
      </c>
      <c r="AJ946" s="75" t="s">
        <v>5293</v>
      </c>
      <c r="AK946" s="53">
        <v>44481</v>
      </c>
      <c r="AL946" s="23" t="s">
        <v>5296</v>
      </c>
      <c r="AM946" s="102">
        <v>44483</v>
      </c>
    </row>
    <row r="947" spans="1:55">
      <c r="A947" s="72" t="s">
        <v>4883</v>
      </c>
      <c r="B947" s="23" t="s">
        <v>4884</v>
      </c>
      <c r="C947" s="140">
        <v>44437</v>
      </c>
      <c r="D947" s="23" t="s">
        <v>729</v>
      </c>
      <c r="E947" s="23" t="s">
        <v>752</v>
      </c>
      <c r="F947" s="23" t="s">
        <v>2969</v>
      </c>
      <c r="G947" s="23" t="s">
        <v>1724</v>
      </c>
      <c r="P947" s="23" t="s">
        <v>4885</v>
      </c>
      <c r="Q947" s="141" t="s">
        <v>4886</v>
      </c>
      <c r="T947" s="23" t="s">
        <v>12031</v>
      </c>
      <c r="U947" s="23" t="s">
        <v>12031</v>
      </c>
      <c r="V947" s="23" t="s">
        <v>298</v>
      </c>
      <c r="W947" s="23" t="s">
        <v>4887</v>
      </c>
      <c r="Y947" s="23">
        <v>3500</v>
      </c>
      <c r="Z947" s="23" t="s">
        <v>2131</v>
      </c>
      <c r="AB947" s="23" t="s">
        <v>4888</v>
      </c>
      <c r="AC947" s="23" t="s">
        <v>131</v>
      </c>
      <c r="AD947" s="118">
        <v>0</v>
      </c>
      <c r="AE947" s="118">
        <v>1</v>
      </c>
      <c r="AF947" s="23" t="s">
        <v>3297</v>
      </c>
      <c r="AG947" s="23" t="s">
        <v>2416</v>
      </c>
      <c r="AH947" s="39">
        <v>44468</v>
      </c>
    </row>
    <row r="948" spans="1:55">
      <c r="A948" s="72" t="s">
        <v>4890</v>
      </c>
      <c r="B948" s="23" t="s">
        <v>4891</v>
      </c>
      <c r="C948" s="140">
        <v>44464</v>
      </c>
      <c r="D948" s="23" t="s">
        <v>729</v>
      </c>
      <c r="E948" s="23" t="s">
        <v>752</v>
      </c>
      <c r="F948" s="23" t="s">
        <v>2314</v>
      </c>
      <c r="G948" s="23" t="s">
        <v>5538</v>
      </c>
      <c r="H948" s="23" t="s">
        <v>4892</v>
      </c>
      <c r="I948" s="23" t="s">
        <v>4892</v>
      </c>
      <c r="J948" s="140">
        <v>44449</v>
      </c>
      <c r="T948" s="23" t="s">
        <v>12031</v>
      </c>
      <c r="U948" s="23" t="s">
        <v>12031</v>
      </c>
      <c r="V948" s="23" t="s">
        <v>299</v>
      </c>
      <c r="W948" s="23" t="s">
        <v>4914</v>
      </c>
      <c r="Y948" s="23">
        <v>4035</v>
      </c>
      <c r="Z948" s="23">
        <v>40.494</v>
      </c>
      <c r="AB948" s="59" t="s">
        <v>4896</v>
      </c>
      <c r="AC948" s="23">
        <v>3</v>
      </c>
      <c r="AD948" s="118">
        <v>0</v>
      </c>
      <c r="AE948" s="118">
        <v>1</v>
      </c>
      <c r="AF948" s="23" t="s">
        <v>3297</v>
      </c>
      <c r="AG948" s="23" t="s">
        <v>4893</v>
      </c>
      <c r="AH948" s="39">
        <v>44468</v>
      </c>
      <c r="AI948" s="53" t="s">
        <v>4889</v>
      </c>
      <c r="AJ948" s="75" t="s">
        <v>5291</v>
      </c>
      <c r="AL948" s="23" t="s">
        <v>5292</v>
      </c>
      <c r="AM948" s="102">
        <v>44471</v>
      </c>
    </row>
    <row r="949" spans="1:55">
      <c r="A949" s="72" t="s">
        <v>4897</v>
      </c>
      <c r="B949" s="23" t="s">
        <v>4898</v>
      </c>
      <c r="C949" s="140">
        <v>44456</v>
      </c>
      <c r="D949" s="23" t="s">
        <v>729</v>
      </c>
      <c r="E949" s="23" t="s">
        <v>752</v>
      </c>
      <c r="F949" s="23" t="s">
        <v>4899</v>
      </c>
      <c r="G949" s="23" t="s">
        <v>1724</v>
      </c>
      <c r="P949" s="23" t="s">
        <v>4900</v>
      </c>
      <c r="Q949" s="141" t="s">
        <v>4901</v>
      </c>
      <c r="T949" s="23" t="s">
        <v>12031</v>
      </c>
      <c r="U949" s="23" t="s">
        <v>12031</v>
      </c>
      <c r="V949" s="23" t="s">
        <v>298</v>
      </c>
      <c r="W949" s="23" t="s">
        <v>498</v>
      </c>
      <c r="Y949" s="23">
        <v>9964.6</v>
      </c>
      <c r="Z949" s="23">
        <v>53.680999999999997</v>
      </c>
      <c r="AB949" s="23" t="s">
        <v>4902</v>
      </c>
      <c r="AC949" s="23" t="s">
        <v>4903</v>
      </c>
      <c r="AD949" s="118">
        <v>0</v>
      </c>
      <c r="AE949" s="118">
        <v>1</v>
      </c>
      <c r="AF949" s="23" t="s">
        <v>3297</v>
      </c>
      <c r="AG949" s="23" t="s">
        <v>4534</v>
      </c>
      <c r="AH949" s="39">
        <v>44469</v>
      </c>
    </row>
    <row r="950" spans="1:55">
      <c r="A950" s="72" t="s">
        <v>4904</v>
      </c>
      <c r="B950" s="23" t="s">
        <v>4905</v>
      </c>
      <c r="C950" s="140">
        <v>44468</v>
      </c>
      <c r="D950" s="23" t="s">
        <v>729</v>
      </c>
      <c r="E950" s="23" t="s">
        <v>2919</v>
      </c>
      <c r="F950" s="23" t="s">
        <v>1723</v>
      </c>
      <c r="G950" s="23" t="s">
        <v>1724</v>
      </c>
      <c r="Q950" s="141" t="s">
        <v>4906</v>
      </c>
      <c r="T950" s="23" t="s">
        <v>3715</v>
      </c>
      <c r="U950" s="23" t="s">
        <v>3715</v>
      </c>
      <c r="V950" s="23" t="s">
        <v>298</v>
      </c>
      <c r="W950" s="23" t="s">
        <v>4351</v>
      </c>
      <c r="Y950" s="37">
        <v>13440</v>
      </c>
      <c r="Z950" s="23">
        <v>75</v>
      </c>
      <c r="AB950" s="23" t="s">
        <v>4902</v>
      </c>
      <c r="AC950" s="23" t="s">
        <v>4173</v>
      </c>
      <c r="AD950" s="118">
        <v>0</v>
      </c>
      <c r="AE950" s="118">
        <v>2</v>
      </c>
      <c r="AF950" s="23" t="s">
        <v>3181</v>
      </c>
      <c r="AG950" s="23" t="s">
        <v>1640</v>
      </c>
      <c r="AH950" s="39">
        <v>44469</v>
      </c>
    </row>
    <row r="951" spans="1:55">
      <c r="A951" s="72" t="s">
        <v>4907</v>
      </c>
      <c r="B951" s="23" t="s">
        <v>4908</v>
      </c>
      <c r="C951" s="140">
        <v>44468</v>
      </c>
      <c r="F951" s="23" t="s">
        <v>1723</v>
      </c>
      <c r="G951" s="23" t="s">
        <v>1724</v>
      </c>
      <c r="Q951" s="141" t="s">
        <v>4906</v>
      </c>
      <c r="W951" s="23" t="s">
        <v>3288</v>
      </c>
      <c r="Y951" s="37">
        <v>7300</v>
      </c>
      <c r="Z951" s="23">
        <v>60.5</v>
      </c>
      <c r="AB951" s="23" t="s">
        <v>4909</v>
      </c>
      <c r="AC951" s="23" t="s">
        <v>4083</v>
      </c>
      <c r="AD951" s="118"/>
      <c r="AE951" s="118"/>
      <c r="AF951" s="23" t="s">
        <v>3193</v>
      </c>
      <c r="AG951" s="23" t="s">
        <v>666</v>
      </c>
      <c r="AH951" s="39">
        <v>44469</v>
      </c>
    </row>
    <row r="952" spans="1:55">
      <c r="A952" s="72" t="s">
        <v>4910</v>
      </c>
      <c r="B952" s="23" t="s">
        <v>4911</v>
      </c>
      <c r="C952" s="140">
        <v>44470</v>
      </c>
      <c r="D952" s="23" t="s">
        <v>729</v>
      </c>
      <c r="E952" s="23" t="s">
        <v>2919</v>
      </c>
      <c r="F952" s="23" t="s">
        <v>1723</v>
      </c>
      <c r="G952" s="23" t="s">
        <v>1724</v>
      </c>
      <c r="Q952" s="141" t="s">
        <v>4912</v>
      </c>
      <c r="T952" s="23" t="s">
        <v>3715</v>
      </c>
      <c r="U952" s="23" t="s">
        <v>3715</v>
      </c>
      <c r="V952" s="23" t="s">
        <v>298</v>
      </c>
      <c r="W952" s="23" t="s">
        <v>4837</v>
      </c>
      <c r="Y952" s="37">
        <v>12400</v>
      </c>
      <c r="Z952" s="23">
        <v>75</v>
      </c>
      <c r="AB952" s="23" t="s">
        <v>4913</v>
      </c>
      <c r="AC952" s="23" t="s">
        <v>1773</v>
      </c>
      <c r="AD952" s="118">
        <v>0</v>
      </c>
      <c r="AE952" s="118">
        <v>1</v>
      </c>
      <c r="AF952" s="23" t="s">
        <v>3181</v>
      </c>
      <c r="AG952" s="23" t="s">
        <v>665</v>
      </c>
      <c r="AH952" s="39">
        <v>44471</v>
      </c>
    </row>
    <row r="953" spans="1:55">
      <c r="A953" s="72" t="s">
        <v>4915</v>
      </c>
      <c r="B953" s="23" t="s">
        <v>4921</v>
      </c>
      <c r="C953" s="140">
        <v>44408</v>
      </c>
      <c r="D953" s="23" t="s">
        <v>729</v>
      </c>
      <c r="E953" s="23" t="s">
        <v>752</v>
      </c>
      <c r="F953" s="23" t="s">
        <v>6113</v>
      </c>
      <c r="G953" s="23" t="s">
        <v>5538</v>
      </c>
      <c r="H953" s="23" t="s">
        <v>4926</v>
      </c>
      <c r="I953" s="23" t="s">
        <v>4926</v>
      </c>
      <c r="J953" s="140">
        <v>44404</v>
      </c>
      <c r="P953" s="23" t="s">
        <v>4529</v>
      </c>
      <c r="Q953" s="140">
        <v>44438</v>
      </c>
      <c r="T953" s="23" t="s">
        <v>12031</v>
      </c>
      <c r="U953" s="23" t="s">
        <v>12031</v>
      </c>
      <c r="V953" s="23" t="s">
        <v>299</v>
      </c>
      <c r="W953" s="23" t="s">
        <v>4922</v>
      </c>
      <c r="Y953" s="23">
        <v>4090</v>
      </c>
      <c r="Z953" s="23">
        <v>37.090000000000003</v>
      </c>
      <c r="AB953" s="59" t="s">
        <v>4924</v>
      </c>
      <c r="AC953" s="23">
        <v>2</v>
      </c>
      <c r="AD953" s="118">
        <v>0</v>
      </c>
      <c r="AE953" s="118">
        <v>1</v>
      </c>
      <c r="AF953" s="23" t="s">
        <v>3297</v>
      </c>
      <c r="AG953" s="23" t="s">
        <v>4923</v>
      </c>
      <c r="AH953" s="39">
        <v>44473</v>
      </c>
      <c r="AI953" s="53" t="s">
        <v>5027</v>
      </c>
      <c r="AJ953" s="75" t="s">
        <v>5287</v>
      </c>
      <c r="AL953" s="23" t="s">
        <v>5288</v>
      </c>
      <c r="AM953" s="102">
        <v>44484</v>
      </c>
    </row>
    <row r="954" spans="1:55" ht="80">
      <c r="A954" s="72" t="s">
        <v>4916</v>
      </c>
      <c r="B954" s="27" t="s">
        <v>4972</v>
      </c>
      <c r="C954" s="140">
        <v>44452</v>
      </c>
      <c r="D954" s="23" t="s">
        <v>729</v>
      </c>
      <c r="E954" s="23" t="s">
        <v>752</v>
      </c>
      <c r="F954" s="23" t="s">
        <v>2314</v>
      </c>
      <c r="G954" s="23" t="s">
        <v>5538</v>
      </c>
      <c r="H954" s="23" t="s">
        <v>4927</v>
      </c>
      <c r="I954" s="23" t="s">
        <v>4927</v>
      </c>
      <c r="J954" s="140">
        <v>44442</v>
      </c>
      <c r="Q954" s="140">
        <v>44476</v>
      </c>
      <c r="T954" s="23" t="s">
        <v>12031</v>
      </c>
      <c r="U954" s="23" t="s">
        <v>12031</v>
      </c>
      <c r="V954" s="23" t="s">
        <v>299</v>
      </c>
      <c r="W954" s="23" t="s">
        <v>4920</v>
      </c>
      <c r="Y954" s="23">
        <v>29400</v>
      </c>
      <c r="Z954" s="23">
        <v>266.71499999999997</v>
      </c>
      <c r="AB954" s="19" t="s">
        <v>5161</v>
      </c>
      <c r="AC954" s="23">
        <v>15</v>
      </c>
      <c r="AD954" s="118">
        <v>0</v>
      </c>
      <c r="AE954" s="118">
        <v>5</v>
      </c>
      <c r="AF954" s="23" t="s">
        <v>3297</v>
      </c>
      <c r="AG954" s="23" t="s">
        <v>4893</v>
      </c>
      <c r="AH954" s="39">
        <v>44473</v>
      </c>
      <c r="AI954" s="53" t="s">
        <v>4889</v>
      </c>
      <c r="BC954" s="2" t="s">
        <v>5162</v>
      </c>
    </row>
    <row r="955" spans="1:55">
      <c r="A955" s="72" t="s">
        <v>4917</v>
      </c>
      <c r="B955" s="23" t="s">
        <v>4918</v>
      </c>
      <c r="C955" s="140">
        <v>44468</v>
      </c>
      <c r="D955" s="23" t="s">
        <v>729</v>
      </c>
      <c r="E955" s="23" t="s">
        <v>752</v>
      </c>
      <c r="F955" s="23" t="s">
        <v>2314</v>
      </c>
      <c r="G955" s="23" t="s">
        <v>5538</v>
      </c>
      <c r="H955" s="23" t="s">
        <v>4950</v>
      </c>
      <c r="I955" s="23" t="s">
        <v>4950</v>
      </c>
      <c r="J955" s="140">
        <v>44449</v>
      </c>
      <c r="P955" s="23" t="s">
        <v>4919</v>
      </c>
      <c r="Q955" s="140">
        <v>44473</v>
      </c>
      <c r="T955" s="23" t="s">
        <v>12031</v>
      </c>
      <c r="U955" s="23" t="s">
        <v>12031</v>
      </c>
      <c r="V955" s="23" t="s">
        <v>299</v>
      </c>
      <c r="W955" s="23" t="s">
        <v>4920</v>
      </c>
      <c r="Y955" s="23">
        <v>4035</v>
      </c>
      <c r="Z955" s="23">
        <v>40.494</v>
      </c>
      <c r="AB955" s="59" t="s">
        <v>4925</v>
      </c>
      <c r="AC955" s="23">
        <v>3</v>
      </c>
      <c r="AD955" s="118">
        <v>0</v>
      </c>
      <c r="AE955" s="118">
        <v>1</v>
      </c>
      <c r="AF955" s="23" t="s">
        <v>3297</v>
      </c>
      <c r="AG955" s="23" t="s">
        <v>4893</v>
      </c>
      <c r="AH955" s="39">
        <v>44473</v>
      </c>
      <c r="AI955" s="53" t="s">
        <v>4889</v>
      </c>
      <c r="AJ955" s="75" t="s">
        <v>5285</v>
      </c>
      <c r="AK955" s="53">
        <v>44474</v>
      </c>
      <c r="AL955" s="23" t="s">
        <v>5286</v>
      </c>
      <c r="AM955" s="102">
        <v>44480</v>
      </c>
    </row>
    <row r="956" spans="1:55">
      <c r="A956" s="72" t="s">
        <v>4929</v>
      </c>
      <c r="B956" s="23" t="s">
        <v>4930</v>
      </c>
      <c r="C956" s="140">
        <v>44472</v>
      </c>
      <c r="D956" s="23" t="s">
        <v>729</v>
      </c>
      <c r="E956" s="23" t="s">
        <v>2919</v>
      </c>
      <c r="F956" s="23" t="s">
        <v>1723</v>
      </c>
      <c r="G956" s="23" t="s">
        <v>1724</v>
      </c>
      <c r="Q956" s="141" t="s">
        <v>4931</v>
      </c>
      <c r="T956" s="23" t="s">
        <v>3715</v>
      </c>
      <c r="U956" s="23" t="s">
        <v>3715</v>
      </c>
      <c r="V956" s="23" t="s">
        <v>298</v>
      </c>
      <c r="W956" s="23" t="s">
        <v>3288</v>
      </c>
      <c r="Y956" s="37">
        <v>8020</v>
      </c>
      <c r="Z956" s="23">
        <v>76</v>
      </c>
      <c r="AB956" s="23" t="s">
        <v>4932</v>
      </c>
      <c r="AC956" s="23" t="s">
        <v>4937</v>
      </c>
      <c r="AD956" s="118">
        <v>0</v>
      </c>
      <c r="AE956" s="118">
        <v>3</v>
      </c>
      <c r="AF956" s="23" t="s">
        <v>3181</v>
      </c>
      <c r="AG956" s="23" t="s">
        <v>666</v>
      </c>
      <c r="AH956" s="39">
        <v>44473</v>
      </c>
    </row>
    <row r="957" spans="1:55">
      <c r="A957" s="72" t="s">
        <v>4933</v>
      </c>
      <c r="B957" s="23" t="s">
        <v>4934</v>
      </c>
      <c r="C957" s="140">
        <v>44472</v>
      </c>
      <c r="F957" s="23" t="s">
        <v>1723</v>
      </c>
      <c r="G957" s="23" t="s">
        <v>1724</v>
      </c>
      <c r="Q957" s="141" t="s">
        <v>4931</v>
      </c>
      <c r="W957" s="23" t="s">
        <v>4935</v>
      </c>
      <c r="Y957" s="37">
        <v>14200</v>
      </c>
      <c r="Z957" s="23">
        <v>75.2</v>
      </c>
      <c r="AB957" s="23" t="s">
        <v>4936</v>
      </c>
      <c r="AC957" s="23" t="s">
        <v>3277</v>
      </c>
      <c r="AD957" s="118"/>
      <c r="AE957" s="118"/>
      <c r="AF957" s="23" t="s">
        <v>3181</v>
      </c>
      <c r="AG957" s="23" t="s">
        <v>1640</v>
      </c>
      <c r="AH957" s="39">
        <v>44473</v>
      </c>
    </row>
    <row r="958" spans="1:55">
      <c r="A958" s="72" t="s">
        <v>4938</v>
      </c>
      <c r="B958" s="23" t="s">
        <v>4939</v>
      </c>
      <c r="C958" s="140">
        <v>44472</v>
      </c>
      <c r="F958" s="23" t="s">
        <v>1723</v>
      </c>
      <c r="G958" s="23" t="s">
        <v>1724</v>
      </c>
      <c r="Q958" s="141" t="s">
        <v>4931</v>
      </c>
      <c r="W958" s="23" t="s">
        <v>4667</v>
      </c>
      <c r="Y958" s="37">
        <v>9120</v>
      </c>
      <c r="Z958" s="23">
        <v>75.2</v>
      </c>
      <c r="AB958" s="23" t="s">
        <v>4940</v>
      </c>
      <c r="AC958" s="23" t="s">
        <v>1013</v>
      </c>
      <c r="AD958" s="118"/>
      <c r="AE958" s="118"/>
      <c r="AF958" s="23" t="s">
        <v>3181</v>
      </c>
      <c r="AG958" s="23" t="s">
        <v>666</v>
      </c>
      <c r="AH958" s="39">
        <v>44473</v>
      </c>
    </row>
    <row r="959" spans="1:55">
      <c r="A959" s="72" t="s">
        <v>4941</v>
      </c>
      <c r="B959" s="23" t="s">
        <v>4942</v>
      </c>
      <c r="C959" s="140">
        <v>44471</v>
      </c>
      <c r="D959" s="23" t="s">
        <v>729</v>
      </c>
      <c r="E959" s="23" t="s">
        <v>2919</v>
      </c>
      <c r="F959" s="23" t="s">
        <v>1723</v>
      </c>
      <c r="G959" s="23" t="s">
        <v>1724</v>
      </c>
      <c r="Q959" s="141" t="s">
        <v>4931</v>
      </c>
      <c r="T959" s="23" t="s">
        <v>3715</v>
      </c>
      <c r="U959" s="23" t="s">
        <v>3715</v>
      </c>
      <c r="V959" s="23" t="s">
        <v>298</v>
      </c>
      <c r="W959" s="23" t="s">
        <v>2103</v>
      </c>
      <c r="Y959" s="37">
        <v>13080</v>
      </c>
      <c r="Z959" s="23">
        <v>74.400000000000006</v>
      </c>
      <c r="AB959" s="23" t="s">
        <v>4943</v>
      </c>
      <c r="AC959" s="23" t="s">
        <v>4944</v>
      </c>
      <c r="AD959" s="118">
        <v>0</v>
      </c>
      <c r="AE959" s="118">
        <v>2</v>
      </c>
      <c r="AF959" s="23" t="s">
        <v>3181</v>
      </c>
      <c r="AG959" s="23" t="s">
        <v>666</v>
      </c>
      <c r="AH959" s="39">
        <v>44473</v>
      </c>
    </row>
    <row r="960" spans="1:55">
      <c r="A960" s="72" t="s">
        <v>4945</v>
      </c>
      <c r="B960" s="23" t="s">
        <v>4946</v>
      </c>
      <c r="C960" s="140">
        <v>44471</v>
      </c>
      <c r="F960" s="23" t="s">
        <v>1723</v>
      </c>
      <c r="G960" s="23" t="s">
        <v>1724</v>
      </c>
      <c r="Q960" s="141" t="s">
        <v>4931</v>
      </c>
      <c r="W960" s="23" t="s">
        <v>4947</v>
      </c>
      <c r="Y960" s="37">
        <v>23500</v>
      </c>
      <c r="Z960" s="23">
        <v>74.599999999999994</v>
      </c>
      <c r="AB960" s="23" t="s">
        <v>4948</v>
      </c>
      <c r="AC960" s="23" t="s">
        <v>4949</v>
      </c>
      <c r="AD960" s="118"/>
      <c r="AE960" s="118"/>
      <c r="AF960" s="23" t="s">
        <v>3181</v>
      </c>
      <c r="AG960" s="23" t="s">
        <v>637</v>
      </c>
      <c r="AH960" s="39">
        <v>44473</v>
      </c>
    </row>
    <row r="961" spans="1:39" ht="288">
      <c r="A961" s="72" t="s">
        <v>4951</v>
      </c>
      <c r="B961" s="23" t="s">
        <v>4955</v>
      </c>
      <c r="C961" s="140">
        <v>44464</v>
      </c>
      <c r="D961" s="23" t="s">
        <v>729</v>
      </c>
      <c r="E961" s="23" t="s">
        <v>752</v>
      </c>
      <c r="F961" s="23" t="s">
        <v>2200</v>
      </c>
      <c r="G961" s="23" t="s">
        <v>301</v>
      </c>
      <c r="H961" s="23">
        <v>20369205</v>
      </c>
      <c r="I961" s="23">
        <v>20369205</v>
      </c>
      <c r="J961" s="140">
        <v>44459</v>
      </c>
      <c r="K961" s="23" t="s">
        <v>4956</v>
      </c>
      <c r="L961" s="140">
        <v>44468</v>
      </c>
      <c r="P961" s="19" t="s">
        <v>5003</v>
      </c>
      <c r="Q961" s="141" t="s">
        <v>4982</v>
      </c>
      <c r="T961" s="23" t="s">
        <v>305</v>
      </c>
      <c r="U961" s="23" t="s">
        <v>305</v>
      </c>
      <c r="V961" s="23" t="s">
        <v>298</v>
      </c>
      <c r="W961" s="23" t="s">
        <v>4971</v>
      </c>
      <c r="Y961" s="23">
        <v>19260</v>
      </c>
      <c r="Z961" s="23">
        <v>182.88</v>
      </c>
      <c r="AB961" s="19" t="s">
        <v>5131</v>
      </c>
      <c r="AC961" s="23" t="s">
        <v>345</v>
      </c>
      <c r="AD961" s="118">
        <v>0</v>
      </c>
      <c r="AE961" s="118">
        <v>6</v>
      </c>
      <c r="AF961" s="19" t="s">
        <v>4957</v>
      </c>
      <c r="AG961" s="23" t="s">
        <v>1553</v>
      </c>
      <c r="AH961" s="39">
        <v>44473</v>
      </c>
      <c r="AJ961" s="75" t="s">
        <v>5289</v>
      </c>
      <c r="AK961" s="53">
        <v>44482</v>
      </c>
      <c r="AL961" s="23" t="s">
        <v>5290</v>
      </c>
      <c r="AM961" s="102">
        <v>44482</v>
      </c>
    </row>
    <row r="962" spans="1:39" ht="192">
      <c r="A962" s="72" t="s">
        <v>4952</v>
      </c>
      <c r="B962" s="23" t="s">
        <v>4958</v>
      </c>
      <c r="C962" s="140">
        <v>44464</v>
      </c>
      <c r="D962" s="23" t="s">
        <v>729</v>
      </c>
      <c r="E962" s="23" t="s">
        <v>752</v>
      </c>
      <c r="F962" s="23" t="s">
        <v>2200</v>
      </c>
      <c r="G962" s="23" t="s">
        <v>301</v>
      </c>
      <c r="H962" s="23" t="s">
        <v>4959</v>
      </c>
      <c r="I962" s="23" t="s">
        <v>4959</v>
      </c>
      <c r="J962" s="140">
        <v>44459</v>
      </c>
      <c r="K962" s="23" t="s">
        <v>4960</v>
      </c>
      <c r="L962" s="140">
        <v>44468</v>
      </c>
      <c r="P962" s="19" t="s">
        <v>5003</v>
      </c>
      <c r="Q962" s="141" t="s">
        <v>4982</v>
      </c>
      <c r="T962" s="23" t="s">
        <v>305</v>
      </c>
      <c r="U962" s="23" t="s">
        <v>305</v>
      </c>
      <c r="V962" s="23" t="s">
        <v>298</v>
      </c>
      <c r="W962" s="19" t="s">
        <v>4970</v>
      </c>
      <c r="Y962" s="23">
        <v>11195</v>
      </c>
      <c r="Z962" s="23">
        <v>109.12</v>
      </c>
      <c r="AB962" s="19" t="s">
        <v>5132</v>
      </c>
      <c r="AC962" s="23" t="s">
        <v>4961</v>
      </c>
      <c r="AD962" s="118">
        <v>1</v>
      </c>
      <c r="AE962" s="118">
        <v>3</v>
      </c>
      <c r="AF962" s="19" t="s">
        <v>4962</v>
      </c>
      <c r="AG962" s="23" t="s">
        <v>1553</v>
      </c>
      <c r="AH962" s="39">
        <v>44473</v>
      </c>
      <c r="AJ962" s="75" t="s">
        <v>5281</v>
      </c>
      <c r="AK962" s="53">
        <v>44481</v>
      </c>
      <c r="AL962" s="23" t="s">
        <v>5284</v>
      </c>
      <c r="AM962" s="102">
        <v>44482</v>
      </c>
    </row>
    <row r="963" spans="1:39" ht="112">
      <c r="A963" s="72" t="s">
        <v>4953</v>
      </c>
      <c r="B963" s="23" t="s">
        <v>4963</v>
      </c>
      <c r="C963" s="140">
        <v>44464</v>
      </c>
      <c r="D963" s="23" t="s">
        <v>729</v>
      </c>
      <c r="E963" s="23" t="s">
        <v>752</v>
      </c>
      <c r="F963" s="23" t="s">
        <v>2200</v>
      </c>
      <c r="G963" s="23" t="s">
        <v>301</v>
      </c>
      <c r="H963" s="23">
        <v>20368232</v>
      </c>
      <c r="I963" s="23">
        <v>20368232</v>
      </c>
      <c r="J963" s="140">
        <v>44448</v>
      </c>
      <c r="K963" s="23" t="s">
        <v>4964</v>
      </c>
      <c r="L963" s="140">
        <v>44467</v>
      </c>
      <c r="P963" s="19" t="s">
        <v>5003</v>
      </c>
      <c r="Q963" s="141" t="s">
        <v>4982</v>
      </c>
      <c r="T963" s="23" t="s">
        <v>305</v>
      </c>
      <c r="U963" s="23" t="s">
        <v>305</v>
      </c>
      <c r="V963" s="23" t="s">
        <v>298</v>
      </c>
      <c r="W963" s="23" t="s">
        <v>4969</v>
      </c>
      <c r="Y963" s="23">
        <v>13509</v>
      </c>
      <c r="Z963" s="23">
        <v>130.44</v>
      </c>
      <c r="AB963" s="60" t="s">
        <v>4965</v>
      </c>
      <c r="AC963" s="23" t="s">
        <v>2424</v>
      </c>
      <c r="AD963" s="118">
        <v>0</v>
      </c>
      <c r="AE963" s="118">
        <v>3</v>
      </c>
      <c r="AF963" s="19" t="s">
        <v>3294</v>
      </c>
      <c r="AG963" s="23" t="s">
        <v>1553</v>
      </c>
      <c r="AH963" s="39">
        <v>44473</v>
      </c>
      <c r="AJ963" s="75" t="s">
        <v>5295</v>
      </c>
      <c r="AK963" s="53">
        <v>44481</v>
      </c>
      <c r="AL963" s="23" t="s">
        <v>5294</v>
      </c>
      <c r="AM963" s="102">
        <v>44482</v>
      </c>
    </row>
    <row r="964" spans="1:39" ht="128">
      <c r="A964" s="72" t="s">
        <v>4954</v>
      </c>
      <c r="B964" s="23" t="s">
        <v>4966</v>
      </c>
      <c r="C964" s="140">
        <v>44464</v>
      </c>
      <c r="D964" s="23" t="s">
        <v>729</v>
      </c>
      <c r="E964" s="23" t="s">
        <v>752</v>
      </c>
      <c r="F964" s="23" t="s">
        <v>2200</v>
      </c>
      <c r="G964" s="23" t="s">
        <v>301</v>
      </c>
      <c r="H964" s="23">
        <v>20368346</v>
      </c>
      <c r="I964" s="23">
        <v>20368346</v>
      </c>
      <c r="J964" s="140">
        <v>44448</v>
      </c>
      <c r="K964" s="23" t="s">
        <v>4967</v>
      </c>
      <c r="L964" s="140">
        <v>44467</v>
      </c>
      <c r="P964" s="19" t="s">
        <v>5003</v>
      </c>
      <c r="Q964" s="141" t="s">
        <v>4982</v>
      </c>
      <c r="T964" s="23" t="s">
        <v>305</v>
      </c>
      <c r="U964" s="23" t="s">
        <v>305</v>
      </c>
      <c r="V964" s="23" t="s">
        <v>298</v>
      </c>
      <c r="W964" s="23" t="s">
        <v>4968</v>
      </c>
      <c r="Y964" s="23">
        <v>11880</v>
      </c>
      <c r="Z964" s="23">
        <v>114.17</v>
      </c>
      <c r="AB964" s="19" t="s">
        <v>5133</v>
      </c>
      <c r="AC964" s="23" t="s">
        <v>2424</v>
      </c>
      <c r="AD964" s="118">
        <v>0</v>
      </c>
      <c r="AE964" s="118">
        <v>3</v>
      </c>
      <c r="AF964" s="19" t="s">
        <v>3294</v>
      </c>
      <c r="AG964" s="23" t="s">
        <v>1553</v>
      </c>
      <c r="AH964" s="39">
        <v>44473</v>
      </c>
      <c r="AJ964" s="75" t="s">
        <v>5282</v>
      </c>
      <c r="AK964" s="53">
        <v>44481</v>
      </c>
      <c r="AL964" s="23" t="s">
        <v>5283</v>
      </c>
      <c r="AM964" s="102">
        <v>44482</v>
      </c>
    </row>
    <row r="965" spans="1:39">
      <c r="A965" s="72" t="s">
        <v>4973</v>
      </c>
      <c r="B965" s="23" t="s">
        <v>4974</v>
      </c>
      <c r="C965" s="140">
        <v>44476</v>
      </c>
      <c r="D965" s="23" t="s">
        <v>729</v>
      </c>
      <c r="E965" s="23" t="s">
        <v>2919</v>
      </c>
      <c r="F965" s="23" t="s">
        <v>1723</v>
      </c>
      <c r="G965" s="23" t="s">
        <v>1724</v>
      </c>
      <c r="Q965" s="141" t="s">
        <v>4975</v>
      </c>
      <c r="T965" s="23" t="s">
        <v>3715</v>
      </c>
      <c r="U965" s="23" t="s">
        <v>3715</v>
      </c>
      <c r="V965" s="23" t="s">
        <v>298</v>
      </c>
      <c r="W965" s="23" t="s">
        <v>4667</v>
      </c>
      <c r="Y965" s="37">
        <v>9120</v>
      </c>
      <c r="Z965" s="23">
        <v>75</v>
      </c>
      <c r="AB965" s="23" t="s">
        <v>4976</v>
      </c>
      <c r="AC965" s="23" t="s">
        <v>1013</v>
      </c>
      <c r="AD965" s="118">
        <v>0</v>
      </c>
      <c r="AE965" s="118">
        <v>2</v>
      </c>
      <c r="AF965" s="23" t="s">
        <v>3181</v>
      </c>
      <c r="AG965" s="23" t="s">
        <v>666</v>
      </c>
      <c r="AH965" s="39">
        <v>44477</v>
      </c>
    </row>
    <row r="966" spans="1:39">
      <c r="A966" s="72" t="s">
        <v>4977</v>
      </c>
      <c r="B966" s="23" t="s">
        <v>4978</v>
      </c>
      <c r="C966" s="140">
        <v>44476</v>
      </c>
      <c r="F966" s="23" t="s">
        <v>1723</v>
      </c>
      <c r="G966" s="23" t="s">
        <v>1724</v>
      </c>
      <c r="Q966" s="141" t="s">
        <v>4975</v>
      </c>
      <c r="W966" s="23" t="s">
        <v>4935</v>
      </c>
      <c r="Y966" s="37">
        <v>13400</v>
      </c>
      <c r="Z966" s="23">
        <v>74.8</v>
      </c>
      <c r="AB966" s="23" t="s">
        <v>4979</v>
      </c>
      <c r="AC966" s="23" t="s">
        <v>3673</v>
      </c>
      <c r="AD966" s="118"/>
      <c r="AE966" s="118"/>
      <c r="AF966" s="23" t="s">
        <v>3181</v>
      </c>
      <c r="AG966" s="23" t="s">
        <v>1640</v>
      </c>
      <c r="AH966" s="39">
        <v>44477</v>
      </c>
    </row>
    <row r="967" spans="1:39">
      <c r="A967" s="72" t="s">
        <v>4980</v>
      </c>
      <c r="B967" s="23" t="s">
        <v>4981</v>
      </c>
      <c r="C967" s="140">
        <v>44473</v>
      </c>
      <c r="D967" s="23" t="s">
        <v>729</v>
      </c>
      <c r="E967" s="23" t="s">
        <v>2919</v>
      </c>
      <c r="F967" s="23" t="s">
        <v>1723</v>
      </c>
      <c r="G967" s="23" t="s">
        <v>1724</v>
      </c>
      <c r="Q967" s="141" t="s">
        <v>4982</v>
      </c>
      <c r="T967" s="23" t="s">
        <v>3715</v>
      </c>
      <c r="U967" s="23" t="s">
        <v>3715</v>
      </c>
      <c r="V967" s="23" t="s">
        <v>298</v>
      </c>
      <c r="W967" s="23" t="s">
        <v>4983</v>
      </c>
      <c r="Y967" s="37">
        <v>10110</v>
      </c>
      <c r="Z967" s="23">
        <v>75.400000000000006</v>
      </c>
      <c r="AB967" s="23" t="s">
        <v>4984</v>
      </c>
      <c r="AC967" s="23" t="s">
        <v>4581</v>
      </c>
      <c r="AD967" s="118">
        <v>0</v>
      </c>
      <c r="AE967" s="118">
        <v>2</v>
      </c>
      <c r="AF967" s="23" t="s">
        <v>3181</v>
      </c>
      <c r="AG967" s="23" t="s">
        <v>666</v>
      </c>
      <c r="AH967" s="39">
        <v>44477</v>
      </c>
    </row>
    <row r="968" spans="1:39">
      <c r="A968" s="72" t="s">
        <v>4985</v>
      </c>
      <c r="B968" s="23" t="s">
        <v>4986</v>
      </c>
      <c r="C968" s="140">
        <v>44473</v>
      </c>
      <c r="F968" s="23" t="s">
        <v>1723</v>
      </c>
      <c r="G968" s="23" t="s">
        <v>1724</v>
      </c>
      <c r="Q968" s="141" t="s">
        <v>4982</v>
      </c>
      <c r="W968" s="23" t="s">
        <v>4493</v>
      </c>
      <c r="Y968" s="37">
        <v>9050</v>
      </c>
      <c r="Z968" s="23">
        <v>75</v>
      </c>
      <c r="AB968" s="23" t="s">
        <v>4987</v>
      </c>
      <c r="AC968" s="23" t="s">
        <v>1762</v>
      </c>
      <c r="AD968" s="118"/>
      <c r="AE968" s="118"/>
      <c r="AF968" s="23" t="s">
        <v>3181</v>
      </c>
      <c r="AG968" s="23" t="s">
        <v>1640</v>
      </c>
      <c r="AH968" s="39">
        <v>44477</v>
      </c>
    </row>
    <row r="969" spans="1:39">
      <c r="A969" s="72" t="s">
        <v>4988</v>
      </c>
      <c r="B969" s="23" t="s">
        <v>4989</v>
      </c>
      <c r="C969" s="140">
        <v>44477</v>
      </c>
      <c r="D969" s="23" t="s">
        <v>729</v>
      </c>
      <c r="E969" s="23" t="s">
        <v>2919</v>
      </c>
      <c r="F969" s="23" t="s">
        <v>1723</v>
      </c>
      <c r="G969" s="23" t="s">
        <v>1724</v>
      </c>
      <c r="Q969" s="141" t="s">
        <v>4990</v>
      </c>
      <c r="T969" s="23" t="s">
        <v>3715</v>
      </c>
      <c r="U969" s="23" t="s">
        <v>3715</v>
      </c>
      <c r="V969" s="23" t="s">
        <v>298</v>
      </c>
      <c r="W969" s="23" t="s">
        <v>4991</v>
      </c>
      <c r="Y969" s="37">
        <v>18600</v>
      </c>
      <c r="Z969" s="23">
        <v>75.599999999999994</v>
      </c>
      <c r="AB969" s="23" t="s">
        <v>4992</v>
      </c>
      <c r="AC969" s="23" t="s">
        <v>4993</v>
      </c>
      <c r="AD969" s="118">
        <v>0</v>
      </c>
      <c r="AE969" s="118">
        <v>3</v>
      </c>
      <c r="AF969" s="23" t="s">
        <v>3181</v>
      </c>
      <c r="AG969" s="23" t="s">
        <v>1640</v>
      </c>
      <c r="AH969" s="39">
        <v>44478</v>
      </c>
    </row>
    <row r="970" spans="1:39">
      <c r="A970" s="72" t="s">
        <v>4994</v>
      </c>
      <c r="B970" s="23" t="s">
        <v>4995</v>
      </c>
      <c r="C970" s="140">
        <v>44477</v>
      </c>
      <c r="F970" s="23" t="s">
        <v>1723</v>
      </c>
      <c r="G970" s="23" t="s">
        <v>1724</v>
      </c>
      <c r="Q970" s="141" t="s">
        <v>4990</v>
      </c>
      <c r="W970" s="23" t="s">
        <v>4996</v>
      </c>
      <c r="Y970" s="37">
        <v>15600</v>
      </c>
      <c r="Z970" s="23">
        <v>74.599999999999994</v>
      </c>
      <c r="AB970" s="23" t="s">
        <v>4997</v>
      </c>
      <c r="AC970" s="23" t="s">
        <v>4998</v>
      </c>
      <c r="AD970" s="118"/>
      <c r="AE970" s="118"/>
      <c r="AF970" s="23" t="s">
        <v>3181</v>
      </c>
      <c r="AG970" s="23" t="s">
        <v>1640</v>
      </c>
      <c r="AH970" s="39">
        <v>44478</v>
      </c>
    </row>
    <row r="971" spans="1:39">
      <c r="A971" s="72" t="s">
        <v>4999</v>
      </c>
      <c r="B971" s="23" t="s">
        <v>5000</v>
      </c>
      <c r="C971" s="140">
        <v>44477</v>
      </c>
      <c r="F971" s="23" t="s">
        <v>1723</v>
      </c>
      <c r="G971" s="23" t="s">
        <v>1724</v>
      </c>
      <c r="Q971" s="141" t="s">
        <v>4990</v>
      </c>
      <c r="W971" s="23" t="s">
        <v>3288</v>
      </c>
      <c r="Y971" s="37">
        <v>7800</v>
      </c>
      <c r="Z971" s="23">
        <v>76</v>
      </c>
      <c r="AB971" s="23" t="s">
        <v>5001</v>
      </c>
      <c r="AC971" s="23" t="s">
        <v>5002</v>
      </c>
      <c r="AD971" s="118"/>
      <c r="AE971" s="118"/>
      <c r="AF971" s="23" t="s">
        <v>3181</v>
      </c>
      <c r="AG971" s="23" t="s">
        <v>666</v>
      </c>
      <c r="AH971" s="39">
        <v>44478</v>
      </c>
    </row>
    <row r="972" spans="1:39">
      <c r="A972" s="72" t="s">
        <v>5005</v>
      </c>
      <c r="B972" s="23" t="s">
        <v>5006</v>
      </c>
      <c r="C972" s="140">
        <v>44479</v>
      </c>
      <c r="D972" s="23" t="s">
        <v>729</v>
      </c>
      <c r="E972" s="23" t="s">
        <v>2919</v>
      </c>
      <c r="F972" s="23" t="s">
        <v>1723</v>
      </c>
      <c r="G972" s="23" t="s">
        <v>1724</v>
      </c>
      <c r="Q972" s="141" t="s">
        <v>5007</v>
      </c>
      <c r="T972" s="23" t="s">
        <v>3715</v>
      </c>
      <c r="U972" s="23" t="s">
        <v>3715</v>
      </c>
      <c r="V972" s="23" t="s">
        <v>298</v>
      </c>
      <c r="W972" s="23" t="s">
        <v>5008</v>
      </c>
      <c r="Y972" s="37">
        <v>15140</v>
      </c>
      <c r="Z972" s="23">
        <v>74.8</v>
      </c>
      <c r="AB972" s="23" t="s">
        <v>5009</v>
      </c>
      <c r="AC972" s="23" t="s">
        <v>5010</v>
      </c>
      <c r="AD972" s="118">
        <v>0</v>
      </c>
      <c r="AE972" s="118">
        <v>2</v>
      </c>
      <c r="AF972" s="23" t="s">
        <v>3181</v>
      </c>
      <c r="AG972" s="23" t="s">
        <v>1640</v>
      </c>
      <c r="AH972" s="39">
        <v>44480</v>
      </c>
    </row>
    <row r="973" spans="1:39">
      <c r="A973" s="72" t="s">
        <v>5011</v>
      </c>
      <c r="B973" s="23" t="s">
        <v>5012</v>
      </c>
      <c r="C973" s="140">
        <v>44480</v>
      </c>
      <c r="F973" s="23" t="s">
        <v>1723</v>
      </c>
      <c r="G973" s="23" t="s">
        <v>1724</v>
      </c>
      <c r="Q973" s="141" t="s">
        <v>5007</v>
      </c>
      <c r="W973" s="23" t="s">
        <v>5013</v>
      </c>
      <c r="Y973" s="37">
        <v>18295</v>
      </c>
      <c r="Z973" s="23">
        <v>73.8</v>
      </c>
      <c r="AB973" s="23" t="s">
        <v>5014</v>
      </c>
      <c r="AC973" s="23" t="s">
        <v>3673</v>
      </c>
      <c r="AD973" s="118"/>
      <c r="AE973" s="118"/>
      <c r="AF973" s="23" t="s">
        <v>3181</v>
      </c>
      <c r="AG973" s="23" t="s">
        <v>4653</v>
      </c>
      <c r="AH973" s="39">
        <v>44480</v>
      </c>
    </row>
    <row r="974" spans="1:39" ht="64">
      <c r="A974" s="72" t="s">
        <v>5016</v>
      </c>
      <c r="B974" s="27" t="s">
        <v>5017</v>
      </c>
      <c r="C974" s="140">
        <v>44414</v>
      </c>
      <c r="D974" s="23" t="s">
        <v>729</v>
      </c>
      <c r="E974" s="23" t="s">
        <v>752</v>
      </c>
      <c r="F974" s="23" t="s">
        <v>2926</v>
      </c>
      <c r="G974" s="23" t="s">
        <v>2165</v>
      </c>
      <c r="P974" s="23" t="s">
        <v>5018</v>
      </c>
      <c r="Q974" s="141" t="s">
        <v>5019</v>
      </c>
      <c r="T974" s="23" t="s">
        <v>12031</v>
      </c>
      <c r="U974" s="23" t="s">
        <v>12031</v>
      </c>
      <c r="V974" s="23" t="s">
        <v>298</v>
      </c>
      <c r="W974" s="19" t="s">
        <v>5020</v>
      </c>
      <c r="Y974" s="37">
        <v>6000</v>
      </c>
      <c r="Z974" s="23">
        <v>45.3</v>
      </c>
      <c r="AB974" s="23" t="s">
        <v>5021</v>
      </c>
      <c r="AC974" s="23" t="s">
        <v>1493</v>
      </c>
      <c r="AD974" s="118">
        <v>0</v>
      </c>
      <c r="AE974" s="118">
        <v>1</v>
      </c>
      <c r="AF974" s="23" t="s">
        <v>4568</v>
      </c>
      <c r="AG974" s="23" t="s">
        <v>4569</v>
      </c>
      <c r="AH974" s="39">
        <v>44481</v>
      </c>
    </row>
    <row r="975" spans="1:39">
      <c r="A975" s="72" t="s">
        <v>5022</v>
      </c>
      <c r="B975" s="23" t="s">
        <v>5023</v>
      </c>
      <c r="C975" s="140">
        <v>44480</v>
      </c>
      <c r="D975" s="23" t="s">
        <v>729</v>
      </c>
      <c r="E975" s="23" t="s">
        <v>2919</v>
      </c>
      <c r="F975" s="23" t="s">
        <v>1723</v>
      </c>
      <c r="G975" s="23" t="s">
        <v>1724</v>
      </c>
      <c r="Q975" s="141" t="s">
        <v>5024</v>
      </c>
      <c r="T975" s="23" t="s">
        <v>3715</v>
      </c>
      <c r="U975" s="23" t="s">
        <v>3715</v>
      </c>
      <c r="V975" s="23" t="s">
        <v>298</v>
      </c>
      <c r="W975" s="23" t="s">
        <v>3288</v>
      </c>
      <c r="Y975" s="37">
        <v>8000</v>
      </c>
      <c r="Z975" s="23">
        <v>75.599999999999994</v>
      </c>
      <c r="AB975" s="23" t="s">
        <v>5025</v>
      </c>
      <c r="AC975" s="23" t="s">
        <v>5026</v>
      </c>
      <c r="AD975" s="118">
        <v>0</v>
      </c>
      <c r="AE975" s="118">
        <v>1</v>
      </c>
      <c r="AF975" s="23" t="s">
        <v>3181</v>
      </c>
      <c r="AG975" s="23" t="s">
        <v>637</v>
      </c>
      <c r="AH975" s="39">
        <v>44481</v>
      </c>
    </row>
    <row r="976" spans="1:39">
      <c r="A976" s="72" t="s">
        <v>5028</v>
      </c>
      <c r="B976" s="23" t="s">
        <v>5029</v>
      </c>
      <c r="C976" s="140">
        <v>44481</v>
      </c>
      <c r="D976" s="23" t="s">
        <v>729</v>
      </c>
      <c r="E976" s="23" t="s">
        <v>2919</v>
      </c>
      <c r="F976" s="23" t="s">
        <v>1723</v>
      </c>
      <c r="G976" s="23" t="s">
        <v>1724</v>
      </c>
      <c r="Q976" s="141" t="s">
        <v>5024</v>
      </c>
      <c r="T976" s="23" t="s">
        <v>3715</v>
      </c>
      <c r="U976" s="23" t="s">
        <v>3715</v>
      </c>
      <c r="V976" s="23" t="s">
        <v>298</v>
      </c>
      <c r="W976" s="23" t="s">
        <v>5030</v>
      </c>
      <c r="Y976" s="37">
        <v>22200</v>
      </c>
      <c r="Z976" s="23">
        <v>75.2</v>
      </c>
      <c r="AB976" s="23" t="s">
        <v>5031</v>
      </c>
      <c r="AC976" s="23" t="s">
        <v>1722</v>
      </c>
      <c r="AD976" s="118">
        <v>0</v>
      </c>
      <c r="AE976" s="118">
        <v>1</v>
      </c>
      <c r="AF976" s="23" t="s">
        <v>3181</v>
      </c>
      <c r="AG976" s="23" t="s">
        <v>1845</v>
      </c>
      <c r="AH976" s="39">
        <v>44482</v>
      </c>
    </row>
    <row r="977" spans="1:34">
      <c r="A977" s="72" t="s">
        <v>5032</v>
      </c>
      <c r="B977" s="23" t="s">
        <v>5033</v>
      </c>
      <c r="C977" s="140">
        <v>44482</v>
      </c>
      <c r="D977" s="23" t="s">
        <v>729</v>
      </c>
      <c r="E977" s="23" t="s">
        <v>2919</v>
      </c>
      <c r="F977" s="23" t="s">
        <v>1723</v>
      </c>
      <c r="G977" s="23" t="s">
        <v>1724</v>
      </c>
      <c r="Q977" s="141" t="s">
        <v>5034</v>
      </c>
      <c r="T977" s="23" t="s">
        <v>3715</v>
      </c>
      <c r="U977" s="23" t="s">
        <v>3715</v>
      </c>
      <c r="V977" s="23" t="s">
        <v>298</v>
      </c>
      <c r="W977" s="23" t="s">
        <v>4837</v>
      </c>
      <c r="Y977" s="37">
        <v>11600</v>
      </c>
      <c r="Z977" s="23">
        <v>73.2</v>
      </c>
      <c r="AB977" s="23" t="s">
        <v>5035</v>
      </c>
      <c r="AC977" s="23" t="s">
        <v>4704</v>
      </c>
      <c r="AD977" s="118">
        <v>0</v>
      </c>
      <c r="AE977" s="118">
        <v>2</v>
      </c>
      <c r="AF977" s="23" t="s">
        <v>3181</v>
      </c>
      <c r="AG977" s="23" t="s">
        <v>665</v>
      </c>
      <c r="AH977" s="39">
        <v>44483</v>
      </c>
    </row>
    <row r="978" spans="1:34">
      <c r="A978" s="72" t="s">
        <v>5036</v>
      </c>
      <c r="B978" s="23" t="s">
        <v>5037</v>
      </c>
      <c r="C978" s="140">
        <v>44483</v>
      </c>
      <c r="F978" s="23" t="s">
        <v>1723</v>
      </c>
      <c r="G978" s="23" t="s">
        <v>1724</v>
      </c>
      <c r="Q978" s="141" t="s">
        <v>5034</v>
      </c>
      <c r="W978" s="23" t="s">
        <v>5030</v>
      </c>
      <c r="Y978" s="37">
        <v>22900</v>
      </c>
      <c r="Z978" s="23">
        <v>75.5</v>
      </c>
      <c r="AB978" s="23" t="s">
        <v>5038</v>
      </c>
      <c r="AC978" s="23" t="s">
        <v>5039</v>
      </c>
      <c r="AD978" s="118"/>
      <c r="AE978" s="118"/>
      <c r="AF978" s="23" t="s">
        <v>3181</v>
      </c>
      <c r="AG978" s="23" t="s">
        <v>1845</v>
      </c>
      <c r="AH978" s="39">
        <v>44483</v>
      </c>
    </row>
    <row r="979" spans="1:34">
      <c r="A979" s="72" t="s">
        <v>5040</v>
      </c>
      <c r="B979" s="23" t="s">
        <v>5041</v>
      </c>
      <c r="C979" s="140">
        <v>44482</v>
      </c>
      <c r="D979" s="23" t="s">
        <v>729</v>
      </c>
      <c r="E979" s="23" t="s">
        <v>2919</v>
      </c>
      <c r="F979" s="23" t="s">
        <v>1723</v>
      </c>
      <c r="G979" s="23" t="s">
        <v>1724</v>
      </c>
      <c r="Q979" s="141" t="s">
        <v>5042</v>
      </c>
      <c r="T979" s="23" t="s">
        <v>3715</v>
      </c>
      <c r="U979" s="23" t="s">
        <v>3715</v>
      </c>
      <c r="V979" s="23" t="s">
        <v>298</v>
      </c>
      <c r="W979" s="23" t="s">
        <v>5030</v>
      </c>
      <c r="Y979" s="37">
        <v>21800</v>
      </c>
      <c r="Z979" s="23">
        <v>75.2</v>
      </c>
      <c r="AB979" s="23" t="s">
        <v>5043</v>
      </c>
      <c r="AC979" s="23" t="s">
        <v>5044</v>
      </c>
      <c r="AD979" s="118">
        <v>0</v>
      </c>
      <c r="AE979" s="118">
        <v>3</v>
      </c>
      <c r="AF979" s="23" t="s">
        <v>3181</v>
      </c>
      <c r="AG979" s="23" t="s">
        <v>1640</v>
      </c>
      <c r="AH979" s="39">
        <v>44485</v>
      </c>
    </row>
    <row r="980" spans="1:34">
      <c r="A980" s="72" t="s">
        <v>5045</v>
      </c>
      <c r="B980" s="23" t="s">
        <v>5046</v>
      </c>
      <c r="C980" s="140">
        <v>44482</v>
      </c>
      <c r="F980" s="23" t="s">
        <v>1723</v>
      </c>
      <c r="G980" s="23" t="s">
        <v>1724</v>
      </c>
      <c r="Q980" s="141" t="s">
        <v>5042</v>
      </c>
      <c r="W980" s="23" t="s">
        <v>5008</v>
      </c>
      <c r="Y980" s="37">
        <v>15600</v>
      </c>
      <c r="Z980" s="23">
        <v>69.599999999999994</v>
      </c>
      <c r="AB980" s="23" t="s">
        <v>5050</v>
      </c>
      <c r="AC980" s="23" t="s">
        <v>5047</v>
      </c>
      <c r="AD980" s="118"/>
      <c r="AE980" s="118"/>
      <c r="AF980" s="23" t="s">
        <v>3181</v>
      </c>
      <c r="AG980" s="23" t="s">
        <v>1640</v>
      </c>
      <c r="AH980" s="39">
        <v>44485</v>
      </c>
    </row>
    <row r="981" spans="1:34">
      <c r="A981" s="72" t="s">
        <v>5048</v>
      </c>
      <c r="B981" s="23" t="s">
        <v>5049</v>
      </c>
      <c r="C981" s="140">
        <v>44482</v>
      </c>
      <c r="F981" s="23" t="s">
        <v>1723</v>
      </c>
      <c r="G981" s="23" t="s">
        <v>1724</v>
      </c>
      <c r="Q981" s="141" t="s">
        <v>5042</v>
      </c>
      <c r="W981" s="23" t="s">
        <v>4837</v>
      </c>
      <c r="Y981" s="37">
        <v>11300</v>
      </c>
      <c r="Z981" s="23">
        <v>72.599999999999994</v>
      </c>
      <c r="AB981" s="23" t="s">
        <v>5051</v>
      </c>
      <c r="AC981" s="23" t="s">
        <v>5052</v>
      </c>
      <c r="AD981" s="118"/>
      <c r="AE981" s="118"/>
      <c r="AF981" s="23" t="s">
        <v>3181</v>
      </c>
      <c r="AG981" s="23" t="s">
        <v>665</v>
      </c>
      <c r="AH981" s="39">
        <v>44485</v>
      </c>
    </row>
    <row r="982" spans="1:34">
      <c r="A982" s="72" t="s">
        <v>5053</v>
      </c>
      <c r="B982" s="23" t="s">
        <v>5057</v>
      </c>
      <c r="C982" s="140">
        <v>44483</v>
      </c>
      <c r="D982" s="23" t="s">
        <v>729</v>
      </c>
      <c r="E982" s="23" t="s">
        <v>2919</v>
      </c>
      <c r="F982" s="23" t="s">
        <v>1723</v>
      </c>
      <c r="G982" s="23" t="s">
        <v>1724</v>
      </c>
      <c r="Q982" s="141" t="s">
        <v>5042</v>
      </c>
      <c r="T982" s="23" t="s">
        <v>3715</v>
      </c>
      <c r="U982" s="23" t="s">
        <v>3715</v>
      </c>
      <c r="V982" s="23" t="s">
        <v>298</v>
      </c>
      <c r="W982" s="23" t="s">
        <v>2103</v>
      </c>
      <c r="Y982" s="37">
        <v>18000</v>
      </c>
      <c r="Z982" s="23">
        <v>72</v>
      </c>
      <c r="AB982" s="23" t="s">
        <v>5068</v>
      </c>
      <c r="AC982" s="23" t="s">
        <v>5061</v>
      </c>
      <c r="AD982" s="118">
        <v>0</v>
      </c>
      <c r="AE982" s="118">
        <v>2</v>
      </c>
      <c r="AF982" s="23" t="s">
        <v>3181</v>
      </c>
      <c r="AG982" s="23" t="s">
        <v>666</v>
      </c>
      <c r="AH982" s="39">
        <v>44487</v>
      </c>
    </row>
    <row r="983" spans="1:34">
      <c r="A983" s="72" t="s">
        <v>5054</v>
      </c>
      <c r="B983" s="23" t="s">
        <v>5058</v>
      </c>
      <c r="C983" s="140">
        <v>44487</v>
      </c>
      <c r="F983" s="23" t="s">
        <v>1723</v>
      </c>
      <c r="G983" s="23" t="s">
        <v>1724</v>
      </c>
      <c r="Q983" s="141" t="s">
        <v>5042</v>
      </c>
      <c r="W983" s="23" t="s">
        <v>5059</v>
      </c>
      <c r="Y983" s="37">
        <v>16234</v>
      </c>
      <c r="Z983" s="23">
        <v>75.2</v>
      </c>
      <c r="AB983" s="23" t="s">
        <v>5069</v>
      </c>
      <c r="AC983" s="23" t="s">
        <v>5060</v>
      </c>
      <c r="AD983" s="118"/>
      <c r="AE983" s="118"/>
      <c r="AF983" s="23" t="s">
        <v>3181</v>
      </c>
      <c r="AG983" s="23" t="s">
        <v>666</v>
      </c>
      <c r="AH983" s="39">
        <v>44487</v>
      </c>
    </row>
    <row r="984" spans="1:34">
      <c r="A984" s="72" t="s">
        <v>5055</v>
      </c>
      <c r="B984" s="23" t="s">
        <v>5062</v>
      </c>
      <c r="C984" s="140">
        <v>44485</v>
      </c>
      <c r="D984" s="23" t="s">
        <v>729</v>
      </c>
      <c r="E984" s="23" t="s">
        <v>2919</v>
      </c>
      <c r="F984" s="23" t="s">
        <v>1723</v>
      </c>
      <c r="G984" s="23" t="s">
        <v>1724</v>
      </c>
      <c r="Q984" s="140">
        <v>44488</v>
      </c>
      <c r="T984" s="23" t="s">
        <v>3715</v>
      </c>
      <c r="U984" s="23" t="s">
        <v>3715</v>
      </c>
      <c r="V984" s="23" t="s">
        <v>298</v>
      </c>
      <c r="W984" s="23" t="s">
        <v>3288</v>
      </c>
      <c r="Y984" s="37">
        <v>7720</v>
      </c>
      <c r="Z984" s="23">
        <v>74.2</v>
      </c>
      <c r="AB984" s="23" t="s">
        <v>5066</v>
      </c>
      <c r="AC984" s="23" t="s">
        <v>5063</v>
      </c>
      <c r="AD984" s="118">
        <v>0</v>
      </c>
      <c r="AE984" s="118">
        <v>2</v>
      </c>
      <c r="AF984" s="23" t="s">
        <v>3181</v>
      </c>
      <c r="AG984" s="23" t="s">
        <v>3209</v>
      </c>
      <c r="AH984" s="39">
        <v>44487</v>
      </c>
    </row>
    <row r="985" spans="1:34">
      <c r="A985" s="72" t="s">
        <v>5056</v>
      </c>
      <c r="B985" s="23" t="s">
        <v>5064</v>
      </c>
      <c r="C985" s="140">
        <v>44485</v>
      </c>
      <c r="F985" s="23" t="s">
        <v>1723</v>
      </c>
      <c r="G985" s="23" t="s">
        <v>1724</v>
      </c>
      <c r="W985" s="23" t="s">
        <v>4983</v>
      </c>
      <c r="Y985" s="37">
        <v>8400</v>
      </c>
      <c r="Z985" s="23">
        <v>72.599999999999994</v>
      </c>
      <c r="AB985" s="23" t="s">
        <v>5067</v>
      </c>
      <c r="AC985" s="23" t="s">
        <v>5065</v>
      </c>
      <c r="AD985" s="118"/>
      <c r="AE985" s="118"/>
      <c r="AF985" s="23" t="s">
        <v>3181</v>
      </c>
      <c r="AG985" s="23" t="s">
        <v>3209</v>
      </c>
      <c r="AH985" s="39">
        <v>44487</v>
      </c>
    </row>
    <row r="986" spans="1:34">
      <c r="A986" s="72" t="s">
        <v>5070</v>
      </c>
      <c r="B986" s="23" t="s">
        <v>5071</v>
      </c>
      <c r="C986" s="140">
        <v>44486</v>
      </c>
      <c r="D986" s="23" t="s">
        <v>729</v>
      </c>
      <c r="E986" s="23" t="s">
        <v>2919</v>
      </c>
      <c r="F986" s="23" t="s">
        <v>1723</v>
      </c>
      <c r="G986" s="23" t="s">
        <v>1724</v>
      </c>
      <c r="Q986" s="141" t="s">
        <v>5072</v>
      </c>
      <c r="T986" s="23" t="s">
        <v>3715</v>
      </c>
      <c r="U986" s="23" t="s">
        <v>3715</v>
      </c>
      <c r="V986" s="23" t="s">
        <v>298</v>
      </c>
      <c r="W986" s="23" t="s">
        <v>5073</v>
      </c>
      <c r="Y986" s="37">
        <v>11600</v>
      </c>
      <c r="Z986" s="23">
        <v>72.8</v>
      </c>
      <c r="AB986" s="23" t="s">
        <v>5074</v>
      </c>
      <c r="AC986" s="23" t="s">
        <v>4704</v>
      </c>
      <c r="AD986" s="118">
        <v>0</v>
      </c>
      <c r="AE986" s="118">
        <v>2</v>
      </c>
      <c r="AF986" s="23" t="s">
        <v>3181</v>
      </c>
      <c r="AG986" s="23" t="s">
        <v>665</v>
      </c>
      <c r="AH986" s="39">
        <v>44488</v>
      </c>
    </row>
    <row r="987" spans="1:34">
      <c r="A987" s="72" t="s">
        <v>5075</v>
      </c>
      <c r="B987" s="23" t="s">
        <v>5076</v>
      </c>
      <c r="C987" s="140">
        <v>44487</v>
      </c>
      <c r="F987" s="23" t="s">
        <v>1723</v>
      </c>
      <c r="G987" s="23" t="s">
        <v>1724</v>
      </c>
      <c r="Q987" s="141" t="s">
        <v>5072</v>
      </c>
      <c r="W987" s="23" t="s">
        <v>5077</v>
      </c>
      <c r="Y987" s="37">
        <v>11000</v>
      </c>
      <c r="Z987" s="23">
        <v>72.400000000000006</v>
      </c>
      <c r="AB987" s="23" t="s">
        <v>5078</v>
      </c>
      <c r="AC987" s="23" t="s">
        <v>5079</v>
      </c>
      <c r="AD987" s="118"/>
      <c r="AE987" s="118"/>
      <c r="AF987" s="23" t="s">
        <v>3181</v>
      </c>
      <c r="AG987" s="23" t="s">
        <v>666</v>
      </c>
      <c r="AH987" s="39">
        <v>44488</v>
      </c>
    </row>
    <row r="988" spans="1:34">
      <c r="A988" s="72" t="s">
        <v>5080</v>
      </c>
      <c r="B988" s="23" t="s">
        <v>5081</v>
      </c>
      <c r="C988" s="140">
        <v>44489</v>
      </c>
      <c r="D988" s="23" t="s">
        <v>729</v>
      </c>
      <c r="E988" s="23" t="s">
        <v>2919</v>
      </c>
      <c r="F988" s="23" t="s">
        <v>1723</v>
      </c>
      <c r="G988" s="23" t="s">
        <v>1724</v>
      </c>
      <c r="Q988" s="141" t="s">
        <v>5082</v>
      </c>
      <c r="T988" s="23" t="s">
        <v>3715</v>
      </c>
      <c r="U988" s="23" t="s">
        <v>3715</v>
      </c>
      <c r="V988" s="23" t="s">
        <v>298</v>
      </c>
      <c r="W988" s="23" t="s">
        <v>5073</v>
      </c>
      <c r="Y988" s="37">
        <v>12400</v>
      </c>
      <c r="Z988" s="23">
        <v>72.599999999999994</v>
      </c>
      <c r="AB988" s="23" t="s">
        <v>5083</v>
      </c>
      <c r="AC988" s="23" t="s">
        <v>1773</v>
      </c>
      <c r="AD988" s="118">
        <v>0</v>
      </c>
      <c r="AE988" s="118">
        <v>3</v>
      </c>
      <c r="AF988" s="23" t="s">
        <v>3181</v>
      </c>
      <c r="AG988" s="23" t="s">
        <v>665</v>
      </c>
      <c r="AH988" s="39">
        <v>44490</v>
      </c>
    </row>
    <row r="989" spans="1:34">
      <c r="A989" s="72" t="s">
        <v>5084</v>
      </c>
      <c r="B989" s="23" t="s">
        <v>5085</v>
      </c>
      <c r="C989" s="140">
        <v>44489</v>
      </c>
      <c r="F989" s="23" t="s">
        <v>1723</v>
      </c>
      <c r="G989" s="23" t="s">
        <v>1724</v>
      </c>
      <c r="Q989" s="141" t="s">
        <v>5082</v>
      </c>
      <c r="W989" s="23" t="s">
        <v>5086</v>
      </c>
      <c r="Y989" s="37">
        <v>13280</v>
      </c>
      <c r="Z989" s="23">
        <v>72.2</v>
      </c>
      <c r="AB989" s="23" t="s">
        <v>5087</v>
      </c>
      <c r="AC989" s="23" t="s">
        <v>5088</v>
      </c>
      <c r="AD989" s="118"/>
      <c r="AE989" s="118"/>
      <c r="AF989" s="23" t="s">
        <v>3181</v>
      </c>
      <c r="AG989" s="23" t="s">
        <v>666</v>
      </c>
      <c r="AH989" s="39">
        <v>44490</v>
      </c>
    </row>
    <row r="990" spans="1:34">
      <c r="A990" s="72" t="s">
        <v>5089</v>
      </c>
      <c r="B990" s="23" t="s">
        <v>5090</v>
      </c>
      <c r="C990" s="140">
        <v>44490</v>
      </c>
      <c r="F990" s="23" t="s">
        <v>1723</v>
      </c>
      <c r="G990" s="23" t="s">
        <v>1724</v>
      </c>
      <c r="Q990" s="141" t="s">
        <v>5082</v>
      </c>
      <c r="W990" s="23" t="s">
        <v>3288</v>
      </c>
      <c r="Y990" s="37">
        <v>7800</v>
      </c>
      <c r="Z990" s="23">
        <v>70.052000000000007</v>
      </c>
      <c r="AB990" s="23" t="s">
        <v>5091</v>
      </c>
      <c r="AC990" s="23" t="s">
        <v>5092</v>
      </c>
      <c r="AD990" s="118"/>
      <c r="AE990" s="118"/>
      <c r="AF990" s="23" t="s">
        <v>3297</v>
      </c>
      <c r="AG990" s="23" t="s">
        <v>666</v>
      </c>
      <c r="AH990" s="39">
        <v>44490</v>
      </c>
    </row>
    <row r="991" spans="1:34">
      <c r="A991" s="72" t="s">
        <v>5093</v>
      </c>
      <c r="B991" s="23" t="s">
        <v>5094</v>
      </c>
      <c r="C991" s="140">
        <v>44490</v>
      </c>
      <c r="D991" s="23" t="s">
        <v>729</v>
      </c>
      <c r="E991" s="23" t="s">
        <v>2919</v>
      </c>
      <c r="F991" s="23" t="s">
        <v>1723</v>
      </c>
      <c r="G991" s="23" t="s">
        <v>1724</v>
      </c>
      <c r="Q991" s="141" t="s">
        <v>5095</v>
      </c>
      <c r="T991" s="23" t="s">
        <v>3715</v>
      </c>
      <c r="U991" s="23" t="s">
        <v>3715</v>
      </c>
      <c r="V991" s="23" t="s">
        <v>298</v>
      </c>
      <c r="W991" s="23" t="s">
        <v>3288</v>
      </c>
      <c r="Y991" s="37">
        <v>8040</v>
      </c>
      <c r="Z991" s="23">
        <v>73.8</v>
      </c>
      <c r="AB991" s="23" t="s">
        <v>5096</v>
      </c>
      <c r="AC991" s="23" t="s">
        <v>5026</v>
      </c>
      <c r="AD991" s="118">
        <v>0</v>
      </c>
      <c r="AE991" s="118">
        <v>1</v>
      </c>
      <c r="AF991" s="23" t="s">
        <v>3181</v>
      </c>
      <c r="AG991" s="23" t="s">
        <v>637</v>
      </c>
      <c r="AH991" s="39">
        <v>44491</v>
      </c>
    </row>
    <row r="992" spans="1:34">
      <c r="A992" s="72" t="s">
        <v>5097</v>
      </c>
      <c r="B992" s="23" t="s">
        <v>5098</v>
      </c>
      <c r="C992" s="140">
        <v>44491</v>
      </c>
      <c r="D992" s="23" t="s">
        <v>729</v>
      </c>
      <c r="E992" s="23" t="s">
        <v>2919</v>
      </c>
      <c r="F992" s="23" t="s">
        <v>1723</v>
      </c>
      <c r="G992" s="23" t="s">
        <v>1724</v>
      </c>
      <c r="Q992" s="141" t="s">
        <v>5099</v>
      </c>
      <c r="T992" s="23" t="s">
        <v>3715</v>
      </c>
      <c r="U992" s="23" t="s">
        <v>3715</v>
      </c>
      <c r="V992" s="23" t="s">
        <v>298</v>
      </c>
      <c r="W992" s="23" t="s">
        <v>5100</v>
      </c>
      <c r="Y992" s="37">
        <v>15800</v>
      </c>
      <c r="Z992" s="23">
        <v>74</v>
      </c>
      <c r="AB992" s="23" t="s">
        <v>5101</v>
      </c>
      <c r="AC992" s="23" t="s">
        <v>5102</v>
      </c>
      <c r="AD992" s="118">
        <v>0</v>
      </c>
      <c r="AE992" s="118">
        <v>1</v>
      </c>
      <c r="AF992" s="23" t="s">
        <v>3181</v>
      </c>
      <c r="AG992" s="23" t="s">
        <v>666</v>
      </c>
      <c r="AH992" s="39">
        <v>44492</v>
      </c>
    </row>
    <row r="993" spans="1:35">
      <c r="A993" s="72" t="s">
        <v>5103</v>
      </c>
      <c r="B993" s="23" t="s">
        <v>5105</v>
      </c>
      <c r="C993" s="140">
        <v>44487</v>
      </c>
      <c r="D993" s="23" t="s">
        <v>729</v>
      </c>
      <c r="E993" s="23" t="s">
        <v>3773</v>
      </c>
      <c r="F993" s="23" t="s">
        <v>5106</v>
      </c>
      <c r="G993" s="23" t="s">
        <v>3469</v>
      </c>
      <c r="H993" s="23" t="s">
        <v>5104</v>
      </c>
      <c r="I993" s="23" t="s">
        <v>5104</v>
      </c>
      <c r="J993" s="140">
        <v>44461</v>
      </c>
      <c r="T993" s="23" t="s">
        <v>12031</v>
      </c>
      <c r="U993" s="23" t="s">
        <v>12031</v>
      </c>
      <c r="V993" s="23" t="s">
        <v>299</v>
      </c>
      <c r="W993" s="23" t="s">
        <v>5112</v>
      </c>
      <c r="AC993" s="23">
        <v>1</v>
      </c>
      <c r="AD993" s="118"/>
      <c r="AE993" s="118"/>
      <c r="AG993" s="23" t="s">
        <v>5111</v>
      </c>
      <c r="AH993" s="39">
        <v>44494</v>
      </c>
      <c r="AI993" s="53" t="s">
        <v>3469</v>
      </c>
    </row>
    <row r="994" spans="1:35" ht="48">
      <c r="A994" s="72" t="s">
        <v>5107</v>
      </c>
      <c r="B994" s="23" t="s">
        <v>5108</v>
      </c>
      <c r="C994" s="140">
        <v>44487</v>
      </c>
      <c r="D994" s="23" t="s">
        <v>729</v>
      </c>
      <c r="E994" s="23" t="s">
        <v>3773</v>
      </c>
      <c r="F994" s="23" t="s">
        <v>4674</v>
      </c>
      <c r="G994" s="23" t="s">
        <v>3469</v>
      </c>
      <c r="H994" s="23" t="s">
        <v>5109</v>
      </c>
      <c r="I994" s="23" t="s">
        <v>5109</v>
      </c>
      <c r="J994" s="140">
        <v>44461</v>
      </c>
      <c r="T994" s="23" t="s">
        <v>12031</v>
      </c>
      <c r="U994" s="23" t="s">
        <v>12031</v>
      </c>
      <c r="V994" s="23" t="s">
        <v>299</v>
      </c>
      <c r="W994" s="19" t="s">
        <v>5110</v>
      </c>
      <c r="AC994" s="23">
        <v>16</v>
      </c>
      <c r="AD994" s="118"/>
      <c r="AE994" s="118"/>
      <c r="AG994" s="23" t="s">
        <v>5111</v>
      </c>
      <c r="AH994" s="39">
        <v>44494</v>
      </c>
      <c r="AI994" s="53" t="s">
        <v>3469</v>
      </c>
    </row>
    <row r="995" spans="1:35">
      <c r="A995" s="72" t="s">
        <v>5113</v>
      </c>
      <c r="B995" s="23" t="s">
        <v>5114</v>
      </c>
      <c r="C995" s="140">
        <v>44487</v>
      </c>
      <c r="D995" s="23" t="s">
        <v>729</v>
      </c>
      <c r="E995" s="23" t="s">
        <v>3773</v>
      </c>
      <c r="F995" s="23" t="s">
        <v>5115</v>
      </c>
      <c r="G995" s="23" t="s">
        <v>3469</v>
      </c>
      <c r="H995" s="23">
        <v>2021092201</v>
      </c>
      <c r="I995" s="23">
        <v>2021092201</v>
      </c>
      <c r="J995" s="140">
        <v>44459</v>
      </c>
      <c r="T995" s="23" t="s">
        <v>12031</v>
      </c>
      <c r="U995" s="23" t="s">
        <v>12031</v>
      </c>
      <c r="V995" s="23" t="s">
        <v>299</v>
      </c>
      <c r="W995" s="23" t="s">
        <v>5116</v>
      </c>
      <c r="AC995" s="23">
        <v>1</v>
      </c>
      <c r="AD995" s="118"/>
      <c r="AE995" s="118"/>
      <c r="AG995" s="23" t="s">
        <v>5117</v>
      </c>
      <c r="AH995" s="39">
        <v>44494</v>
      </c>
      <c r="AI995" s="53" t="s">
        <v>3469</v>
      </c>
    </row>
    <row r="996" spans="1:35">
      <c r="A996" s="72" t="s">
        <v>5121</v>
      </c>
      <c r="B996" s="23" t="s">
        <v>5122</v>
      </c>
      <c r="C996" s="140">
        <v>44494</v>
      </c>
      <c r="D996" s="23" t="s">
        <v>729</v>
      </c>
      <c r="E996" s="23" t="s">
        <v>2919</v>
      </c>
      <c r="F996" s="23" t="s">
        <v>1723</v>
      </c>
      <c r="G996" s="23" t="s">
        <v>1724</v>
      </c>
      <c r="Q996" s="141" t="s">
        <v>5123</v>
      </c>
      <c r="T996" s="23" t="s">
        <v>3715</v>
      </c>
      <c r="U996" s="23" t="s">
        <v>3715</v>
      </c>
      <c r="V996" s="23" t="s">
        <v>298</v>
      </c>
      <c r="W996" s="23" t="s">
        <v>5124</v>
      </c>
      <c r="Y996" s="37">
        <v>14175</v>
      </c>
      <c r="Z996" s="23">
        <v>75.02</v>
      </c>
      <c r="AB996" s="23" t="s">
        <v>5125</v>
      </c>
      <c r="AC996" s="23" t="s">
        <v>5126</v>
      </c>
      <c r="AD996" s="118">
        <v>0</v>
      </c>
      <c r="AE996" s="118">
        <v>2</v>
      </c>
      <c r="AF996" s="23" t="s">
        <v>3181</v>
      </c>
      <c r="AG996" s="23" t="s">
        <v>1640</v>
      </c>
      <c r="AH996" s="39">
        <v>44494</v>
      </c>
    </row>
    <row r="997" spans="1:35">
      <c r="A997" s="72" t="s">
        <v>5127</v>
      </c>
      <c r="B997" s="23" t="s">
        <v>5128</v>
      </c>
      <c r="C997" s="140">
        <v>44493</v>
      </c>
      <c r="F997" s="23" t="s">
        <v>1723</v>
      </c>
      <c r="G997" s="23" t="s">
        <v>1724</v>
      </c>
      <c r="Q997" s="141" t="s">
        <v>5123</v>
      </c>
      <c r="W997" s="23" t="s">
        <v>5129</v>
      </c>
      <c r="Y997" s="37">
        <v>11020</v>
      </c>
      <c r="Z997" s="23">
        <v>72.599999999999994</v>
      </c>
      <c r="AB997" s="23" t="s">
        <v>5130</v>
      </c>
      <c r="AC997" s="23" t="s">
        <v>4704</v>
      </c>
      <c r="AD997" s="118"/>
      <c r="AE997" s="118"/>
      <c r="AF997" s="23" t="s">
        <v>3181</v>
      </c>
      <c r="AG997" s="23" t="s">
        <v>666</v>
      </c>
      <c r="AH997" s="39">
        <v>44494</v>
      </c>
    </row>
    <row r="998" spans="1:35">
      <c r="A998" s="72" t="s">
        <v>5134</v>
      </c>
      <c r="B998" s="23" t="s">
        <v>5135</v>
      </c>
      <c r="C998" s="140">
        <v>44495</v>
      </c>
      <c r="D998" s="23" t="s">
        <v>729</v>
      </c>
      <c r="E998" s="23" t="s">
        <v>2919</v>
      </c>
      <c r="F998" s="23" t="s">
        <v>1723</v>
      </c>
      <c r="G998" s="23" t="s">
        <v>1724</v>
      </c>
      <c r="Q998" s="141" t="s">
        <v>5136</v>
      </c>
      <c r="T998" s="23" t="s">
        <v>3715</v>
      </c>
      <c r="U998" s="23" t="s">
        <v>3715</v>
      </c>
      <c r="V998" s="23" t="s">
        <v>298</v>
      </c>
      <c r="W998" s="23" t="s">
        <v>3288</v>
      </c>
      <c r="Y998" s="37">
        <v>8024</v>
      </c>
      <c r="Z998" s="23">
        <v>74.400000000000006</v>
      </c>
      <c r="AB998" s="23" t="s">
        <v>5137</v>
      </c>
      <c r="AC998" s="23" t="s">
        <v>5138</v>
      </c>
      <c r="AD998" s="118">
        <v>0</v>
      </c>
      <c r="AE998" s="118">
        <v>2</v>
      </c>
      <c r="AF998" s="23" t="s">
        <v>3181</v>
      </c>
      <c r="AG998" s="23" t="s">
        <v>637</v>
      </c>
      <c r="AH998" s="39">
        <v>44496</v>
      </c>
    </row>
    <row r="999" spans="1:35">
      <c r="A999" s="72" t="s">
        <v>5139</v>
      </c>
      <c r="B999" s="23" t="s">
        <v>5140</v>
      </c>
      <c r="C999" s="140">
        <v>44495</v>
      </c>
      <c r="F999" s="23" t="s">
        <v>1723</v>
      </c>
      <c r="G999" s="23" t="s">
        <v>1724</v>
      </c>
      <c r="Q999" s="141" t="s">
        <v>5136</v>
      </c>
      <c r="W999" s="23" t="s">
        <v>5100</v>
      </c>
      <c r="Y999" s="37">
        <v>14700</v>
      </c>
      <c r="Z999" s="23">
        <v>72.599999999999994</v>
      </c>
      <c r="AB999" s="23" t="s">
        <v>5141</v>
      </c>
      <c r="AC999" s="23" t="s">
        <v>5142</v>
      </c>
      <c r="AD999" s="118"/>
      <c r="AE999" s="118"/>
      <c r="AF999" s="23" t="s">
        <v>3181</v>
      </c>
      <c r="AG999" s="23" t="s">
        <v>666</v>
      </c>
      <c r="AH999" s="39">
        <v>44496</v>
      </c>
    </row>
    <row r="1000" spans="1:35">
      <c r="A1000" s="104" t="s">
        <v>5143</v>
      </c>
      <c r="B1000" s="23" t="s">
        <v>5144</v>
      </c>
      <c r="C1000" s="140">
        <v>44495</v>
      </c>
      <c r="D1000" s="23" t="s">
        <v>729</v>
      </c>
      <c r="E1000" s="23" t="s">
        <v>2919</v>
      </c>
      <c r="F1000" s="23" t="s">
        <v>1723</v>
      </c>
      <c r="G1000" s="23" t="s">
        <v>1724</v>
      </c>
      <c r="Q1000" s="141" t="s">
        <v>5136</v>
      </c>
      <c r="T1000" s="23" t="s">
        <v>3715</v>
      </c>
      <c r="U1000" s="23" t="s">
        <v>3715</v>
      </c>
      <c r="V1000" s="23" t="s">
        <v>298</v>
      </c>
      <c r="W1000" s="23" t="s">
        <v>5077</v>
      </c>
      <c r="Y1000" s="37">
        <v>11000</v>
      </c>
      <c r="Z1000" s="23">
        <v>72.2</v>
      </c>
      <c r="AB1000" s="23" t="s">
        <v>5145</v>
      </c>
      <c r="AC1000" s="23" t="s">
        <v>5079</v>
      </c>
      <c r="AD1000" s="118">
        <v>0</v>
      </c>
      <c r="AE1000" s="118">
        <v>1</v>
      </c>
      <c r="AF1000" s="23" t="s">
        <v>3181</v>
      </c>
      <c r="AG1000" s="23" t="s">
        <v>666</v>
      </c>
      <c r="AH1000" s="39">
        <v>44496</v>
      </c>
    </row>
    <row r="1001" spans="1:35" ht="64">
      <c r="A1001" s="72" t="s">
        <v>5146</v>
      </c>
      <c r="B1001" s="23" t="s">
        <v>5147</v>
      </c>
      <c r="C1001" s="140">
        <v>44493</v>
      </c>
      <c r="D1001" s="23" t="s">
        <v>729</v>
      </c>
      <c r="E1001" s="23" t="s">
        <v>752</v>
      </c>
      <c r="F1001" s="23" t="s">
        <v>3456</v>
      </c>
      <c r="G1001" s="23" t="s">
        <v>1989</v>
      </c>
      <c r="H1001" s="23" t="s">
        <v>5148</v>
      </c>
      <c r="I1001" s="23" t="s">
        <v>5148</v>
      </c>
      <c r="J1001" s="140">
        <v>44493</v>
      </c>
      <c r="T1001" s="23" t="s">
        <v>12031</v>
      </c>
      <c r="U1001" s="23" t="s">
        <v>12031</v>
      </c>
      <c r="V1001" s="23" t="s">
        <v>299</v>
      </c>
      <c r="W1001" s="23" t="s">
        <v>5149</v>
      </c>
      <c r="AB1001" s="19" t="s">
        <v>5150</v>
      </c>
      <c r="AC1001" s="23">
        <v>7</v>
      </c>
      <c r="AD1001" s="118">
        <v>1</v>
      </c>
      <c r="AE1001" s="118">
        <v>3</v>
      </c>
      <c r="AG1001" s="23" t="s">
        <v>3856</v>
      </c>
      <c r="AH1001" s="39">
        <v>44497</v>
      </c>
      <c r="AI1001" s="53" t="s">
        <v>3857</v>
      </c>
    </row>
    <row r="1002" spans="1:35">
      <c r="A1002" s="104" t="s">
        <v>5152</v>
      </c>
      <c r="B1002" s="23" t="s">
        <v>5153</v>
      </c>
      <c r="C1002" s="140">
        <v>44498</v>
      </c>
      <c r="D1002" s="23" t="s">
        <v>729</v>
      </c>
      <c r="E1002" s="23" t="s">
        <v>2919</v>
      </c>
      <c r="F1002" s="23" t="s">
        <v>1723</v>
      </c>
      <c r="G1002" s="23" t="s">
        <v>1724</v>
      </c>
      <c r="Q1002" s="141" t="s">
        <v>5154</v>
      </c>
      <c r="T1002" s="23" t="s">
        <v>3715</v>
      </c>
      <c r="U1002" s="23" t="s">
        <v>3715</v>
      </c>
      <c r="V1002" s="23" t="s">
        <v>298</v>
      </c>
      <c r="W1002" s="23" t="s">
        <v>4837</v>
      </c>
      <c r="Y1002" s="37">
        <v>11060</v>
      </c>
      <c r="Z1002" s="23">
        <v>72.599999999999994</v>
      </c>
      <c r="AB1002" s="23" t="s">
        <v>5155</v>
      </c>
      <c r="AC1002" s="23" t="s">
        <v>5156</v>
      </c>
      <c r="AD1002" s="118">
        <v>0</v>
      </c>
      <c r="AE1002" s="118">
        <v>2</v>
      </c>
      <c r="AF1002" s="23" t="s">
        <v>3181</v>
      </c>
      <c r="AG1002" s="23" t="s">
        <v>665</v>
      </c>
      <c r="AH1002" s="39">
        <v>44501</v>
      </c>
    </row>
    <row r="1003" spans="1:35">
      <c r="A1003" s="104" t="s">
        <v>5157</v>
      </c>
      <c r="B1003" s="23" t="s">
        <v>5158</v>
      </c>
      <c r="C1003" s="140">
        <v>44498</v>
      </c>
      <c r="F1003" s="23" t="s">
        <v>1723</v>
      </c>
      <c r="G1003" s="23" t="s">
        <v>1724</v>
      </c>
      <c r="Q1003" s="141" t="s">
        <v>5154</v>
      </c>
      <c r="W1003" s="23" t="s">
        <v>5100</v>
      </c>
      <c r="Y1003" s="37">
        <v>15000</v>
      </c>
      <c r="Z1003" s="23">
        <v>72.599999999999994</v>
      </c>
      <c r="AB1003" s="23" t="s">
        <v>5159</v>
      </c>
      <c r="AC1003" s="23" t="s">
        <v>5160</v>
      </c>
      <c r="AD1003" s="118"/>
      <c r="AE1003" s="118"/>
      <c r="AF1003" s="23" t="s">
        <v>3181</v>
      </c>
      <c r="AG1003" s="23" t="s">
        <v>666</v>
      </c>
      <c r="AH1003" s="39">
        <v>44501</v>
      </c>
    </row>
    <row r="1004" spans="1:35">
      <c r="A1004" s="104" t="s">
        <v>5163</v>
      </c>
      <c r="B1004" s="23" t="s">
        <v>5164</v>
      </c>
      <c r="C1004" s="140">
        <v>44500</v>
      </c>
      <c r="D1004" s="23" t="s">
        <v>729</v>
      </c>
      <c r="E1004" s="23" t="s">
        <v>2919</v>
      </c>
      <c r="F1004" s="23" t="s">
        <v>1723</v>
      </c>
      <c r="G1004" s="23" t="s">
        <v>1724</v>
      </c>
      <c r="Q1004" s="141" t="s">
        <v>5165</v>
      </c>
      <c r="T1004" s="23" t="s">
        <v>3715</v>
      </c>
      <c r="U1004" s="23" t="s">
        <v>3715</v>
      </c>
      <c r="V1004" s="23" t="s">
        <v>298</v>
      </c>
      <c r="W1004" s="23" t="s">
        <v>5166</v>
      </c>
      <c r="Y1004" s="37">
        <v>15300</v>
      </c>
      <c r="Z1004" s="23">
        <v>72.400000000000006</v>
      </c>
      <c r="AB1004" s="23" t="s">
        <v>5167</v>
      </c>
      <c r="AC1004" s="23" t="s">
        <v>5168</v>
      </c>
      <c r="AD1004" s="118">
        <v>0</v>
      </c>
      <c r="AE1004" s="118">
        <v>1</v>
      </c>
      <c r="AF1004" s="23" t="s">
        <v>3181</v>
      </c>
      <c r="AG1004" s="23" t="s">
        <v>1640</v>
      </c>
      <c r="AH1004" s="39">
        <v>44501</v>
      </c>
    </row>
    <row r="1005" spans="1:35" ht="32">
      <c r="A1005" s="104" t="s">
        <v>5170</v>
      </c>
      <c r="B1005" s="23" t="s">
        <v>5171</v>
      </c>
      <c r="C1005" s="140">
        <v>44476</v>
      </c>
      <c r="D1005" s="23" t="s">
        <v>729</v>
      </c>
      <c r="E1005" s="23" t="s">
        <v>752</v>
      </c>
      <c r="F1005" s="23" t="s">
        <v>4899</v>
      </c>
      <c r="G1005" s="23" t="s">
        <v>1724</v>
      </c>
      <c r="P1005" s="23" t="s">
        <v>5172</v>
      </c>
      <c r="Q1005" s="141" t="s">
        <v>5169</v>
      </c>
      <c r="T1005" s="23" t="s">
        <v>12031</v>
      </c>
      <c r="U1005" s="23" t="s">
        <v>12031</v>
      </c>
      <c r="V1005" s="23" t="s">
        <v>298</v>
      </c>
      <c r="W1005" s="19" t="s">
        <v>5173</v>
      </c>
      <c r="Y1005" s="23">
        <v>4000</v>
      </c>
      <c r="Z1005" s="23">
        <v>20</v>
      </c>
      <c r="AB1005" s="23" t="s">
        <v>5174</v>
      </c>
      <c r="AC1005" s="23" t="s">
        <v>123</v>
      </c>
      <c r="AD1005" s="118">
        <v>0</v>
      </c>
      <c r="AE1005" s="118">
        <v>1</v>
      </c>
      <c r="AF1005" s="23" t="s">
        <v>3193</v>
      </c>
      <c r="AG1005" s="23" t="s">
        <v>2652</v>
      </c>
      <c r="AH1005" s="39">
        <v>44502</v>
      </c>
    </row>
    <row r="1006" spans="1:35">
      <c r="A1006" s="104" t="s">
        <v>5175</v>
      </c>
      <c r="B1006" s="23" t="s">
        <v>5218</v>
      </c>
      <c r="C1006" s="140">
        <v>44503</v>
      </c>
      <c r="D1006" s="23" t="s">
        <v>729</v>
      </c>
      <c r="E1006" s="23" t="s">
        <v>752</v>
      </c>
      <c r="F1006" s="23" t="s">
        <v>57</v>
      </c>
      <c r="G1006" s="23" t="s">
        <v>57</v>
      </c>
      <c r="H1006" s="23" t="s">
        <v>5219</v>
      </c>
      <c r="I1006" s="23" t="s">
        <v>5219</v>
      </c>
      <c r="J1006" s="140">
        <v>44497</v>
      </c>
      <c r="K1006" s="23" t="s">
        <v>5277</v>
      </c>
      <c r="L1006" s="140">
        <v>44504</v>
      </c>
      <c r="P1006" s="23" t="s">
        <v>5220</v>
      </c>
      <c r="S1006" s="23" t="s">
        <v>184</v>
      </c>
      <c r="T1006" s="23" t="s">
        <v>302</v>
      </c>
      <c r="U1006" s="23" t="s">
        <v>302</v>
      </c>
      <c r="V1006" s="23" t="s">
        <v>233</v>
      </c>
      <c r="W1006" s="23" t="s">
        <v>284</v>
      </c>
      <c r="X1006" s="23">
        <v>12510.2</v>
      </c>
      <c r="Y1006" s="23">
        <v>12601</v>
      </c>
      <c r="Z1006" s="23">
        <v>12585.3</v>
      </c>
      <c r="AA1006" s="23">
        <v>11893.24</v>
      </c>
      <c r="AB1006" s="23" t="s">
        <v>5221</v>
      </c>
      <c r="AC1006" s="23" t="s">
        <v>5222</v>
      </c>
      <c r="AD1006" s="118">
        <v>0</v>
      </c>
      <c r="AE1006" s="118">
        <v>1</v>
      </c>
      <c r="AF1006" s="23" t="s">
        <v>20</v>
      </c>
      <c r="AG1006" s="23" t="s">
        <v>787</v>
      </c>
      <c r="AH1006" s="39">
        <v>44505</v>
      </c>
    </row>
    <row r="1007" spans="1:35">
      <c r="A1007" s="104" t="s">
        <v>5176</v>
      </c>
      <c r="B1007" s="23" t="s">
        <v>5223</v>
      </c>
      <c r="C1007" s="140">
        <v>44503</v>
      </c>
      <c r="D1007" s="23" t="s">
        <v>729</v>
      </c>
      <c r="E1007" s="23" t="s">
        <v>752</v>
      </c>
      <c r="F1007" s="23" t="s">
        <v>57</v>
      </c>
      <c r="G1007" s="23" t="s">
        <v>57</v>
      </c>
      <c r="H1007" s="23" t="s">
        <v>5224</v>
      </c>
      <c r="I1007" s="23" t="s">
        <v>5224</v>
      </c>
      <c r="J1007" s="140">
        <v>44497</v>
      </c>
      <c r="P1007" s="23" t="s">
        <v>5220</v>
      </c>
      <c r="S1007" s="23" t="s">
        <v>184</v>
      </c>
      <c r="T1007" s="23" t="s">
        <v>302</v>
      </c>
      <c r="U1007" s="23" t="s">
        <v>302</v>
      </c>
      <c r="V1007" s="23" t="s">
        <v>233</v>
      </c>
      <c r="W1007" s="23" t="s">
        <v>5225</v>
      </c>
      <c r="X1007" s="23">
        <v>6429.5</v>
      </c>
      <c r="Y1007" s="23">
        <v>6523.3</v>
      </c>
      <c r="Z1007" s="23">
        <v>21230.51</v>
      </c>
      <c r="AB1007" s="23" t="s">
        <v>5226</v>
      </c>
      <c r="AC1007" s="23" t="s">
        <v>5227</v>
      </c>
      <c r="AD1007" s="118">
        <v>1</v>
      </c>
      <c r="AE1007" s="118">
        <v>0</v>
      </c>
      <c r="AF1007" s="23" t="s">
        <v>19</v>
      </c>
      <c r="AG1007" s="23" t="s">
        <v>787</v>
      </c>
      <c r="AH1007" s="39">
        <v>44505</v>
      </c>
    </row>
    <row r="1008" spans="1:35" ht="192">
      <c r="A1008" s="104" t="s">
        <v>5177</v>
      </c>
      <c r="B1008" s="23" t="s">
        <v>5178</v>
      </c>
      <c r="C1008" s="140">
        <v>44495</v>
      </c>
      <c r="D1008" s="23" t="s">
        <v>729</v>
      </c>
      <c r="E1008" s="23" t="s">
        <v>752</v>
      </c>
      <c r="F1008" s="23" t="s">
        <v>2200</v>
      </c>
      <c r="G1008" s="23" t="s">
        <v>301</v>
      </c>
      <c r="H1008" s="23">
        <v>20373887</v>
      </c>
      <c r="I1008" s="23">
        <v>20373887</v>
      </c>
      <c r="J1008" s="140">
        <v>44491</v>
      </c>
      <c r="K1008" s="23" t="s">
        <v>5179</v>
      </c>
      <c r="L1008" s="140">
        <v>44497</v>
      </c>
      <c r="P1008" s="23" t="s">
        <v>5228</v>
      </c>
      <c r="Q1008" s="141" t="s">
        <v>5229</v>
      </c>
      <c r="T1008" s="23" t="s">
        <v>305</v>
      </c>
      <c r="U1008" s="23" t="s">
        <v>305</v>
      </c>
      <c r="V1008" s="23" t="s">
        <v>298</v>
      </c>
      <c r="W1008" s="23" t="s">
        <v>5184</v>
      </c>
      <c r="Y1008" s="23">
        <v>21120</v>
      </c>
      <c r="Z1008" s="23">
        <v>202.96</v>
      </c>
      <c r="AB1008" s="40" t="s">
        <v>5460</v>
      </c>
      <c r="AC1008" s="23" t="s">
        <v>5195</v>
      </c>
      <c r="AD1008" s="118">
        <v>1</v>
      </c>
      <c r="AE1008" s="118">
        <v>5</v>
      </c>
      <c r="AF1008" s="19" t="s">
        <v>5180</v>
      </c>
      <c r="AG1008" s="23" t="s">
        <v>659</v>
      </c>
      <c r="AH1008" s="39">
        <v>44503</v>
      </c>
    </row>
    <row r="1009" spans="1:34" ht="224">
      <c r="A1009" s="104" t="s">
        <v>5181</v>
      </c>
      <c r="B1009" s="23" t="s">
        <v>5182</v>
      </c>
      <c r="C1009" s="140">
        <v>44495</v>
      </c>
      <c r="D1009" s="23" t="s">
        <v>729</v>
      </c>
      <c r="E1009" s="23" t="s">
        <v>752</v>
      </c>
      <c r="F1009" s="23" t="s">
        <v>2200</v>
      </c>
      <c r="G1009" s="23" t="s">
        <v>301</v>
      </c>
      <c r="H1009" s="23">
        <v>20374048</v>
      </c>
      <c r="I1009" s="23">
        <v>20374048</v>
      </c>
      <c r="J1009" s="140">
        <v>44491</v>
      </c>
      <c r="K1009" s="23" t="s">
        <v>5183</v>
      </c>
      <c r="L1009" s="140">
        <v>44501</v>
      </c>
      <c r="P1009" s="23" t="s">
        <v>5228</v>
      </c>
      <c r="Q1009" s="141" t="s">
        <v>5229</v>
      </c>
      <c r="T1009" s="23" t="s">
        <v>305</v>
      </c>
      <c r="U1009" s="23" t="s">
        <v>305</v>
      </c>
      <c r="V1009" s="23" t="s">
        <v>298</v>
      </c>
      <c r="W1009" s="23" t="s">
        <v>5185</v>
      </c>
      <c r="Y1009" s="23">
        <v>26360</v>
      </c>
      <c r="Z1009" s="98">
        <v>258.60000000000002</v>
      </c>
      <c r="AB1009" s="40" t="s">
        <v>5459</v>
      </c>
      <c r="AC1009" s="23" t="s">
        <v>3231</v>
      </c>
      <c r="AD1009" s="118">
        <v>0</v>
      </c>
      <c r="AE1009" s="118">
        <v>7</v>
      </c>
      <c r="AF1009" s="19" t="s">
        <v>5186</v>
      </c>
      <c r="AG1009" s="23" t="s">
        <v>659</v>
      </c>
      <c r="AH1009" s="39">
        <v>44503</v>
      </c>
    </row>
    <row r="1010" spans="1:34" ht="128">
      <c r="A1010" s="104" t="s">
        <v>5187</v>
      </c>
      <c r="B1010" s="23" t="s">
        <v>5188</v>
      </c>
      <c r="C1010" s="140">
        <v>44495</v>
      </c>
      <c r="D1010" s="23" t="s">
        <v>729</v>
      </c>
      <c r="E1010" s="23" t="s">
        <v>752</v>
      </c>
      <c r="F1010" s="23" t="s">
        <v>2200</v>
      </c>
      <c r="G1010" s="23" t="s">
        <v>301</v>
      </c>
      <c r="H1010" s="23">
        <v>20374031</v>
      </c>
      <c r="I1010" s="23">
        <v>20374031</v>
      </c>
      <c r="J1010" s="140">
        <v>44491</v>
      </c>
      <c r="K1010" s="23" t="s">
        <v>5189</v>
      </c>
      <c r="L1010" s="140">
        <v>44497</v>
      </c>
      <c r="P1010" s="23" t="s">
        <v>5228</v>
      </c>
      <c r="Q1010" s="141" t="s">
        <v>5229</v>
      </c>
      <c r="T1010" s="23" t="s">
        <v>305</v>
      </c>
      <c r="U1010" s="23" t="s">
        <v>305</v>
      </c>
      <c r="V1010" s="23" t="s">
        <v>298</v>
      </c>
      <c r="W1010" s="23" t="s">
        <v>5190</v>
      </c>
      <c r="Y1010" s="23">
        <v>16544</v>
      </c>
      <c r="Z1010" s="23">
        <v>140.02000000000001</v>
      </c>
      <c r="AB1010" s="40" t="s">
        <v>5458</v>
      </c>
      <c r="AC1010" s="23" t="s">
        <v>2114</v>
      </c>
      <c r="AD1010" s="118">
        <v>0</v>
      </c>
      <c r="AE1010" s="118">
        <v>4</v>
      </c>
      <c r="AF1010" s="19" t="s">
        <v>5191</v>
      </c>
      <c r="AG1010" s="23" t="s">
        <v>659</v>
      </c>
      <c r="AH1010" s="39">
        <v>44503</v>
      </c>
    </row>
    <row r="1011" spans="1:34">
      <c r="A1011" s="104" t="s">
        <v>5192</v>
      </c>
      <c r="B1011" s="23" t="s">
        <v>5193</v>
      </c>
      <c r="C1011" s="140">
        <v>44476</v>
      </c>
      <c r="D1011" s="23" t="s">
        <v>729</v>
      </c>
      <c r="E1011" s="23" t="s">
        <v>752</v>
      </c>
      <c r="F1011" s="23" t="s">
        <v>5194</v>
      </c>
      <c r="G1011" s="23" t="s">
        <v>2165</v>
      </c>
      <c r="P1011" s="26" t="s">
        <v>5172</v>
      </c>
      <c r="Q1011" s="141" t="s">
        <v>5169</v>
      </c>
      <c r="T1011" s="23" t="s">
        <v>12031</v>
      </c>
      <c r="U1011" s="23" t="s">
        <v>12031</v>
      </c>
      <c r="V1011" s="23" t="s">
        <v>298</v>
      </c>
      <c r="W1011" s="23" t="s">
        <v>5216</v>
      </c>
      <c r="Y1011" s="23">
        <v>5300</v>
      </c>
      <c r="Z1011" s="23">
        <v>40</v>
      </c>
      <c r="AB1011" s="23" t="s">
        <v>5197</v>
      </c>
      <c r="AC1011" s="23" t="s">
        <v>123</v>
      </c>
      <c r="AD1011" s="118">
        <v>0</v>
      </c>
      <c r="AE1011" s="118">
        <v>1</v>
      </c>
      <c r="AF1011" s="23" t="s">
        <v>3193</v>
      </c>
      <c r="AG1011" s="23" t="s">
        <v>5196</v>
      </c>
      <c r="AH1011" s="39">
        <v>44503</v>
      </c>
    </row>
    <row r="1012" spans="1:34">
      <c r="A1012" s="104" t="s">
        <v>5198</v>
      </c>
      <c r="B1012" s="23" t="s">
        <v>5199</v>
      </c>
      <c r="C1012" s="140">
        <v>44502</v>
      </c>
      <c r="D1012" s="23" t="s">
        <v>729</v>
      </c>
      <c r="E1012" s="23" t="s">
        <v>2919</v>
      </c>
      <c r="F1012" s="23" t="s">
        <v>1723</v>
      </c>
      <c r="G1012" s="23" t="s">
        <v>1724</v>
      </c>
      <c r="Q1012" s="141" t="s">
        <v>5200</v>
      </c>
      <c r="T1012" s="23" t="s">
        <v>3715</v>
      </c>
      <c r="U1012" s="23" t="s">
        <v>3715</v>
      </c>
      <c r="V1012" s="23" t="s">
        <v>298</v>
      </c>
      <c r="W1012" s="23" t="s">
        <v>5100</v>
      </c>
      <c r="Y1012" s="37">
        <v>15600</v>
      </c>
      <c r="Z1012" s="23">
        <v>73</v>
      </c>
      <c r="AB1012" s="23" t="s">
        <v>5201</v>
      </c>
      <c r="AC1012" s="23" t="s">
        <v>5202</v>
      </c>
      <c r="AD1012" s="118">
        <v>0</v>
      </c>
      <c r="AE1012" s="118">
        <v>2</v>
      </c>
      <c r="AF1012" s="23" t="s">
        <v>3181</v>
      </c>
      <c r="AG1012" s="23" t="s">
        <v>666</v>
      </c>
      <c r="AH1012" s="39">
        <v>44503</v>
      </c>
    </row>
    <row r="1013" spans="1:34">
      <c r="A1013" s="104" t="s">
        <v>5207</v>
      </c>
      <c r="B1013" s="23" t="s">
        <v>5204</v>
      </c>
      <c r="C1013" s="140">
        <v>44502</v>
      </c>
      <c r="F1013" s="23" t="s">
        <v>1723</v>
      </c>
      <c r="G1013" s="23" t="s">
        <v>1724</v>
      </c>
      <c r="Q1013" s="141" t="s">
        <v>5200</v>
      </c>
      <c r="W1013" s="23" t="s">
        <v>3288</v>
      </c>
      <c r="Y1013" s="37">
        <v>8016</v>
      </c>
      <c r="Z1013" s="23">
        <v>73.599999999999994</v>
      </c>
      <c r="AB1013" s="23" t="s">
        <v>5205</v>
      </c>
      <c r="AC1013" s="23" t="s">
        <v>5206</v>
      </c>
      <c r="AD1013" s="118"/>
      <c r="AE1013" s="118"/>
      <c r="AF1013" s="23" t="s">
        <v>3181</v>
      </c>
      <c r="AG1013" s="23" t="s">
        <v>637</v>
      </c>
      <c r="AH1013" s="39">
        <v>44503</v>
      </c>
    </row>
    <row r="1014" spans="1:34">
      <c r="A1014" s="104" t="s">
        <v>5203</v>
      </c>
      <c r="B1014" s="23" t="s">
        <v>5208</v>
      </c>
      <c r="C1014" s="140">
        <v>44502</v>
      </c>
      <c r="D1014" s="23" t="s">
        <v>729</v>
      </c>
      <c r="E1014" s="23" t="s">
        <v>2919</v>
      </c>
      <c r="F1014" s="23" t="s">
        <v>1723</v>
      </c>
      <c r="G1014" s="23" t="s">
        <v>1724</v>
      </c>
      <c r="Q1014" s="141" t="s">
        <v>5209</v>
      </c>
      <c r="T1014" s="23" t="s">
        <v>3715</v>
      </c>
      <c r="U1014" s="23" t="s">
        <v>3715</v>
      </c>
      <c r="V1014" s="23" t="s">
        <v>298</v>
      </c>
      <c r="W1014" s="23" t="s">
        <v>3288</v>
      </c>
      <c r="Y1014" s="37">
        <v>7450</v>
      </c>
      <c r="Z1014" s="23">
        <v>67.650000000000006</v>
      </c>
      <c r="AB1014" s="23" t="s">
        <v>5210</v>
      </c>
      <c r="AC1014" s="23" t="s">
        <v>5211</v>
      </c>
      <c r="AD1014" s="118">
        <v>0</v>
      </c>
      <c r="AE1014" s="118">
        <v>2</v>
      </c>
      <c r="AF1014" s="23" t="s">
        <v>3193</v>
      </c>
      <c r="AG1014" s="23" t="s">
        <v>637</v>
      </c>
      <c r="AH1014" s="39">
        <v>44503</v>
      </c>
    </row>
    <row r="1015" spans="1:34">
      <c r="A1015" s="104" t="s">
        <v>5212</v>
      </c>
      <c r="B1015" s="23" t="s">
        <v>5213</v>
      </c>
      <c r="C1015" s="140">
        <v>44502</v>
      </c>
      <c r="F1015" s="23" t="s">
        <v>1723</v>
      </c>
      <c r="G1015" s="23" t="s">
        <v>1724</v>
      </c>
      <c r="Q1015" s="141" t="s">
        <v>5209</v>
      </c>
      <c r="W1015" s="23" t="s">
        <v>4618</v>
      </c>
      <c r="Y1015" s="37">
        <v>10580</v>
      </c>
      <c r="Z1015" s="23">
        <v>73.8</v>
      </c>
      <c r="AB1015" s="23" t="s">
        <v>5214</v>
      </c>
      <c r="AC1015" s="23" t="s">
        <v>5215</v>
      </c>
      <c r="AD1015" s="118"/>
      <c r="AE1015" s="118"/>
      <c r="AF1015" s="23" t="s">
        <v>3181</v>
      </c>
      <c r="AG1015" s="23" t="s">
        <v>1640</v>
      </c>
      <c r="AH1015" s="39">
        <v>44503</v>
      </c>
    </row>
    <row r="1016" spans="1:34">
      <c r="A1016" s="104" t="s">
        <v>5230</v>
      </c>
      <c r="B1016" s="23" t="s">
        <v>5231</v>
      </c>
      <c r="C1016" s="140">
        <v>44504</v>
      </c>
      <c r="D1016" s="23" t="s">
        <v>729</v>
      </c>
      <c r="E1016" s="23" t="s">
        <v>2919</v>
      </c>
      <c r="F1016" s="23" t="s">
        <v>1723</v>
      </c>
      <c r="G1016" s="23" t="s">
        <v>1724</v>
      </c>
      <c r="Q1016" s="141" t="s">
        <v>5229</v>
      </c>
      <c r="T1016" s="23" t="s">
        <v>3715</v>
      </c>
      <c r="U1016" s="23" t="s">
        <v>3715</v>
      </c>
      <c r="V1016" s="23" t="s">
        <v>298</v>
      </c>
      <c r="W1016" s="23" t="s">
        <v>5100</v>
      </c>
      <c r="Y1016" s="37">
        <v>15800</v>
      </c>
      <c r="Z1016" s="23">
        <v>73.2</v>
      </c>
      <c r="AB1016" s="23" t="s">
        <v>5232</v>
      </c>
      <c r="AC1016" s="23" t="s">
        <v>5233</v>
      </c>
      <c r="AD1016" s="118">
        <v>0</v>
      </c>
      <c r="AE1016" s="118">
        <v>1</v>
      </c>
      <c r="AF1016" s="23" t="s">
        <v>3181</v>
      </c>
      <c r="AG1016" s="23" t="s">
        <v>666</v>
      </c>
      <c r="AH1016" s="39">
        <v>44505</v>
      </c>
    </row>
    <row r="1017" spans="1:34">
      <c r="A1017" s="104" t="s">
        <v>5234</v>
      </c>
      <c r="B1017" s="23" t="s">
        <v>5235</v>
      </c>
      <c r="C1017" s="140">
        <v>44505</v>
      </c>
      <c r="D1017" s="23" t="s">
        <v>729</v>
      </c>
      <c r="E1017" s="23" t="s">
        <v>2919</v>
      </c>
      <c r="F1017" s="23" t="s">
        <v>1723</v>
      </c>
      <c r="G1017" s="23" t="s">
        <v>1724</v>
      </c>
      <c r="Q1017" s="141" t="s">
        <v>5236</v>
      </c>
      <c r="T1017" s="23" t="s">
        <v>3715</v>
      </c>
      <c r="U1017" s="23" t="s">
        <v>3715</v>
      </c>
      <c r="V1017" s="23" t="s">
        <v>298</v>
      </c>
      <c r="W1017" s="23" t="s">
        <v>5077</v>
      </c>
      <c r="Y1017" s="37">
        <v>11020</v>
      </c>
      <c r="Z1017" s="23">
        <v>72.400000000000006</v>
      </c>
      <c r="AB1017" s="23" t="s">
        <v>5237</v>
      </c>
      <c r="AC1017" s="23" t="s">
        <v>4704</v>
      </c>
      <c r="AD1017" s="118">
        <v>0</v>
      </c>
      <c r="AE1017" s="118">
        <v>1</v>
      </c>
      <c r="AF1017" s="23" t="s">
        <v>3181</v>
      </c>
      <c r="AG1017" s="23" t="s">
        <v>666</v>
      </c>
      <c r="AH1017" s="39">
        <v>44506</v>
      </c>
    </row>
    <row r="1018" spans="1:34">
      <c r="A1018" s="104" t="s">
        <v>5238</v>
      </c>
      <c r="B1018" s="23" t="s">
        <v>5239</v>
      </c>
      <c r="C1018" s="140">
        <v>44507</v>
      </c>
      <c r="D1018" s="23" t="s">
        <v>729</v>
      </c>
      <c r="E1018" s="23" t="s">
        <v>2919</v>
      </c>
      <c r="F1018" s="23" t="s">
        <v>1723</v>
      </c>
      <c r="G1018" s="23" t="s">
        <v>1724</v>
      </c>
      <c r="Q1018" s="141" t="s">
        <v>5236</v>
      </c>
      <c r="T1018" s="23" t="s">
        <v>3715</v>
      </c>
      <c r="U1018" s="23" t="s">
        <v>3715</v>
      </c>
      <c r="V1018" s="23" t="s">
        <v>298</v>
      </c>
      <c r="W1018" s="23" t="s">
        <v>3288</v>
      </c>
      <c r="Y1018" s="37">
        <v>7724</v>
      </c>
      <c r="Z1018" s="23">
        <v>73.599999999999994</v>
      </c>
      <c r="AB1018" s="23" t="s">
        <v>5240</v>
      </c>
      <c r="AC1018" s="23" t="s">
        <v>5241</v>
      </c>
      <c r="AD1018" s="118">
        <v>0</v>
      </c>
      <c r="AE1018" s="118">
        <v>1</v>
      </c>
      <c r="AF1018" s="23" t="s">
        <v>3181</v>
      </c>
      <c r="AG1018" s="23" t="s">
        <v>637</v>
      </c>
      <c r="AH1018" s="39">
        <v>44508</v>
      </c>
    </row>
    <row r="1019" spans="1:34" ht="96">
      <c r="A1019" s="104" t="s">
        <v>5243</v>
      </c>
      <c r="B1019" s="23" t="s">
        <v>5244</v>
      </c>
      <c r="C1019" s="140">
        <v>44501</v>
      </c>
      <c r="D1019" s="23" t="s">
        <v>729</v>
      </c>
      <c r="E1019" s="23" t="s">
        <v>2919</v>
      </c>
      <c r="F1019" s="23" t="s">
        <v>1723</v>
      </c>
      <c r="G1019" s="23" t="s">
        <v>1724</v>
      </c>
      <c r="Q1019" s="141" t="s">
        <v>5245</v>
      </c>
      <c r="T1019" s="23" t="s">
        <v>3715</v>
      </c>
      <c r="U1019" s="23" t="s">
        <v>3715</v>
      </c>
      <c r="V1019" s="23" t="s">
        <v>298</v>
      </c>
      <c r="W1019" s="23" t="s">
        <v>3150</v>
      </c>
      <c r="Y1019" s="23">
        <v>24500</v>
      </c>
      <c r="Z1019" s="23">
        <v>86</v>
      </c>
      <c r="AB1019" s="19" t="s">
        <v>5247</v>
      </c>
      <c r="AC1019" s="23" t="s">
        <v>5246</v>
      </c>
      <c r="AD1019" s="118">
        <v>0</v>
      </c>
      <c r="AE1019" s="118">
        <v>2</v>
      </c>
      <c r="AF1019" s="19" t="s">
        <v>3214</v>
      </c>
      <c r="AG1019" s="23" t="s">
        <v>637</v>
      </c>
      <c r="AH1019" s="39">
        <v>44510</v>
      </c>
    </row>
    <row r="1020" spans="1:34">
      <c r="A1020" s="104" t="s">
        <v>5248</v>
      </c>
      <c r="B1020" s="23" t="s">
        <v>5249</v>
      </c>
      <c r="C1020" s="140">
        <v>44508</v>
      </c>
      <c r="D1020" s="23" t="s">
        <v>729</v>
      </c>
      <c r="E1020" s="23" t="s">
        <v>2919</v>
      </c>
      <c r="F1020" s="23" t="s">
        <v>1723</v>
      </c>
      <c r="G1020" s="23" t="s">
        <v>1724</v>
      </c>
      <c r="Q1020" s="141" t="s">
        <v>5245</v>
      </c>
      <c r="T1020" s="23" t="s">
        <v>3715</v>
      </c>
      <c r="U1020" s="23" t="s">
        <v>3715</v>
      </c>
      <c r="V1020" s="23" t="s">
        <v>298</v>
      </c>
      <c r="W1020" s="23" t="s">
        <v>5166</v>
      </c>
      <c r="Y1020" s="37">
        <v>14250</v>
      </c>
      <c r="Z1020" s="23">
        <v>72.599999999999994</v>
      </c>
      <c r="AB1020" s="23" t="s">
        <v>5250</v>
      </c>
      <c r="AC1020" s="23" t="s">
        <v>5254</v>
      </c>
      <c r="AD1020" s="118">
        <v>0</v>
      </c>
      <c r="AE1020" s="118">
        <v>3</v>
      </c>
      <c r="AF1020" s="23" t="s">
        <v>3181</v>
      </c>
      <c r="AG1020" s="23" t="s">
        <v>1640</v>
      </c>
      <c r="AH1020" s="39">
        <v>44510</v>
      </c>
    </row>
    <row r="1021" spans="1:34">
      <c r="A1021" s="104" t="s">
        <v>5251</v>
      </c>
      <c r="B1021" s="23" t="s">
        <v>5252</v>
      </c>
      <c r="C1021" s="140">
        <v>44509</v>
      </c>
      <c r="F1021" s="23" t="s">
        <v>1723</v>
      </c>
      <c r="G1021" s="23" t="s">
        <v>1724</v>
      </c>
      <c r="Q1021" s="141" t="s">
        <v>5245</v>
      </c>
      <c r="W1021" s="23" t="s">
        <v>5100</v>
      </c>
      <c r="Y1021" s="37">
        <v>15020</v>
      </c>
      <c r="Z1021" s="23">
        <v>73.400000000000006</v>
      </c>
      <c r="AB1021" s="23" t="s">
        <v>5253</v>
      </c>
      <c r="AC1021" s="23" t="s">
        <v>5255</v>
      </c>
      <c r="AD1021" s="118"/>
      <c r="AE1021" s="118"/>
      <c r="AF1021" s="23" t="s">
        <v>3181</v>
      </c>
      <c r="AG1021" s="23" t="s">
        <v>666</v>
      </c>
      <c r="AH1021" s="39">
        <v>44510</v>
      </c>
    </row>
    <row r="1022" spans="1:34">
      <c r="A1022" s="104" t="s">
        <v>5256</v>
      </c>
      <c r="B1022" s="23" t="s">
        <v>5257</v>
      </c>
      <c r="C1022" s="140">
        <v>44508</v>
      </c>
      <c r="F1022" s="23" t="s">
        <v>1723</v>
      </c>
      <c r="G1022" s="23" t="s">
        <v>1724</v>
      </c>
      <c r="Q1022" s="141" t="s">
        <v>5245</v>
      </c>
      <c r="W1022" s="23" t="s">
        <v>4947</v>
      </c>
      <c r="Y1022" s="37">
        <v>23500</v>
      </c>
      <c r="Z1022" s="23">
        <v>73.8</v>
      </c>
      <c r="AB1022" s="23" t="s">
        <v>5258</v>
      </c>
      <c r="AC1022" s="23" t="s">
        <v>4949</v>
      </c>
      <c r="AD1022" s="118"/>
      <c r="AE1022" s="118"/>
      <c r="AF1022" s="23" t="s">
        <v>3181</v>
      </c>
      <c r="AG1022" s="23" t="s">
        <v>637</v>
      </c>
      <c r="AH1022" s="39">
        <v>44510</v>
      </c>
    </row>
    <row r="1023" spans="1:34">
      <c r="A1023" s="104" t="s">
        <v>5259</v>
      </c>
      <c r="B1023" s="23" t="s">
        <v>5260</v>
      </c>
      <c r="C1023" s="140">
        <v>44510</v>
      </c>
      <c r="D1023" s="23" t="s">
        <v>729</v>
      </c>
      <c r="E1023" s="23" t="s">
        <v>2919</v>
      </c>
      <c r="F1023" s="23" t="s">
        <v>1723</v>
      </c>
      <c r="G1023" s="23" t="s">
        <v>1724</v>
      </c>
      <c r="Q1023" s="141" t="s">
        <v>5261</v>
      </c>
      <c r="T1023" s="23" t="s">
        <v>3715</v>
      </c>
      <c r="U1023" s="23" t="s">
        <v>3715</v>
      </c>
      <c r="V1023" s="23" t="s">
        <v>298</v>
      </c>
      <c r="W1023" s="23" t="s">
        <v>5166</v>
      </c>
      <c r="Y1023" s="37">
        <v>13600</v>
      </c>
      <c r="Z1023" s="23">
        <v>72.400000000000006</v>
      </c>
      <c r="AB1023" s="23" t="s">
        <v>5262</v>
      </c>
      <c r="AC1023" s="23" t="s">
        <v>5061</v>
      </c>
      <c r="AD1023" s="118">
        <v>0</v>
      </c>
      <c r="AE1023" s="118">
        <v>2</v>
      </c>
      <c r="AF1023" s="23" t="s">
        <v>3181</v>
      </c>
      <c r="AG1023" s="23" t="s">
        <v>1640</v>
      </c>
      <c r="AH1023" s="39">
        <v>44512</v>
      </c>
    </row>
    <row r="1024" spans="1:34">
      <c r="A1024" s="104" t="s">
        <v>5263</v>
      </c>
      <c r="B1024" s="23" t="s">
        <v>5264</v>
      </c>
      <c r="C1024" s="140">
        <v>44510</v>
      </c>
      <c r="F1024" s="23" t="s">
        <v>1723</v>
      </c>
      <c r="G1024" s="23" t="s">
        <v>1724</v>
      </c>
      <c r="Q1024" s="141" t="s">
        <v>5261</v>
      </c>
      <c r="W1024" s="23" t="s">
        <v>5100</v>
      </c>
      <c r="Y1024" s="37">
        <v>15600</v>
      </c>
      <c r="Z1024" s="23">
        <v>73</v>
      </c>
      <c r="AB1024" s="23" t="s">
        <v>5265</v>
      </c>
      <c r="AC1024" s="23" t="s">
        <v>5202</v>
      </c>
      <c r="AD1024" s="118"/>
      <c r="AE1024" s="118"/>
      <c r="AF1024" s="23" t="s">
        <v>3181</v>
      </c>
      <c r="AG1024" s="23" t="s">
        <v>666</v>
      </c>
      <c r="AH1024" s="39">
        <v>44512</v>
      </c>
    </row>
    <row r="1025" spans="1:35">
      <c r="A1025" s="104" t="s">
        <v>5266</v>
      </c>
      <c r="B1025" s="23" t="s">
        <v>5267</v>
      </c>
      <c r="C1025" s="140">
        <v>44511</v>
      </c>
      <c r="D1025" s="23" t="s">
        <v>729</v>
      </c>
      <c r="E1025" s="23" t="s">
        <v>2919</v>
      </c>
      <c r="F1025" s="23" t="s">
        <v>1723</v>
      </c>
      <c r="G1025" s="23" t="s">
        <v>1724</v>
      </c>
      <c r="Q1025" s="141" t="s">
        <v>5268</v>
      </c>
      <c r="T1025" s="23" t="s">
        <v>3715</v>
      </c>
      <c r="U1025" s="23" t="s">
        <v>3715</v>
      </c>
      <c r="V1025" s="23" t="s">
        <v>298</v>
      </c>
      <c r="W1025" s="23" t="s">
        <v>5077</v>
      </c>
      <c r="Y1025" s="37">
        <v>11000</v>
      </c>
      <c r="Z1025" s="23">
        <v>72.5</v>
      </c>
      <c r="AB1025" s="23" t="s">
        <v>5269</v>
      </c>
      <c r="AC1025" s="23" t="s">
        <v>5079</v>
      </c>
      <c r="AD1025" s="118">
        <v>0</v>
      </c>
      <c r="AE1025" s="118">
        <v>1</v>
      </c>
      <c r="AF1025" s="23" t="s">
        <v>3181</v>
      </c>
      <c r="AG1025" s="23" t="s">
        <v>666</v>
      </c>
      <c r="AH1025" s="39">
        <v>44512</v>
      </c>
    </row>
    <row r="1026" spans="1:35">
      <c r="A1026" s="104" t="s">
        <v>5270</v>
      </c>
      <c r="B1026" s="23" t="s">
        <v>5271</v>
      </c>
      <c r="C1026" s="140">
        <v>44501</v>
      </c>
      <c r="D1026" s="23" t="s">
        <v>729</v>
      </c>
      <c r="E1026" s="23" t="s">
        <v>752</v>
      </c>
      <c r="F1026" s="23" t="s">
        <v>2200</v>
      </c>
      <c r="G1026" s="23" t="s">
        <v>301</v>
      </c>
      <c r="H1026" s="23">
        <v>20375105</v>
      </c>
      <c r="I1026" s="23">
        <v>20375105</v>
      </c>
      <c r="J1026" s="140">
        <v>44495</v>
      </c>
      <c r="K1026" s="23" t="s">
        <v>5272</v>
      </c>
      <c r="L1026" s="140">
        <v>44502</v>
      </c>
      <c r="P1026" s="23" t="s">
        <v>5383</v>
      </c>
      <c r="Q1026" s="141" t="s">
        <v>5268</v>
      </c>
      <c r="T1026" s="23" t="s">
        <v>305</v>
      </c>
      <c r="U1026" s="23" t="s">
        <v>305</v>
      </c>
      <c r="V1026" s="23" t="s">
        <v>298</v>
      </c>
      <c r="W1026" s="23" t="s">
        <v>5273</v>
      </c>
      <c r="Y1026" s="23">
        <v>1320</v>
      </c>
      <c r="Z1026" s="23">
        <v>12.69</v>
      </c>
      <c r="AB1026" s="59" t="s">
        <v>5274</v>
      </c>
      <c r="AC1026" s="23" t="s">
        <v>131</v>
      </c>
      <c r="AD1026" s="118">
        <v>0</v>
      </c>
      <c r="AE1026" s="118">
        <v>1</v>
      </c>
      <c r="AF1026" s="23" t="s">
        <v>3193</v>
      </c>
      <c r="AG1026" s="23" t="s">
        <v>1553</v>
      </c>
      <c r="AH1026" s="39">
        <v>44512</v>
      </c>
    </row>
    <row r="1027" spans="1:35">
      <c r="A1027" s="104" t="s">
        <v>5278</v>
      </c>
      <c r="B1027" s="23" t="s">
        <v>5275</v>
      </c>
      <c r="C1027" s="140">
        <v>44501</v>
      </c>
      <c r="D1027" s="23" t="s">
        <v>729</v>
      </c>
      <c r="E1027" s="23" t="s">
        <v>752</v>
      </c>
      <c r="F1027" s="23" t="s">
        <v>2200</v>
      </c>
      <c r="G1027" s="23" t="s">
        <v>301</v>
      </c>
      <c r="H1027" s="23">
        <v>20375099</v>
      </c>
      <c r="I1027" s="23">
        <v>20375099</v>
      </c>
      <c r="J1027" s="140">
        <v>44495</v>
      </c>
      <c r="K1027" s="23" t="s">
        <v>5276</v>
      </c>
      <c r="L1027" s="140">
        <v>44502</v>
      </c>
      <c r="P1027" s="23" t="s">
        <v>5383</v>
      </c>
      <c r="Q1027" s="141" t="s">
        <v>5268</v>
      </c>
      <c r="W1027" s="23" t="s">
        <v>5184</v>
      </c>
      <c r="Y1027" s="23">
        <v>2640</v>
      </c>
      <c r="Z1027" s="23">
        <v>25.37</v>
      </c>
      <c r="AB1027" s="23" t="s">
        <v>5373</v>
      </c>
      <c r="AC1027" s="23" t="s">
        <v>123</v>
      </c>
      <c r="AD1027" s="118"/>
      <c r="AE1027" s="118"/>
      <c r="AG1027" s="23" t="s">
        <v>1553</v>
      </c>
      <c r="AH1027" s="39">
        <v>44512</v>
      </c>
    </row>
    <row r="1028" spans="1:35" ht="32">
      <c r="A1028" s="104" t="s">
        <v>5323</v>
      </c>
      <c r="B1028" s="23" t="s">
        <v>5324</v>
      </c>
      <c r="C1028" s="140">
        <v>44512</v>
      </c>
      <c r="D1028" s="23" t="s">
        <v>729</v>
      </c>
      <c r="E1028" s="23" t="s">
        <v>2919</v>
      </c>
      <c r="F1028" s="23" t="s">
        <v>1723</v>
      </c>
      <c r="G1028" s="23" t="s">
        <v>1724</v>
      </c>
      <c r="Q1028" s="141" t="s">
        <v>5325</v>
      </c>
      <c r="T1028" s="23" t="s">
        <v>3715</v>
      </c>
      <c r="U1028" s="23" t="s">
        <v>3715</v>
      </c>
      <c r="V1028" s="23" t="s">
        <v>298</v>
      </c>
      <c r="W1028" s="23" t="s">
        <v>4947</v>
      </c>
      <c r="Y1028" s="37">
        <v>43600</v>
      </c>
      <c r="Z1028" s="23">
        <v>132.97999999999999</v>
      </c>
      <c r="AB1028" s="19" t="s">
        <v>5326</v>
      </c>
      <c r="AC1028" s="23" t="s">
        <v>5327</v>
      </c>
      <c r="AD1028" s="118">
        <v>1</v>
      </c>
      <c r="AE1028" s="118">
        <v>2</v>
      </c>
      <c r="AF1028" s="19" t="s">
        <v>3208</v>
      </c>
      <c r="AG1028" s="23" t="s">
        <v>666</v>
      </c>
      <c r="AH1028" s="39">
        <v>44515</v>
      </c>
    </row>
    <row r="1029" spans="1:35">
      <c r="A1029" s="104" t="s">
        <v>5374</v>
      </c>
      <c r="B1029" s="23" t="s">
        <v>5375</v>
      </c>
      <c r="C1029" s="140">
        <v>44510</v>
      </c>
      <c r="F1029" s="23" t="s">
        <v>1723</v>
      </c>
      <c r="G1029" s="23" t="s">
        <v>1724</v>
      </c>
      <c r="Q1029" s="141" t="s">
        <v>5325</v>
      </c>
      <c r="W1029" s="23" t="s">
        <v>3288</v>
      </c>
      <c r="Y1029" s="37">
        <v>4880</v>
      </c>
      <c r="Z1029" s="23">
        <v>28.39</v>
      </c>
      <c r="AB1029" s="23" t="s">
        <v>5376</v>
      </c>
      <c r="AC1029" s="23" t="s">
        <v>5377</v>
      </c>
      <c r="AD1029" s="118"/>
      <c r="AE1029" s="118"/>
      <c r="AF1029" s="23" t="s">
        <v>3451</v>
      </c>
      <c r="AG1029" s="23" t="s">
        <v>666</v>
      </c>
      <c r="AH1029" s="39">
        <v>44515</v>
      </c>
    </row>
    <row r="1030" spans="1:35">
      <c r="A1030" s="104" t="s">
        <v>5378</v>
      </c>
      <c r="B1030" s="23" t="s">
        <v>5379</v>
      </c>
      <c r="C1030" s="140">
        <v>44513</v>
      </c>
      <c r="D1030" s="23" t="s">
        <v>729</v>
      </c>
      <c r="E1030" s="23" t="s">
        <v>2919</v>
      </c>
      <c r="F1030" s="23" t="s">
        <v>1723</v>
      </c>
      <c r="G1030" s="23" t="s">
        <v>1724</v>
      </c>
      <c r="Q1030" s="141" t="s">
        <v>5380</v>
      </c>
      <c r="T1030" s="23" t="s">
        <v>3715</v>
      </c>
      <c r="U1030" s="23" t="s">
        <v>3715</v>
      </c>
      <c r="V1030" s="23" t="s">
        <v>298</v>
      </c>
      <c r="W1030" s="23" t="s">
        <v>5073</v>
      </c>
      <c r="Y1030" s="37">
        <v>11800</v>
      </c>
      <c r="Z1030" s="23">
        <v>72.599999999999994</v>
      </c>
      <c r="AB1030" s="23" t="s">
        <v>5382</v>
      </c>
      <c r="AC1030" s="23" t="s">
        <v>5381</v>
      </c>
      <c r="AD1030" s="118">
        <v>0</v>
      </c>
      <c r="AE1030" s="118">
        <v>1</v>
      </c>
      <c r="AF1030" s="23" t="s">
        <v>3181</v>
      </c>
      <c r="AG1030" s="23" t="s">
        <v>665</v>
      </c>
      <c r="AH1030" s="39">
        <v>44515</v>
      </c>
    </row>
    <row r="1031" spans="1:35">
      <c r="A1031" s="104" t="s">
        <v>5384</v>
      </c>
      <c r="B1031" s="23" t="s">
        <v>5385</v>
      </c>
      <c r="C1031" s="140">
        <v>44509</v>
      </c>
      <c r="D1031" s="23" t="s">
        <v>729</v>
      </c>
      <c r="E1031" s="23" t="s">
        <v>752</v>
      </c>
      <c r="F1031" s="23" t="s">
        <v>6113</v>
      </c>
      <c r="G1031" s="23" t="s">
        <v>5538</v>
      </c>
      <c r="H1031" s="23" t="s">
        <v>5431</v>
      </c>
      <c r="I1031" s="23" t="s">
        <v>5431</v>
      </c>
      <c r="J1031" s="140">
        <v>44489</v>
      </c>
      <c r="Q1031" s="141" t="s">
        <v>5380</v>
      </c>
      <c r="T1031" s="23" t="s">
        <v>12031</v>
      </c>
      <c r="U1031" s="23" t="s">
        <v>12031</v>
      </c>
      <c r="V1031" s="23" t="s">
        <v>299</v>
      </c>
      <c r="W1031" s="23" t="s">
        <v>5386</v>
      </c>
      <c r="Y1031" s="23">
        <v>4710</v>
      </c>
      <c r="Z1031" s="23">
        <v>43.18</v>
      </c>
      <c r="AB1031" s="59" t="s">
        <v>5387</v>
      </c>
      <c r="AC1031" s="23">
        <v>3</v>
      </c>
      <c r="AD1031" s="118">
        <v>0</v>
      </c>
      <c r="AE1031" s="118">
        <v>1</v>
      </c>
      <c r="AF1031" s="23" t="s">
        <v>3193</v>
      </c>
      <c r="AG1031" s="23" t="s">
        <v>5388</v>
      </c>
      <c r="AH1031" s="39">
        <v>44516</v>
      </c>
      <c r="AI1031" s="53" t="s">
        <v>5027</v>
      </c>
    </row>
    <row r="1032" spans="1:35" ht="128">
      <c r="A1032" s="104" t="s">
        <v>5389</v>
      </c>
      <c r="B1032" s="23" t="s">
        <v>5390</v>
      </c>
      <c r="C1032" s="140">
        <v>44514</v>
      </c>
      <c r="D1032" s="23" t="s">
        <v>729</v>
      </c>
      <c r="E1032" s="23" t="s">
        <v>752</v>
      </c>
      <c r="F1032" s="23" t="s">
        <v>2200</v>
      </c>
      <c r="G1032" s="23" t="s">
        <v>301</v>
      </c>
      <c r="H1032" s="23" t="s">
        <v>5432</v>
      </c>
      <c r="I1032" s="23" t="s">
        <v>5432</v>
      </c>
      <c r="J1032" s="140">
        <v>44511</v>
      </c>
      <c r="K1032" s="23" t="s">
        <v>5433</v>
      </c>
      <c r="L1032" s="140">
        <v>44519</v>
      </c>
      <c r="T1032" s="23" t="s">
        <v>305</v>
      </c>
      <c r="U1032" s="23" t="s">
        <v>305</v>
      </c>
      <c r="V1032" s="23" t="s">
        <v>299</v>
      </c>
      <c r="W1032" s="19" t="s">
        <v>5391</v>
      </c>
      <c r="Y1032" s="23">
        <v>25848</v>
      </c>
      <c r="Z1032" s="23">
        <v>221.08</v>
      </c>
      <c r="AB1032" s="19" t="s">
        <v>5530</v>
      </c>
      <c r="AC1032" s="23">
        <v>13</v>
      </c>
      <c r="AD1032" s="118">
        <v>0</v>
      </c>
      <c r="AE1032" s="118">
        <v>7</v>
      </c>
      <c r="AF1032" s="19" t="s">
        <v>5186</v>
      </c>
      <c r="AG1032" s="23" t="s">
        <v>659</v>
      </c>
      <c r="AH1032" s="39">
        <v>44523</v>
      </c>
      <c r="AI1032" s="53" t="s">
        <v>301</v>
      </c>
    </row>
    <row r="1033" spans="1:35" ht="112">
      <c r="A1033" s="104" t="s">
        <v>5392</v>
      </c>
      <c r="B1033" s="23" t="s">
        <v>5393</v>
      </c>
      <c r="C1033" s="140">
        <v>44514</v>
      </c>
      <c r="D1033" s="23" t="s">
        <v>729</v>
      </c>
      <c r="E1033" s="23" t="s">
        <v>752</v>
      </c>
      <c r="F1033" s="23" t="s">
        <v>2200</v>
      </c>
      <c r="G1033" s="23" t="s">
        <v>301</v>
      </c>
      <c r="H1033" s="23" t="s">
        <v>5434</v>
      </c>
      <c r="I1033" s="23" t="s">
        <v>5434</v>
      </c>
      <c r="J1033" s="140">
        <v>44511</v>
      </c>
      <c r="K1033" s="23" t="s">
        <v>5435</v>
      </c>
      <c r="L1033" s="140">
        <v>44519</v>
      </c>
      <c r="T1033" s="23" t="s">
        <v>305</v>
      </c>
      <c r="U1033" s="23" t="s">
        <v>305</v>
      </c>
      <c r="V1033" s="23" t="s">
        <v>299</v>
      </c>
      <c r="W1033" s="19" t="s">
        <v>5394</v>
      </c>
      <c r="Y1033" s="23">
        <v>22748</v>
      </c>
      <c r="Z1033" s="23">
        <v>192.52</v>
      </c>
      <c r="AB1033" s="19" t="s">
        <v>5529</v>
      </c>
      <c r="AC1033" s="23">
        <v>11</v>
      </c>
      <c r="AD1033" s="118">
        <v>0</v>
      </c>
      <c r="AE1033" s="118">
        <v>6</v>
      </c>
      <c r="AF1033" s="19" t="s">
        <v>4957</v>
      </c>
      <c r="AG1033" s="23" t="s">
        <v>659</v>
      </c>
      <c r="AH1033" s="39">
        <v>44523</v>
      </c>
      <c r="AI1033" s="53" t="s">
        <v>301</v>
      </c>
    </row>
    <row r="1034" spans="1:35">
      <c r="A1034" s="104" t="s">
        <v>5395</v>
      </c>
      <c r="B1034" s="23" t="s">
        <v>5396</v>
      </c>
      <c r="C1034" s="140">
        <v>44512</v>
      </c>
      <c r="D1034" s="23" t="s">
        <v>729</v>
      </c>
      <c r="E1034" s="23" t="s">
        <v>2919</v>
      </c>
      <c r="F1034" s="23" t="s">
        <v>1723</v>
      </c>
      <c r="G1034" s="23" t="s">
        <v>1724</v>
      </c>
      <c r="Q1034" s="141" t="s">
        <v>5397</v>
      </c>
      <c r="T1034" s="23" t="s">
        <v>3715</v>
      </c>
      <c r="U1034" s="23" t="s">
        <v>3715</v>
      </c>
      <c r="V1034" s="23" t="s">
        <v>298</v>
      </c>
      <c r="W1034" s="23" t="s">
        <v>5406</v>
      </c>
      <c r="Y1034" s="37">
        <v>23150</v>
      </c>
      <c r="Z1034" s="23">
        <v>60</v>
      </c>
      <c r="AB1034" s="23" t="s">
        <v>5398</v>
      </c>
      <c r="AC1034" s="23" t="s">
        <v>5399</v>
      </c>
      <c r="AD1034" s="118">
        <v>0</v>
      </c>
      <c r="AE1034" s="118">
        <v>3</v>
      </c>
      <c r="AF1034" s="23" t="s">
        <v>3193</v>
      </c>
      <c r="AG1034" s="23" t="s">
        <v>666</v>
      </c>
      <c r="AH1034" s="39">
        <v>44517</v>
      </c>
    </row>
    <row r="1035" spans="1:35">
      <c r="A1035" s="104" t="s">
        <v>5400</v>
      </c>
      <c r="B1035" s="23" t="s">
        <v>5401</v>
      </c>
      <c r="C1035" s="140">
        <v>44516</v>
      </c>
      <c r="F1035" s="23" t="s">
        <v>1723</v>
      </c>
      <c r="G1035" s="23" t="s">
        <v>1724</v>
      </c>
      <c r="W1035" s="23" t="s">
        <v>5077</v>
      </c>
      <c r="Y1035" s="37">
        <v>11030</v>
      </c>
      <c r="Z1035" s="23">
        <v>72.599999999999994</v>
      </c>
      <c r="AB1035" s="23" t="s">
        <v>5402</v>
      </c>
      <c r="AC1035" s="23" t="s">
        <v>5403</v>
      </c>
      <c r="AD1035" s="118"/>
      <c r="AE1035" s="118"/>
      <c r="AF1035" s="23" t="s">
        <v>3181</v>
      </c>
      <c r="AG1035" s="23" t="s">
        <v>666</v>
      </c>
      <c r="AH1035" s="39">
        <v>44517</v>
      </c>
    </row>
    <row r="1036" spans="1:35">
      <c r="A1036" s="104" t="s">
        <v>5405</v>
      </c>
      <c r="B1036" s="23" t="s">
        <v>5404</v>
      </c>
      <c r="C1036" s="140">
        <v>44516</v>
      </c>
      <c r="F1036" s="23" t="s">
        <v>1723</v>
      </c>
      <c r="G1036" s="23" t="s">
        <v>1724</v>
      </c>
      <c r="W1036" s="23" t="s">
        <v>3288</v>
      </c>
      <c r="Y1036" s="37">
        <v>8000</v>
      </c>
      <c r="Z1036" s="23">
        <v>74</v>
      </c>
      <c r="AB1036" s="23" t="s">
        <v>5407</v>
      </c>
      <c r="AC1036" s="23" t="s">
        <v>5408</v>
      </c>
      <c r="AD1036" s="118"/>
      <c r="AE1036" s="118"/>
      <c r="AF1036" s="23" t="s">
        <v>3181</v>
      </c>
      <c r="AG1036" s="23" t="s">
        <v>637</v>
      </c>
      <c r="AH1036" s="39">
        <v>44517</v>
      </c>
    </row>
    <row r="1037" spans="1:35" ht="32">
      <c r="A1037" s="104" t="s">
        <v>5409</v>
      </c>
      <c r="B1037" s="23" t="s">
        <v>5410</v>
      </c>
      <c r="C1037" s="140">
        <v>44515</v>
      </c>
      <c r="D1037" s="23" t="s">
        <v>729</v>
      </c>
      <c r="E1037" s="23" t="s">
        <v>752</v>
      </c>
      <c r="F1037" s="23" t="s">
        <v>57</v>
      </c>
      <c r="G1037" s="23" t="s">
        <v>57</v>
      </c>
      <c r="H1037" s="23" t="s">
        <v>5411</v>
      </c>
      <c r="I1037" s="23" t="s">
        <v>5411</v>
      </c>
      <c r="J1037" s="140">
        <v>44511</v>
      </c>
      <c r="K1037" s="23" t="s">
        <v>5414</v>
      </c>
      <c r="L1037" s="140">
        <v>44516</v>
      </c>
      <c r="P1037" s="23" t="s">
        <v>5412</v>
      </c>
      <c r="Q1037" s="141" t="s">
        <v>5413</v>
      </c>
      <c r="S1037" s="23" t="s">
        <v>184</v>
      </c>
      <c r="T1037" s="23" t="s">
        <v>302</v>
      </c>
      <c r="U1037" s="23" t="s">
        <v>302</v>
      </c>
      <c r="V1037" s="23" t="s">
        <v>233</v>
      </c>
      <c r="W1037" s="23" t="s">
        <v>284</v>
      </c>
      <c r="X1037" s="23">
        <v>29795.599999999999</v>
      </c>
      <c r="Y1037" s="23">
        <v>29990</v>
      </c>
      <c r="Z1037" s="23">
        <v>29833.45</v>
      </c>
      <c r="AA1037" s="23">
        <v>28190.59</v>
      </c>
      <c r="AB1037" s="19" t="s">
        <v>5415</v>
      </c>
      <c r="AC1037" s="23" t="s">
        <v>791</v>
      </c>
      <c r="AD1037" s="118">
        <v>0</v>
      </c>
      <c r="AE1037" s="118">
        <v>2</v>
      </c>
      <c r="AF1037" s="23" t="s">
        <v>3297</v>
      </c>
      <c r="AG1037" s="23" t="s">
        <v>787</v>
      </c>
      <c r="AH1037" s="39">
        <v>44518</v>
      </c>
    </row>
    <row r="1038" spans="1:35">
      <c r="A1038" s="104" t="s">
        <v>5416</v>
      </c>
      <c r="B1038" s="23" t="s">
        <v>5417</v>
      </c>
      <c r="C1038" s="140">
        <v>44519</v>
      </c>
      <c r="D1038" s="23" t="s">
        <v>729</v>
      </c>
      <c r="E1038" s="23" t="s">
        <v>2919</v>
      </c>
      <c r="F1038" s="23" t="s">
        <v>1723</v>
      </c>
      <c r="G1038" s="23" t="s">
        <v>1724</v>
      </c>
      <c r="Q1038" s="141" t="s">
        <v>5418</v>
      </c>
      <c r="T1038" s="23" t="s">
        <v>3715</v>
      </c>
      <c r="U1038" s="23" t="s">
        <v>3715</v>
      </c>
      <c r="V1038" s="23" t="s">
        <v>298</v>
      </c>
      <c r="W1038" s="23" t="s">
        <v>5100</v>
      </c>
      <c r="Y1038" s="37">
        <v>15600</v>
      </c>
      <c r="Z1038" s="23">
        <v>72.8</v>
      </c>
      <c r="AB1038" s="23" t="s">
        <v>5419</v>
      </c>
      <c r="AC1038" s="23" t="s">
        <v>5202</v>
      </c>
      <c r="AD1038" s="118">
        <v>0</v>
      </c>
      <c r="AE1038" s="118">
        <v>2</v>
      </c>
      <c r="AF1038" s="23" t="s">
        <v>3181</v>
      </c>
      <c r="AG1038" s="23" t="s">
        <v>666</v>
      </c>
      <c r="AH1038" s="39">
        <v>44522</v>
      </c>
    </row>
    <row r="1039" spans="1:35">
      <c r="A1039" s="104" t="s">
        <v>5420</v>
      </c>
      <c r="B1039" s="23" t="s">
        <v>5421</v>
      </c>
      <c r="C1039" s="140">
        <v>44520</v>
      </c>
      <c r="F1039" s="23" t="s">
        <v>1723</v>
      </c>
      <c r="G1039" s="23" t="s">
        <v>1724</v>
      </c>
      <c r="Q1039" s="141" t="s">
        <v>5418</v>
      </c>
      <c r="W1039" s="23" t="s">
        <v>3288</v>
      </c>
      <c r="Y1039" s="37">
        <v>8000</v>
      </c>
      <c r="Z1039" s="23">
        <v>74</v>
      </c>
      <c r="AB1039" s="23" t="s">
        <v>5422</v>
      </c>
      <c r="AC1039" s="23" t="s">
        <v>5423</v>
      </c>
      <c r="AD1039" s="118"/>
      <c r="AE1039" s="118"/>
      <c r="AF1039" s="23" t="s">
        <v>3181</v>
      </c>
      <c r="AG1039" s="23" t="s">
        <v>637</v>
      </c>
      <c r="AH1039" s="39">
        <v>44522</v>
      </c>
    </row>
    <row r="1040" spans="1:35">
      <c r="A1040" s="104" t="s">
        <v>5424</v>
      </c>
      <c r="B1040" s="23" t="s">
        <v>5425</v>
      </c>
      <c r="C1040" s="140">
        <v>44519</v>
      </c>
      <c r="D1040" s="23" t="s">
        <v>729</v>
      </c>
      <c r="E1040" s="23" t="s">
        <v>2919</v>
      </c>
      <c r="F1040" s="23" t="s">
        <v>1723</v>
      </c>
      <c r="G1040" s="23" t="s">
        <v>1724</v>
      </c>
      <c r="Q1040" s="141" t="s">
        <v>5426</v>
      </c>
      <c r="T1040" s="23" t="s">
        <v>3715</v>
      </c>
      <c r="U1040" s="23" t="s">
        <v>3715</v>
      </c>
      <c r="V1040" s="23" t="s">
        <v>298</v>
      </c>
      <c r="W1040" s="23" t="s">
        <v>5077</v>
      </c>
      <c r="Y1040" s="37">
        <v>11020</v>
      </c>
      <c r="Z1040" s="23">
        <v>72.599999999999994</v>
      </c>
      <c r="AB1040" s="23" t="s">
        <v>5427</v>
      </c>
      <c r="AC1040" s="23" t="s">
        <v>4704</v>
      </c>
      <c r="AD1040" s="118">
        <v>0</v>
      </c>
      <c r="AE1040" s="118">
        <v>2</v>
      </c>
      <c r="AF1040" s="23" t="s">
        <v>3181</v>
      </c>
      <c r="AG1040" s="23" t="s">
        <v>666</v>
      </c>
      <c r="AH1040" s="39">
        <v>44522</v>
      </c>
    </row>
    <row r="1041" spans="1:35">
      <c r="A1041" s="104" t="s">
        <v>5428</v>
      </c>
      <c r="B1041" s="23" t="s">
        <v>5429</v>
      </c>
      <c r="C1041" s="140">
        <v>44519</v>
      </c>
      <c r="F1041" s="23" t="s">
        <v>1723</v>
      </c>
      <c r="G1041" s="23" t="s">
        <v>1724</v>
      </c>
      <c r="Q1041" s="141" t="s">
        <v>5426</v>
      </c>
      <c r="W1041" s="23" t="s">
        <v>5166</v>
      </c>
      <c r="Y1041" s="37">
        <v>14250</v>
      </c>
      <c r="Z1041" s="23">
        <v>73</v>
      </c>
      <c r="AB1041" s="23" t="s">
        <v>5430</v>
      </c>
      <c r="AC1041" s="23" t="s">
        <v>5254</v>
      </c>
      <c r="AD1041" s="118"/>
      <c r="AE1041" s="118"/>
      <c r="AF1041" s="23" t="s">
        <v>3181</v>
      </c>
      <c r="AG1041" s="23" t="s">
        <v>1640</v>
      </c>
      <c r="AH1041" s="39">
        <v>44522</v>
      </c>
    </row>
    <row r="1042" spans="1:35">
      <c r="A1042" s="104" t="s">
        <v>5436</v>
      </c>
      <c r="B1042" s="27" t="s">
        <v>5437</v>
      </c>
      <c r="C1042" s="140">
        <v>44517</v>
      </c>
      <c r="D1042" s="23" t="s">
        <v>729</v>
      </c>
      <c r="E1042" s="23" t="s">
        <v>2919</v>
      </c>
      <c r="F1042" s="23" t="s">
        <v>1723</v>
      </c>
      <c r="G1042" s="23" t="s">
        <v>1724</v>
      </c>
      <c r="Q1042" s="141" t="s">
        <v>5438</v>
      </c>
      <c r="T1042" s="23" t="s">
        <v>3715</v>
      </c>
      <c r="U1042" s="23" t="s">
        <v>3715</v>
      </c>
      <c r="V1042" s="23" t="s">
        <v>298</v>
      </c>
      <c r="W1042" s="23" t="s">
        <v>3288</v>
      </c>
      <c r="Y1042" s="37">
        <v>7180</v>
      </c>
      <c r="Z1042" s="23">
        <v>67.930000000000007</v>
      </c>
      <c r="AB1042" s="23" t="s">
        <v>5439</v>
      </c>
      <c r="AC1042" s="23" t="s">
        <v>5440</v>
      </c>
      <c r="AD1042" s="118">
        <v>0</v>
      </c>
      <c r="AE1042" s="118">
        <v>2</v>
      </c>
      <c r="AF1042" s="23" t="s">
        <v>3193</v>
      </c>
      <c r="AG1042" s="23" t="s">
        <v>637</v>
      </c>
      <c r="AH1042" s="39">
        <v>44523</v>
      </c>
    </row>
    <row r="1043" spans="1:35">
      <c r="A1043" s="104" t="s">
        <v>5441</v>
      </c>
      <c r="B1043" s="23" t="s">
        <v>5442</v>
      </c>
      <c r="C1043" s="140">
        <v>44522</v>
      </c>
      <c r="F1043" s="23" t="s">
        <v>1723</v>
      </c>
      <c r="G1043" s="23" t="s">
        <v>1724</v>
      </c>
      <c r="Q1043" s="141" t="s">
        <v>5438</v>
      </c>
      <c r="W1043" s="23" t="s">
        <v>5443</v>
      </c>
      <c r="Y1043" s="37">
        <v>14780</v>
      </c>
      <c r="Z1043" s="23">
        <v>73.599999999999994</v>
      </c>
      <c r="AB1043" s="23" t="s">
        <v>5444</v>
      </c>
      <c r="AC1043" s="23" t="s">
        <v>5445</v>
      </c>
      <c r="AD1043" s="118"/>
      <c r="AE1043" s="118"/>
      <c r="AF1043" s="23" t="s">
        <v>3181</v>
      </c>
      <c r="AG1043" s="23" t="s">
        <v>1640</v>
      </c>
      <c r="AH1043" s="39">
        <v>44523</v>
      </c>
    </row>
    <row r="1044" spans="1:35" ht="96">
      <c r="A1044" s="104" t="s">
        <v>5446</v>
      </c>
      <c r="B1044" s="23" t="s">
        <v>5447</v>
      </c>
      <c r="C1044" s="140">
        <v>44515</v>
      </c>
      <c r="D1044" s="23" t="s">
        <v>729</v>
      </c>
      <c r="E1044" s="23" t="s">
        <v>752</v>
      </c>
      <c r="F1044" s="23" t="s">
        <v>2200</v>
      </c>
      <c r="G1044" s="23" t="s">
        <v>301</v>
      </c>
      <c r="H1044" s="23">
        <v>20378902</v>
      </c>
      <c r="I1044" s="23">
        <v>20378902</v>
      </c>
      <c r="J1044" s="140">
        <v>44513</v>
      </c>
      <c r="K1044" s="23" t="s">
        <v>5457</v>
      </c>
      <c r="L1044" s="140">
        <v>44517</v>
      </c>
      <c r="T1044" s="23" t="s">
        <v>305</v>
      </c>
      <c r="U1044" s="23" t="s">
        <v>305</v>
      </c>
      <c r="V1044" s="23" t="s">
        <v>299</v>
      </c>
      <c r="W1044" s="23" t="s">
        <v>4326</v>
      </c>
      <c r="AB1044" s="19" t="s">
        <v>5623</v>
      </c>
      <c r="AC1044" s="23">
        <v>12</v>
      </c>
      <c r="AD1044" s="118">
        <v>0</v>
      </c>
      <c r="AE1044" s="118">
        <v>6</v>
      </c>
      <c r="AF1044" s="23" t="s">
        <v>3193</v>
      </c>
      <c r="AG1044" s="23" t="s">
        <v>1553</v>
      </c>
      <c r="AH1044" s="39">
        <v>44523</v>
      </c>
      <c r="AI1044" s="53" t="s">
        <v>301</v>
      </c>
    </row>
    <row r="1045" spans="1:35">
      <c r="A1045" s="104" t="s">
        <v>5448</v>
      </c>
      <c r="B1045" s="23" t="s">
        <v>5449</v>
      </c>
      <c r="C1045" s="140">
        <v>44523</v>
      </c>
      <c r="D1045" s="23" t="s">
        <v>729</v>
      </c>
      <c r="E1045" s="23" t="s">
        <v>2919</v>
      </c>
      <c r="F1045" s="23" t="s">
        <v>1723</v>
      </c>
      <c r="G1045" s="23" t="s">
        <v>1724</v>
      </c>
      <c r="Q1045" s="141" t="s">
        <v>5438</v>
      </c>
      <c r="T1045" s="23" t="s">
        <v>3715</v>
      </c>
      <c r="U1045" s="23" t="s">
        <v>3715</v>
      </c>
      <c r="V1045" s="23" t="s">
        <v>298</v>
      </c>
      <c r="W1045" s="23" t="s">
        <v>5450</v>
      </c>
      <c r="Y1045" s="37">
        <v>11740</v>
      </c>
      <c r="Z1045" s="23">
        <v>73.599999999999994</v>
      </c>
      <c r="AB1045" s="23" t="s">
        <v>5451</v>
      </c>
      <c r="AC1045" s="23" t="s">
        <v>5452</v>
      </c>
      <c r="AD1045" s="118">
        <v>0</v>
      </c>
      <c r="AE1045" s="118">
        <v>2</v>
      </c>
      <c r="AF1045" s="23" t="s">
        <v>3181</v>
      </c>
      <c r="AG1045" s="23" t="s">
        <v>666</v>
      </c>
      <c r="AH1045" s="39">
        <v>44524</v>
      </c>
    </row>
    <row r="1046" spans="1:35">
      <c r="A1046" s="104" t="s">
        <v>5453</v>
      </c>
      <c r="B1046" s="23" t="s">
        <v>5454</v>
      </c>
      <c r="C1046" s="140">
        <v>44520</v>
      </c>
      <c r="F1046" s="23" t="s">
        <v>1723</v>
      </c>
      <c r="G1046" s="23" t="s">
        <v>1724</v>
      </c>
      <c r="Q1046" s="141" t="s">
        <v>5438</v>
      </c>
      <c r="W1046" s="23" t="s">
        <v>5100</v>
      </c>
      <c r="Y1046" s="37">
        <v>14660</v>
      </c>
      <c r="Z1046" s="23">
        <v>73</v>
      </c>
      <c r="AB1046" s="23" t="s">
        <v>5455</v>
      </c>
      <c r="AC1046" s="23" t="s">
        <v>5456</v>
      </c>
      <c r="AD1046" s="118"/>
      <c r="AE1046" s="118"/>
      <c r="AF1046" s="23" t="s">
        <v>3193</v>
      </c>
      <c r="AG1046" s="23" t="s">
        <v>666</v>
      </c>
      <c r="AH1046" s="39">
        <v>44524</v>
      </c>
    </row>
    <row r="1047" spans="1:35" ht="32">
      <c r="A1047" s="104" t="s">
        <v>5461</v>
      </c>
      <c r="B1047" s="23" t="s">
        <v>5462</v>
      </c>
      <c r="C1047" s="140">
        <v>44501</v>
      </c>
      <c r="D1047" s="23" t="s">
        <v>729</v>
      </c>
      <c r="E1047" s="23" t="s">
        <v>752</v>
      </c>
      <c r="F1047" s="23" t="s">
        <v>2166</v>
      </c>
      <c r="G1047" s="23" t="s">
        <v>5463</v>
      </c>
      <c r="P1047" s="19" t="s">
        <v>5465</v>
      </c>
      <c r="Q1047" s="141" t="s">
        <v>5464</v>
      </c>
      <c r="T1047" s="23" t="s">
        <v>305</v>
      </c>
      <c r="U1047" s="23" t="s">
        <v>305</v>
      </c>
      <c r="V1047" s="23" t="s">
        <v>298</v>
      </c>
      <c r="W1047" s="23" t="s">
        <v>5466</v>
      </c>
      <c r="Y1047" s="23">
        <v>3112</v>
      </c>
      <c r="Z1047" s="23">
        <v>41.777000000000001</v>
      </c>
      <c r="AB1047" s="23" t="s">
        <v>5467</v>
      </c>
      <c r="AC1047" s="23" t="s">
        <v>5468</v>
      </c>
      <c r="AD1047" s="118">
        <v>0</v>
      </c>
      <c r="AE1047" s="118">
        <v>1</v>
      </c>
      <c r="AF1047" s="23" t="s">
        <v>3193</v>
      </c>
      <c r="AG1047" s="23" t="s">
        <v>5469</v>
      </c>
      <c r="AH1047" s="39">
        <v>44527</v>
      </c>
    </row>
    <row r="1048" spans="1:35" ht="32">
      <c r="A1048" s="104" t="s">
        <v>5470</v>
      </c>
      <c r="B1048" s="23" t="s">
        <v>5471</v>
      </c>
      <c r="C1048" s="140">
        <v>44520</v>
      </c>
      <c r="D1048" s="23" t="s">
        <v>729</v>
      </c>
      <c r="E1048" s="23" t="s">
        <v>752</v>
      </c>
      <c r="F1048" s="23" t="s">
        <v>5472</v>
      </c>
      <c r="G1048" s="23" t="s">
        <v>5538</v>
      </c>
      <c r="H1048" s="23" t="s">
        <v>5473</v>
      </c>
      <c r="I1048" s="23" t="s">
        <v>5473</v>
      </c>
      <c r="J1048" s="140">
        <v>44496</v>
      </c>
      <c r="P1048" s="23" t="s">
        <v>5474</v>
      </c>
      <c r="Q1048" s="141" t="s">
        <v>5475</v>
      </c>
      <c r="T1048" s="23" t="s">
        <v>12031</v>
      </c>
      <c r="U1048" s="23" t="s">
        <v>12031</v>
      </c>
      <c r="V1048" s="23" t="s">
        <v>299</v>
      </c>
      <c r="W1048" s="23" t="s">
        <v>5476</v>
      </c>
      <c r="Y1048" s="23">
        <v>6240</v>
      </c>
      <c r="Z1048" s="23">
        <v>91.64</v>
      </c>
      <c r="AB1048" s="60" t="s">
        <v>5477</v>
      </c>
      <c r="AC1048" s="23">
        <v>4</v>
      </c>
      <c r="AD1048" s="118">
        <v>0</v>
      </c>
      <c r="AE1048" s="118">
        <v>2</v>
      </c>
      <c r="AF1048" s="23" t="s">
        <v>5478</v>
      </c>
      <c r="AG1048" s="23" t="s">
        <v>3856</v>
      </c>
      <c r="AH1048" s="39">
        <v>44527</v>
      </c>
      <c r="AI1048" s="53" t="s">
        <v>4255</v>
      </c>
    </row>
    <row r="1049" spans="1:35">
      <c r="A1049" s="104" t="s">
        <v>5481</v>
      </c>
      <c r="B1049" s="23" t="s">
        <v>5482</v>
      </c>
      <c r="C1049" s="140">
        <v>44489</v>
      </c>
      <c r="D1049" s="23" t="s">
        <v>729</v>
      </c>
      <c r="E1049" s="23" t="s">
        <v>752</v>
      </c>
      <c r="F1049" s="23" t="s">
        <v>4899</v>
      </c>
      <c r="G1049" s="23" t="s">
        <v>1724</v>
      </c>
      <c r="P1049" s="23" t="s">
        <v>5483</v>
      </c>
      <c r="Q1049" s="141" t="s">
        <v>5484</v>
      </c>
      <c r="T1049" s="23" t="s">
        <v>12031</v>
      </c>
      <c r="U1049" s="23" t="s">
        <v>12031</v>
      </c>
      <c r="V1049" s="23" t="s">
        <v>298</v>
      </c>
      <c r="W1049" s="23" t="s">
        <v>5486</v>
      </c>
      <c r="Y1049" s="23">
        <v>1810</v>
      </c>
      <c r="AB1049" s="23" t="s">
        <v>5487</v>
      </c>
      <c r="AC1049" s="23" t="s">
        <v>1696</v>
      </c>
      <c r="AD1049" s="118">
        <v>1</v>
      </c>
      <c r="AE1049" s="118">
        <v>0</v>
      </c>
      <c r="AF1049" s="23" t="s">
        <v>3451</v>
      </c>
      <c r="AG1049" s="23" t="s">
        <v>2790</v>
      </c>
      <c r="AH1049" s="39">
        <v>44529</v>
      </c>
    </row>
    <row r="1050" spans="1:35">
      <c r="A1050" s="104" t="s">
        <v>5488</v>
      </c>
      <c r="B1050" s="23" t="s">
        <v>5491</v>
      </c>
      <c r="C1050" s="140">
        <v>44465</v>
      </c>
      <c r="D1050" s="23" t="s">
        <v>729</v>
      </c>
      <c r="E1050" s="23" t="s">
        <v>752</v>
      </c>
      <c r="F1050" s="23" t="s">
        <v>4899</v>
      </c>
      <c r="G1050" s="23" t="s">
        <v>1724</v>
      </c>
      <c r="P1050" s="23" t="s">
        <v>5483</v>
      </c>
      <c r="Q1050" s="141" t="s">
        <v>5484</v>
      </c>
      <c r="T1050" s="23" t="s">
        <v>12031</v>
      </c>
      <c r="U1050" s="23" t="s">
        <v>12031</v>
      </c>
      <c r="V1050" s="23" t="s">
        <v>298</v>
      </c>
      <c r="W1050" s="23" t="s">
        <v>5489</v>
      </c>
      <c r="Y1050" s="38">
        <v>1900</v>
      </c>
      <c r="AB1050" s="23" t="s">
        <v>5490</v>
      </c>
      <c r="AC1050" s="23" t="s">
        <v>131</v>
      </c>
      <c r="AD1050" s="118">
        <v>1</v>
      </c>
      <c r="AE1050" s="118">
        <v>0</v>
      </c>
      <c r="AF1050" s="23" t="s">
        <v>4512</v>
      </c>
      <c r="AG1050" s="23" t="s">
        <v>3913</v>
      </c>
      <c r="AH1050" s="39">
        <v>44529</v>
      </c>
    </row>
    <row r="1051" spans="1:35">
      <c r="A1051" s="104" t="s">
        <v>5492</v>
      </c>
      <c r="B1051" s="23" t="s">
        <v>5493</v>
      </c>
      <c r="C1051" s="140">
        <v>44530</v>
      </c>
      <c r="D1051" s="23" t="s">
        <v>729</v>
      </c>
      <c r="E1051" s="23" t="s">
        <v>2919</v>
      </c>
      <c r="F1051" s="23" t="s">
        <v>1723</v>
      </c>
      <c r="G1051" s="23" t="s">
        <v>1724</v>
      </c>
      <c r="Q1051" s="141" t="s">
        <v>5494</v>
      </c>
      <c r="T1051" s="23" t="s">
        <v>3715</v>
      </c>
      <c r="U1051" s="23" t="s">
        <v>3715</v>
      </c>
      <c r="V1051" s="23" t="s">
        <v>298</v>
      </c>
      <c r="W1051" s="23" t="s">
        <v>5077</v>
      </c>
      <c r="Y1051" s="37">
        <v>11020</v>
      </c>
      <c r="Z1051" s="23">
        <v>73.400000000000006</v>
      </c>
      <c r="AB1051" s="23" t="s">
        <v>5495</v>
      </c>
      <c r="AC1051" s="23" t="s">
        <v>5496</v>
      </c>
      <c r="AD1051" s="118">
        <v>0</v>
      </c>
      <c r="AE1051" s="118">
        <v>2</v>
      </c>
      <c r="AF1051" s="23" t="s">
        <v>3181</v>
      </c>
      <c r="AG1051" s="23" t="s">
        <v>666</v>
      </c>
      <c r="AH1051" s="39">
        <v>44531</v>
      </c>
    </row>
    <row r="1052" spans="1:35">
      <c r="A1052" s="104" t="s">
        <v>5497</v>
      </c>
      <c r="B1052" s="23" t="s">
        <v>5498</v>
      </c>
      <c r="C1052" s="140">
        <v>44526</v>
      </c>
      <c r="F1052" s="23" t="s">
        <v>1723</v>
      </c>
      <c r="G1052" s="23" t="s">
        <v>1724</v>
      </c>
      <c r="Q1052" s="141" t="s">
        <v>5494</v>
      </c>
      <c r="W1052" s="23" t="s">
        <v>3150</v>
      </c>
      <c r="Y1052" s="37">
        <v>12300</v>
      </c>
      <c r="Z1052" s="23">
        <v>44</v>
      </c>
      <c r="AB1052" s="23" t="s">
        <v>5499</v>
      </c>
      <c r="AC1052" s="23" t="s">
        <v>5500</v>
      </c>
      <c r="AD1052" s="118"/>
      <c r="AE1052" s="118"/>
      <c r="AF1052" s="23" t="s">
        <v>3297</v>
      </c>
      <c r="AG1052" s="23" t="s">
        <v>637</v>
      </c>
      <c r="AH1052" s="39">
        <v>44531</v>
      </c>
    </row>
    <row r="1053" spans="1:35">
      <c r="A1053" s="104" t="s">
        <v>5501</v>
      </c>
      <c r="B1053" s="23" t="s">
        <v>5513</v>
      </c>
      <c r="C1053" s="140">
        <v>44521</v>
      </c>
      <c r="D1053" s="23" t="s">
        <v>729</v>
      </c>
      <c r="E1053" s="23" t="s">
        <v>752</v>
      </c>
      <c r="F1053" s="23" t="s">
        <v>4899</v>
      </c>
      <c r="G1053" s="23" t="s">
        <v>1724</v>
      </c>
      <c r="P1053" s="23" t="s">
        <v>5515</v>
      </c>
      <c r="Q1053" s="141" t="s">
        <v>5514</v>
      </c>
      <c r="T1053" s="23" t="s">
        <v>12031</v>
      </c>
      <c r="U1053" s="23" t="s">
        <v>12031</v>
      </c>
      <c r="V1053" s="23" t="s">
        <v>298</v>
      </c>
      <c r="W1053" s="23" t="s">
        <v>498</v>
      </c>
      <c r="Y1053" s="23">
        <v>13520</v>
      </c>
      <c r="Z1053" s="23">
        <v>50.9</v>
      </c>
      <c r="AB1053" s="23" t="s">
        <v>5516</v>
      </c>
      <c r="AC1053" s="23" t="s">
        <v>5517</v>
      </c>
      <c r="AD1053" s="118">
        <v>0</v>
      </c>
      <c r="AE1053" s="118">
        <v>1</v>
      </c>
      <c r="AF1053" s="23" t="s">
        <v>3297</v>
      </c>
      <c r="AG1053" s="23" t="s">
        <v>5518</v>
      </c>
      <c r="AH1053" s="39">
        <v>44532</v>
      </c>
    </row>
    <row r="1054" spans="1:35">
      <c r="A1054" s="104" t="s">
        <v>5502</v>
      </c>
      <c r="B1054" s="23" t="s">
        <v>5519</v>
      </c>
      <c r="C1054" s="140">
        <v>44531</v>
      </c>
      <c r="D1054" s="23" t="s">
        <v>729</v>
      </c>
      <c r="E1054" s="23" t="s">
        <v>2919</v>
      </c>
      <c r="F1054" s="23" t="s">
        <v>1723</v>
      </c>
      <c r="G1054" s="23" t="s">
        <v>1724</v>
      </c>
      <c r="Q1054" s="141" t="s">
        <v>5508</v>
      </c>
      <c r="T1054" s="23" t="s">
        <v>3715</v>
      </c>
      <c r="U1054" s="23" t="s">
        <v>3715</v>
      </c>
      <c r="V1054" s="23" t="s">
        <v>298</v>
      </c>
      <c r="W1054" s="23" t="s">
        <v>5443</v>
      </c>
      <c r="Y1054" s="23">
        <v>14250</v>
      </c>
      <c r="Z1054" s="23">
        <v>73</v>
      </c>
      <c r="AB1054" s="23" t="s">
        <v>5520</v>
      </c>
      <c r="AC1054" s="23" t="s">
        <v>5254</v>
      </c>
      <c r="AD1054" s="118">
        <v>0</v>
      </c>
      <c r="AE1054" s="118">
        <v>3</v>
      </c>
      <c r="AF1054" s="23" t="s">
        <v>3181</v>
      </c>
      <c r="AG1054" s="23" t="s">
        <v>1640</v>
      </c>
      <c r="AH1054" s="39">
        <v>44532</v>
      </c>
    </row>
    <row r="1055" spans="1:35">
      <c r="A1055" s="104" t="s">
        <v>5503</v>
      </c>
      <c r="B1055" s="23" t="s">
        <v>5521</v>
      </c>
      <c r="C1055" s="140">
        <v>44531</v>
      </c>
      <c r="F1055" s="23" t="s">
        <v>1723</v>
      </c>
      <c r="G1055" s="23" t="s">
        <v>1724</v>
      </c>
      <c r="Q1055" s="141" t="s">
        <v>5508</v>
      </c>
      <c r="W1055" s="23" t="s">
        <v>5073</v>
      </c>
      <c r="Y1055" s="23">
        <v>11800</v>
      </c>
      <c r="Z1055" s="23">
        <v>73</v>
      </c>
      <c r="AB1055" s="23" t="s">
        <v>5522</v>
      </c>
      <c r="AC1055" s="23" t="s">
        <v>5381</v>
      </c>
      <c r="AD1055" s="118"/>
      <c r="AE1055" s="118"/>
      <c r="AF1055" s="23" t="s">
        <v>3181</v>
      </c>
      <c r="AG1055" s="23" t="s">
        <v>665</v>
      </c>
      <c r="AH1055" s="39">
        <v>44532</v>
      </c>
    </row>
    <row r="1056" spans="1:35">
      <c r="A1056" s="104" t="s">
        <v>5504</v>
      </c>
      <c r="B1056" s="23" t="s">
        <v>5523</v>
      </c>
      <c r="C1056" s="140">
        <v>44531</v>
      </c>
      <c r="F1056" s="23" t="s">
        <v>1723</v>
      </c>
      <c r="G1056" s="23" t="s">
        <v>1724</v>
      </c>
      <c r="Q1056" s="141" t="s">
        <v>5508</v>
      </c>
      <c r="W1056" s="23" t="s">
        <v>5100</v>
      </c>
      <c r="Y1056" s="23">
        <v>15600</v>
      </c>
      <c r="Z1056" s="23">
        <v>72.8</v>
      </c>
      <c r="AB1056" s="23" t="s">
        <v>5524</v>
      </c>
      <c r="AC1056" s="23" t="s">
        <v>5202</v>
      </c>
      <c r="AD1056" s="118"/>
      <c r="AE1056" s="118"/>
      <c r="AF1056" s="23" t="s">
        <v>3181</v>
      </c>
      <c r="AG1056" s="23" t="s">
        <v>666</v>
      </c>
      <c r="AH1056" s="39">
        <v>44532</v>
      </c>
    </row>
    <row r="1057" spans="1:35" ht="64">
      <c r="A1057" s="104" t="s">
        <v>5505</v>
      </c>
      <c r="B1057" s="23" t="s">
        <v>5507</v>
      </c>
      <c r="C1057" s="140">
        <v>44530</v>
      </c>
      <c r="D1057" s="23" t="s">
        <v>729</v>
      </c>
      <c r="E1057" s="23" t="s">
        <v>2919</v>
      </c>
      <c r="F1057" s="23" t="s">
        <v>1723</v>
      </c>
      <c r="G1057" s="23" t="s">
        <v>1724</v>
      </c>
      <c r="Q1057" s="141" t="s">
        <v>5508</v>
      </c>
      <c r="T1057" s="23" t="s">
        <v>3715</v>
      </c>
      <c r="U1057" s="23" t="s">
        <v>3715</v>
      </c>
      <c r="V1057" s="23" t="s">
        <v>298</v>
      </c>
      <c r="W1057" s="23" t="s">
        <v>3288</v>
      </c>
      <c r="Y1057" s="37">
        <v>14880</v>
      </c>
      <c r="Z1057" s="23">
        <v>135.9</v>
      </c>
      <c r="AB1057" s="19" t="s">
        <v>5509</v>
      </c>
      <c r="AC1057" s="23" t="s">
        <v>5510</v>
      </c>
      <c r="AD1057" s="118">
        <v>0</v>
      </c>
      <c r="AE1057" s="118">
        <v>3</v>
      </c>
      <c r="AF1057" s="19" t="s">
        <v>3208</v>
      </c>
      <c r="AG1057" s="23" t="s">
        <v>637</v>
      </c>
      <c r="AH1057" s="39">
        <v>44532</v>
      </c>
    </row>
    <row r="1058" spans="1:35">
      <c r="A1058" s="104" t="s">
        <v>5506</v>
      </c>
      <c r="B1058" s="23" t="s">
        <v>5511</v>
      </c>
      <c r="C1058" s="140">
        <v>44530</v>
      </c>
      <c r="F1058" s="23" t="s">
        <v>1723</v>
      </c>
      <c r="G1058" s="23" t="s">
        <v>1724</v>
      </c>
      <c r="Q1058" s="141" t="s">
        <v>5508</v>
      </c>
      <c r="W1058" s="23" t="s">
        <v>5100</v>
      </c>
      <c r="Y1058" s="37">
        <v>12870</v>
      </c>
      <c r="Z1058" s="23">
        <v>68</v>
      </c>
      <c r="AB1058" s="23" t="s">
        <v>5512</v>
      </c>
      <c r="AC1058" s="23" t="s">
        <v>3447</v>
      </c>
      <c r="AD1058" s="118"/>
      <c r="AE1058" s="118"/>
      <c r="AF1058" s="23" t="s">
        <v>3193</v>
      </c>
      <c r="AG1058" s="23" t="s">
        <v>666</v>
      </c>
      <c r="AH1058" s="39">
        <v>44532</v>
      </c>
    </row>
    <row r="1059" spans="1:35">
      <c r="A1059" s="104" t="s">
        <v>5525</v>
      </c>
      <c r="B1059" s="23" t="s">
        <v>5526</v>
      </c>
      <c r="C1059" s="140">
        <v>44532</v>
      </c>
      <c r="D1059" s="23" t="s">
        <v>729</v>
      </c>
      <c r="E1059" s="23" t="s">
        <v>2919</v>
      </c>
      <c r="F1059" s="23" t="s">
        <v>1723</v>
      </c>
      <c r="G1059" s="23" t="s">
        <v>1724</v>
      </c>
      <c r="Q1059" s="141" t="s">
        <v>5527</v>
      </c>
      <c r="T1059" s="23" t="s">
        <v>3715</v>
      </c>
      <c r="U1059" s="23" t="s">
        <v>3715</v>
      </c>
      <c r="V1059" s="23" t="s">
        <v>298</v>
      </c>
      <c r="W1059" s="23" t="s">
        <v>5166</v>
      </c>
      <c r="Y1059" s="37">
        <v>14250</v>
      </c>
      <c r="Z1059" s="23">
        <v>73.2</v>
      </c>
      <c r="AB1059" s="23" t="s">
        <v>5528</v>
      </c>
      <c r="AC1059" s="23" t="s">
        <v>5254</v>
      </c>
      <c r="AD1059" s="118">
        <v>0</v>
      </c>
      <c r="AE1059" s="118">
        <v>1</v>
      </c>
      <c r="AF1059" s="23" t="s">
        <v>3181</v>
      </c>
      <c r="AG1059" s="23" t="s">
        <v>1640</v>
      </c>
      <c r="AH1059" s="39">
        <v>44533</v>
      </c>
    </row>
    <row r="1060" spans="1:35" ht="80">
      <c r="A1060" s="104" t="s">
        <v>5531</v>
      </c>
      <c r="B1060" s="23" t="s">
        <v>5532</v>
      </c>
      <c r="C1060" s="140">
        <v>44505</v>
      </c>
      <c r="D1060" s="23" t="s">
        <v>729</v>
      </c>
      <c r="E1060" s="23" t="s">
        <v>752</v>
      </c>
      <c r="F1060" s="23" t="s">
        <v>4899</v>
      </c>
      <c r="G1060" s="23" t="s">
        <v>1724</v>
      </c>
      <c r="P1060" s="23" t="s">
        <v>5533</v>
      </c>
      <c r="Q1060" s="141" t="s">
        <v>5527</v>
      </c>
      <c r="T1060" s="23" t="s">
        <v>12031</v>
      </c>
      <c r="U1060" s="23" t="s">
        <v>12031</v>
      </c>
      <c r="V1060" s="23" t="s">
        <v>298</v>
      </c>
      <c r="W1060" s="19" t="s">
        <v>5534</v>
      </c>
      <c r="Y1060" s="23">
        <v>2515</v>
      </c>
      <c r="AB1060" s="23" t="s">
        <v>5535</v>
      </c>
      <c r="AC1060" s="23" t="s">
        <v>5536</v>
      </c>
      <c r="AD1060" s="118">
        <v>1</v>
      </c>
      <c r="AE1060" s="118">
        <v>0</v>
      </c>
      <c r="AF1060" s="23" t="s">
        <v>3451</v>
      </c>
      <c r="AG1060" s="23" t="s">
        <v>5537</v>
      </c>
      <c r="AH1060" s="39">
        <v>44533</v>
      </c>
    </row>
    <row r="1061" spans="1:35">
      <c r="A1061" s="75" t="s">
        <v>5539</v>
      </c>
      <c r="B1061" s="23" t="s">
        <v>5540</v>
      </c>
      <c r="C1061" s="140">
        <v>44534</v>
      </c>
      <c r="D1061" s="23" t="s">
        <v>729</v>
      </c>
      <c r="E1061" s="23" t="s">
        <v>2919</v>
      </c>
      <c r="F1061" s="23" t="s">
        <v>1723</v>
      </c>
      <c r="G1061" s="23" t="s">
        <v>1724</v>
      </c>
      <c r="Q1061" s="141" t="s">
        <v>5541</v>
      </c>
      <c r="T1061" s="23" t="s">
        <v>3715</v>
      </c>
      <c r="U1061" s="23" t="s">
        <v>3715</v>
      </c>
      <c r="V1061" s="23" t="s">
        <v>298</v>
      </c>
      <c r="W1061" s="23" t="s">
        <v>5073</v>
      </c>
      <c r="Y1061" s="37">
        <v>11200</v>
      </c>
      <c r="Z1061" s="23">
        <v>73.2</v>
      </c>
      <c r="AB1061" s="23" t="s">
        <v>5542</v>
      </c>
      <c r="AC1061" s="23" t="s">
        <v>5543</v>
      </c>
      <c r="AD1061" s="118">
        <v>0</v>
      </c>
      <c r="AE1061" s="118">
        <v>2</v>
      </c>
      <c r="AF1061" s="23" t="s">
        <v>3181</v>
      </c>
      <c r="AG1061" s="23" t="s">
        <v>665</v>
      </c>
      <c r="AH1061" s="39">
        <v>44536</v>
      </c>
    </row>
    <row r="1062" spans="1:35">
      <c r="A1062" s="75" t="s">
        <v>5544</v>
      </c>
      <c r="B1062" s="23" t="s">
        <v>5545</v>
      </c>
      <c r="C1062" s="140">
        <v>44535</v>
      </c>
      <c r="F1062" s="23" t="s">
        <v>1723</v>
      </c>
      <c r="G1062" s="23" t="s">
        <v>1724</v>
      </c>
      <c r="Q1062" s="141" t="s">
        <v>5541</v>
      </c>
      <c r="W1062" s="23" t="s">
        <v>3288</v>
      </c>
      <c r="Y1062" s="37">
        <v>8006</v>
      </c>
      <c r="Z1062" s="23">
        <v>73.400000000000006</v>
      </c>
      <c r="AB1062" s="23" t="s">
        <v>5546</v>
      </c>
      <c r="AC1062" s="23" t="s">
        <v>5547</v>
      </c>
      <c r="AD1062" s="118"/>
      <c r="AE1062" s="118"/>
      <c r="AF1062" s="23" t="s">
        <v>3181</v>
      </c>
      <c r="AG1062" s="23" t="s">
        <v>637</v>
      </c>
      <c r="AH1062" s="39">
        <v>44536</v>
      </c>
    </row>
    <row r="1063" spans="1:35">
      <c r="A1063" s="75" t="s">
        <v>5548</v>
      </c>
      <c r="B1063" s="23" t="s">
        <v>5549</v>
      </c>
      <c r="C1063" s="140">
        <v>44535</v>
      </c>
      <c r="D1063" s="23" t="s">
        <v>729</v>
      </c>
      <c r="E1063" s="23" t="s">
        <v>2919</v>
      </c>
      <c r="F1063" s="23" t="s">
        <v>1723</v>
      </c>
      <c r="G1063" s="23" t="s">
        <v>1724</v>
      </c>
      <c r="Q1063" s="141" t="s">
        <v>5550</v>
      </c>
      <c r="T1063" s="23" t="s">
        <v>3715</v>
      </c>
      <c r="U1063" s="23" t="s">
        <v>3715</v>
      </c>
      <c r="V1063" s="23" t="s">
        <v>298</v>
      </c>
      <c r="W1063" s="23" t="s">
        <v>5166</v>
      </c>
      <c r="Y1063" s="37">
        <v>13000</v>
      </c>
      <c r="Z1063" s="23">
        <v>73</v>
      </c>
      <c r="AB1063" s="23" t="s">
        <v>5551</v>
      </c>
      <c r="AC1063" s="23" t="s">
        <v>5552</v>
      </c>
      <c r="AD1063" s="118">
        <v>0</v>
      </c>
      <c r="AE1063" s="118">
        <v>1</v>
      </c>
      <c r="AF1063" s="23" t="s">
        <v>3181</v>
      </c>
      <c r="AG1063" s="23" t="s">
        <v>1640</v>
      </c>
      <c r="AH1063" s="39">
        <v>44536</v>
      </c>
    </row>
    <row r="1064" spans="1:35" ht="128">
      <c r="A1064" s="75" t="s">
        <v>5553</v>
      </c>
      <c r="B1064" s="23" t="s">
        <v>5554</v>
      </c>
      <c r="C1064" s="140">
        <v>44531</v>
      </c>
      <c r="D1064" s="23" t="s">
        <v>729</v>
      </c>
      <c r="E1064" s="23" t="s">
        <v>752</v>
      </c>
      <c r="F1064" s="23" t="s">
        <v>2200</v>
      </c>
      <c r="G1064" s="23" t="s">
        <v>301</v>
      </c>
      <c r="H1064" s="23">
        <v>20378667</v>
      </c>
      <c r="I1064" s="23">
        <v>20378667</v>
      </c>
      <c r="J1064" s="140">
        <v>44526</v>
      </c>
      <c r="K1064" s="23" t="s">
        <v>5555</v>
      </c>
      <c r="L1064" s="140">
        <v>44533</v>
      </c>
      <c r="T1064" s="23" t="s">
        <v>305</v>
      </c>
      <c r="U1064" s="23" t="s">
        <v>305</v>
      </c>
      <c r="V1064" s="23" t="s">
        <v>299</v>
      </c>
      <c r="W1064" s="23" t="s">
        <v>5556</v>
      </c>
      <c r="Y1064" s="23">
        <v>31680</v>
      </c>
      <c r="Z1064" s="23">
        <v>304.44</v>
      </c>
      <c r="AB1064" s="19" t="s">
        <v>5735</v>
      </c>
      <c r="AC1064" s="23">
        <v>24</v>
      </c>
      <c r="AD1064" s="118">
        <v>0</v>
      </c>
      <c r="AE1064" s="118">
        <v>8</v>
      </c>
      <c r="AG1064" s="23" t="s">
        <v>659</v>
      </c>
      <c r="AH1064" s="39">
        <v>44537</v>
      </c>
      <c r="AI1064" s="53" t="s">
        <v>301</v>
      </c>
    </row>
    <row r="1065" spans="1:35" ht="128">
      <c r="A1065" s="75" t="s">
        <v>5557</v>
      </c>
      <c r="B1065" s="23" t="s">
        <v>5558</v>
      </c>
      <c r="C1065" s="140">
        <v>44531</v>
      </c>
      <c r="D1065" s="23" t="s">
        <v>729</v>
      </c>
      <c r="E1065" s="23" t="s">
        <v>752</v>
      </c>
      <c r="F1065" s="23" t="s">
        <v>2200</v>
      </c>
      <c r="G1065" s="23" t="s">
        <v>301</v>
      </c>
      <c r="H1065" s="23">
        <v>20378658</v>
      </c>
      <c r="I1065" s="23">
        <v>20378658</v>
      </c>
      <c r="J1065" s="140">
        <v>44526</v>
      </c>
      <c r="K1065" s="23" t="s">
        <v>5559</v>
      </c>
      <c r="L1065" s="140">
        <v>44533</v>
      </c>
      <c r="T1065" s="23" t="s">
        <v>305</v>
      </c>
      <c r="U1065" s="23" t="s">
        <v>305</v>
      </c>
      <c r="V1065" s="23" t="s">
        <v>299</v>
      </c>
      <c r="W1065" s="23" t="s">
        <v>5556</v>
      </c>
      <c r="Y1065" s="23">
        <v>31680</v>
      </c>
      <c r="Z1065" s="23">
        <v>304.44</v>
      </c>
      <c r="AB1065" s="19" t="s">
        <v>5734</v>
      </c>
      <c r="AC1065" s="23">
        <v>24</v>
      </c>
      <c r="AD1065" s="118">
        <v>0</v>
      </c>
      <c r="AE1065" s="118">
        <v>8</v>
      </c>
      <c r="AG1065" s="23" t="s">
        <v>659</v>
      </c>
      <c r="AH1065" s="39">
        <v>44537</v>
      </c>
      <c r="AI1065" s="53" t="s">
        <v>301</v>
      </c>
    </row>
    <row r="1066" spans="1:35">
      <c r="A1066" s="75" t="s">
        <v>5560</v>
      </c>
      <c r="B1066" s="23" t="s">
        <v>5561</v>
      </c>
      <c r="C1066" s="140">
        <v>44470</v>
      </c>
      <c r="D1066" s="23" t="s">
        <v>729</v>
      </c>
      <c r="E1066" s="23" t="s">
        <v>752</v>
      </c>
      <c r="F1066" s="23" t="s">
        <v>4899</v>
      </c>
      <c r="G1066" s="23" t="s">
        <v>1724</v>
      </c>
      <c r="P1066" s="23" t="s">
        <v>5172</v>
      </c>
      <c r="Q1066" s="141" t="s">
        <v>5169</v>
      </c>
      <c r="T1066" s="23" t="s">
        <v>12031</v>
      </c>
      <c r="U1066" s="23" t="s">
        <v>12031</v>
      </c>
      <c r="V1066" s="23" t="s">
        <v>298</v>
      </c>
      <c r="W1066" s="23" t="s">
        <v>5562</v>
      </c>
      <c r="Y1066" s="38">
        <v>1900</v>
      </c>
      <c r="AB1066" s="23" t="s">
        <v>5563</v>
      </c>
      <c r="AC1066" s="23" t="s">
        <v>131</v>
      </c>
      <c r="AD1066" s="118">
        <v>1</v>
      </c>
      <c r="AE1066" s="118">
        <v>0</v>
      </c>
      <c r="AF1066" s="23" t="s">
        <v>4512</v>
      </c>
      <c r="AG1066" s="23" t="s">
        <v>3913</v>
      </c>
      <c r="AH1066" s="39">
        <v>44537</v>
      </c>
    </row>
    <row r="1067" spans="1:35">
      <c r="A1067" s="75" t="s">
        <v>5564</v>
      </c>
      <c r="B1067" s="23" t="s">
        <v>5565</v>
      </c>
      <c r="C1067" s="140">
        <v>44536</v>
      </c>
      <c r="D1067" s="23" t="s">
        <v>729</v>
      </c>
      <c r="E1067" s="23" t="s">
        <v>2919</v>
      </c>
      <c r="F1067" s="23" t="s">
        <v>1723</v>
      </c>
      <c r="G1067" s="23" t="s">
        <v>1724</v>
      </c>
      <c r="Q1067" s="141" t="s">
        <v>5550</v>
      </c>
      <c r="T1067" s="23" t="s">
        <v>3715</v>
      </c>
      <c r="U1067" s="23" t="s">
        <v>3715</v>
      </c>
      <c r="V1067" s="23" t="s">
        <v>298</v>
      </c>
      <c r="W1067" s="23" t="s">
        <v>5566</v>
      </c>
      <c r="Y1067" s="37">
        <v>15000</v>
      </c>
      <c r="Z1067" s="23">
        <v>73.400000000000006</v>
      </c>
      <c r="AB1067" s="23" t="s">
        <v>5567</v>
      </c>
      <c r="AC1067" s="23" t="s">
        <v>573</v>
      </c>
      <c r="AD1067" s="118">
        <v>0</v>
      </c>
      <c r="AE1067" s="118">
        <v>2</v>
      </c>
      <c r="AF1067" s="23" t="s">
        <v>3181</v>
      </c>
      <c r="AG1067" s="23" t="s">
        <v>666</v>
      </c>
      <c r="AH1067" s="39">
        <v>44537</v>
      </c>
    </row>
    <row r="1068" spans="1:35">
      <c r="A1068" s="75" t="s">
        <v>5569</v>
      </c>
      <c r="B1068" s="23" t="s">
        <v>5568</v>
      </c>
      <c r="C1068" s="140">
        <v>44535</v>
      </c>
      <c r="F1068" s="23" t="s">
        <v>1723</v>
      </c>
      <c r="G1068" s="23" t="s">
        <v>1724</v>
      </c>
      <c r="Q1068" s="141" t="s">
        <v>5550</v>
      </c>
      <c r="W1068" s="23" t="s">
        <v>5073</v>
      </c>
      <c r="Y1068" s="37">
        <v>11800</v>
      </c>
      <c r="Z1068" s="23">
        <v>73</v>
      </c>
      <c r="AB1068" s="23" t="s">
        <v>5570</v>
      </c>
      <c r="AC1068" s="23" t="s">
        <v>5381</v>
      </c>
      <c r="AD1068" s="118"/>
      <c r="AE1068" s="118"/>
      <c r="AF1068" s="23" t="s">
        <v>3181</v>
      </c>
      <c r="AG1068" s="23" t="s">
        <v>665</v>
      </c>
      <c r="AH1068" s="39">
        <v>44537</v>
      </c>
    </row>
    <row r="1069" spans="1:35">
      <c r="A1069" s="75" t="s">
        <v>5571</v>
      </c>
      <c r="B1069" s="23" t="s">
        <v>5572</v>
      </c>
      <c r="C1069" s="140">
        <v>44534</v>
      </c>
      <c r="D1069" s="23" t="s">
        <v>729</v>
      </c>
      <c r="E1069" s="23" t="s">
        <v>2919</v>
      </c>
      <c r="F1069" s="23" t="s">
        <v>1723</v>
      </c>
      <c r="G1069" s="23" t="s">
        <v>1724</v>
      </c>
      <c r="Q1069" s="141" t="s">
        <v>5582</v>
      </c>
      <c r="T1069" s="23" t="s">
        <v>3715</v>
      </c>
      <c r="U1069" s="23" t="s">
        <v>3715</v>
      </c>
      <c r="V1069" s="23" t="s">
        <v>298</v>
      </c>
      <c r="W1069" s="23" t="s">
        <v>3288</v>
      </c>
      <c r="Y1069" s="37">
        <v>7188</v>
      </c>
      <c r="Z1069" s="23">
        <v>68</v>
      </c>
      <c r="AB1069" s="23" t="s">
        <v>5573</v>
      </c>
      <c r="AC1069" s="23" t="s">
        <v>5574</v>
      </c>
      <c r="AD1069" s="118">
        <v>0</v>
      </c>
      <c r="AE1069" s="118">
        <v>2</v>
      </c>
      <c r="AF1069" s="23" t="s">
        <v>3193</v>
      </c>
      <c r="AG1069" s="23" t="s">
        <v>637</v>
      </c>
      <c r="AH1069" s="39">
        <v>44538</v>
      </c>
    </row>
    <row r="1070" spans="1:35">
      <c r="A1070" s="75" t="s">
        <v>5575</v>
      </c>
      <c r="B1070" s="23" t="s">
        <v>5576</v>
      </c>
      <c r="C1070" s="140">
        <v>44532</v>
      </c>
      <c r="F1070" s="23" t="s">
        <v>1723</v>
      </c>
      <c r="G1070" s="23" t="s">
        <v>1724</v>
      </c>
      <c r="W1070" s="23" t="s">
        <v>5443</v>
      </c>
      <c r="Y1070" s="37">
        <v>12150</v>
      </c>
      <c r="Z1070" s="23">
        <v>65</v>
      </c>
      <c r="AB1070" s="23" t="s">
        <v>5577</v>
      </c>
      <c r="AC1070" s="23" t="s">
        <v>5586</v>
      </c>
      <c r="AD1070" s="118"/>
      <c r="AE1070" s="118"/>
      <c r="AF1070" s="23" t="s">
        <v>3864</v>
      </c>
      <c r="AG1070" s="23" t="s">
        <v>1640</v>
      </c>
      <c r="AH1070" s="39">
        <v>44538</v>
      </c>
    </row>
    <row r="1071" spans="1:35" ht="48">
      <c r="A1071" s="75" t="s">
        <v>5579</v>
      </c>
      <c r="B1071" s="23" t="s">
        <v>5580</v>
      </c>
      <c r="C1071" s="140">
        <v>44519</v>
      </c>
      <c r="D1071" s="23" t="s">
        <v>729</v>
      </c>
      <c r="E1071" s="23" t="s">
        <v>752</v>
      </c>
      <c r="F1071" s="23" t="s">
        <v>5581</v>
      </c>
      <c r="G1071" s="23" t="s">
        <v>5463</v>
      </c>
      <c r="P1071" s="23" t="s">
        <v>5583</v>
      </c>
      <c r="Q1071" s="141" t="s">
        <v>5582</v>
      </c>
      <c r="T1071" s="23" t="s">
        <v>12031</v>
      </c>
      <c r="U1071" s="23" t="s">
        <v>12031</v>
      </c>
      <c r="V1071" s="23" t="s">
        <v>298</v>
      </c>
      <c r="W1071" s="23" t="s">
        <v>5587</v>
      </c>
      <c r="Y1071" s="23">
        <v>10000</v>
      </c>
      <c r="Z1071" s="23">
        <v>80</v>
      </c>
      <c r="AB1071" s="19" t="s">
        <v>5584</v>
      </c>
      <c r="AC1071" s="23" t="s">
        <v>1493</v>
      </c>
      <c r="AD1071" s="118">
        <v>0</v>
      </c>
      <c r="AE1071" s="118">
        <v>2</v>
      </c>
      <c r="AF1071" s="23" t="s">
        <v>3193</v>
      </c>
      <c r="AG1071" s="23" t="s">
        <v>5585</v>
      </c>
      <c r="AH1071" s="39">
        <v>44538</v>
      </c>
    </row>
    <row r="1072" spans="1:35" ht="48">
      <c r="A1072" s="75" t="s">
        <v>5588</v>
      </c>
      <c r="B1072" s="23" t="s">
        <v>5642</v>
      </c>
      <c r="C1072" s="140">
        <v>44538</v>
      </c>
      <c r="D1072" s="23" t="s">
        <v>729</v>
      </c>
      <c r="E1072" s="23" t="s">
        <v>752</v>
      </c>
      <c r="F1072" s="23" t="s">
        <v>2200</v>
      </c>
      <c r="G1072" s="23" t="s">
        <v>301</v>
      </c>
      <c r="H1072" s="23">
        <v>20382995</v>
      </c>
      <c r="I1072" s="23">
        <v>20382995</v>
      </c>
      <c r="J1072" s="140">
        <v>44536</v>
      </c>
      <c r="K1072" s="23" t="s">
        <v>5653</v>
      </c>
      <c r="L1072" s="140">
        <v>44543</v>
      </c>
      <c r="P1072" s="23" t="s">
        <v>5643</v>
      </c>
      <c r="Q1072" s="140" t="s">
        <v>5644</v>
      </c>
      <c r="T1072" s="23" t="s">
        <v>305</v>
      </c>
      <c r="U1072" s="23" t="s">
        <v>305</v>
      </c>
      <c r="V1072" s="23" t="s">
        <v>299</v>
      </c>
      <c r="W1072" s="23" t="s">
        <v>5645</v>
      </c>
      <c r="Y1072" s="37">
        <v>10050</v>
      </c>
      <c r="AB1072" s="19" t="s">
        <v>5866</v>
      </c>
      <c r="AC1072" s="23">
        <v>5</v>
      </c>
      <c r="AD1072" s="118">
        <v>1</v>
      </c>
      <c r="AE1072" s="118">
        <v>2</v>
      </c>
      <c r="AF1072" s="23" t="s">
        <v>5646</v>
      </c>
      <c r="AG1072" s="23" t="s">
        <v>1553</v>
      </c>
      <c r="AH1072" s="39">
        <v>44550</v>
      </c>
      <c r="AI1072" s="53" t="s">
        <v>301</v>
      </c>
    </row>
    <row r="1073" spans="1:35" ht="48">
      <c r="A1073" s="75" t="s">
        <v>5590</v>
      </c>
      <c r="B1073" s="23" t="s">
        <v>5591</v>
      </c>
      <c r="C1073" s="140">
        <v>44538</v>
      </c>
      <c r="D1073" s="23" t="s">
        <v>729</v>
      </c>
      <c r="E1073" s="23" t="s">
        <v>2919</v>
      </c>
      <c r="F1073" s="23" t="s">
        <v>1723</v>
      </c>
      <c r="G1073" s="23" t="s">
        <v>1724</v>
      </c>
      <c r="Q1073" s="141" t="s">
        <v>5582</v>
      </c>
      <c r="T1073" s="23" t="s">
        <v>3715</v>
      </c>
      <c r="U1073" s="23" t="s">
        <v>3715</v>
      </c>
      <c r="V1073" s="23" t="s">
        <v>298</v>
      </c>
      <c r="W1073" s="23" t="s">
        <v>3288</v>
      </c>
      <c r="Y1073" s="37">
        <v>14330</v>
      </c>
      <c r="Z1073" s="23">
        <v>135.6</v>
      </c>
      <c r="AB1073" s="19" t="s">
        <v>5592</v>
      </c>
      <c r="AC1073" s="23" t="s">
        <v>5593</v>
      </c>
      <c r="AD1073" s="118">
        <v>0</v>
      </c>
      <c r="AE1073" s="118">
        <v>3</v>
      </c>
      <c r="AF1073" s="19" t="s">
        <v>3214</v>
      </c>
      <c r="AG1073" s="23" t="s">
        <v>666</v>
      </c>
      <c r="AH1073" s="39">
        <v>44540</v>
      </c>
    </row>
    <row r="1074" spans="1:35">
      <c r="A1074" s="75" t="s">
        <v>5594</v>
      </c>
      <c r="B1074" s="23" t="s">
        <v>5595</v>
      </c>
      <c r="C1074" s="140">
        <v>44535</v>
      </c>
      <c r="F1074" s="23" t="s">
        <v>1723</v>
      </c>
      <c r="G1074" s="23" t="s">
        <v>1724</v>
      </c>
      <c r="Q1074" s="141" t="s">
        <v>5582</v>
      </c>
      <c r="W1074" s="23" t="s">
        <v>5443</v>
      </c>
      <c r="Y1074" s="37">
        <v>12700</v>
      </c>
      <c r="Z1074" s="23">
        <v>65</v>
      </c>
      <c r="AB1074" s="23" t="s">
        <v>5596</v>
      </c>
      <c r="AC1074" s="23" t="s">
        <v>5597</v>
      </c>
      <c r="AD1074" s="118"/>
      <c r="AE1074" s="118"/>
      <c r="AF1074" s="23" t="s">
        <v>3864</v>
      </c>
      <c r="AG1074" s="23" t="s">
        <v>1640</v>
      </c>
      <c r="AH1074" s="39">
        <v>44540</v>
      </c>
    </row>
    <row r="1075" spans="1:35">
      <c r="A1075" s="75" t="s">
        <v>5598</v>
      </c>
      <c r="B1075" s="23" t="s">
        <v>5599</v>
      </c>
      <c r="C1075" s="140">
        <v>44523</v>
      </c>
      <c r="D1075" s="23" t="s">
        <v>729</v>
      </c>
      <c r="E1075" s="23" t="s">
        <v>752</v>
      </c>
      <c r="F1075" s="23" t="s">
        <v>2200</v>
      </c>
      <c r="G1075" s="23" t="s">
        <v>301</v>
      </c>
      <c r="H1075" s="23">
        <v>55007360</v>
      </c>
      <c r="I1075" s="23">
        <v>55007360</v>
      </c>
      <c r="J1075" s="140">
        <v>44513</v>
      </c>
      <c r="K1075" s="23" t="s">
        <v>5600</v>
      </c>
      <c r="L1075" s="140">
        <v>44524</v>
      </c>
      <c r="P1075" s="23" t="s">
        <v>5638</v>
      </c>
      <c r="Q1075" s="141" t="s">
        <v>5639</v>
      </c>
      <c r="T1075" s="23" t="s">
        <v>305</v>
      </c>
      <c r="U1075" s="23" t="s">
        <v>305</v>
      </c>
      <c r="V1075" s="23" t="s">
        <v>298</v>
      </c>
      <c r="W1075" s="23" t="s">
        <v>3141</v>
      </c>
      <c r="Y1075" s="23">
        <v>8554</v>
      </c>
      <c r="Z1075" s="23">
        <v>63.9</v>
      </c>
      <c r="AB1075" s="59" t="s">
        <v>5601</v>
      </c>
      <c r="AC1075" s="23" t="s">
        <v>3516</v>
      </c>
      <c r="AD1075" s="118">
        <v>0</v>
      </c>
      <c r="AE1075" s="118">
        <v>1</v>
      </c>
      <c r="AF1075" s="23" t="s">
        <v>3297</v>
      </c>
      <c r="AG1075" s="23" t="s">
        <v>5602</v>
      </c>
      <c r="AH1075" s="39">
        <v>44543</v>
      </c>
    </row>
    <row r="1076" spans="1:35">
      <c r="A1076" s="75" t="s">
        <v>5603</v>
      </c>
      <c r="B1076" s="23" t="s">
        <v>5604</v>
      </c>
      <c r="C1076" s="140">
        <v>44541</v>
      </c>
      <c r="D1076" s="23" t="s">
        <v>729</v>
      </c>
      <c r="E1076" s="23" t="s">
        <v>2919</v>
      </c>
      <c r="F1076" s="23" t="s">
        <v>1723</v>
      </c>
      <c r="G1076" s="23" t="s">
        <v>1724</v>
      </c>
      <c r="Q1076" s="141" t="s">
        <v>5605</v>
      </c>
      <c r="T1076" s="23" t="s">
        <v>3715</v>
      </c>
      <c r="U1076" s="23" t="s">
        <v>3715</v>
      </c>
      <c r="V1076" s="23" t="s">
        <v>298</v>
      </c>
      <c r="W1076" s="23" t="s">
        <v>5100</v>
      </c>
      <c r="Y1076" s="37">
        <v>15420</v>
      </c>
      <c r="Z1076" s="23">
        <v>72.8</v>
      </c>
      <c r="AB1076" s="23" t="s">
        <v>5606</v>
      </c>
      <c r="AC1076" s="23" t="s">
        <v>5607</v>
      </c>
      <c r="AD1076" s="118">
        <v>0</v>
      </c>
      <c r="AE1076" s="118">
        <v>1</v>
      </c>
      <c r="AF1076" s="23" t="s">
        <v>3181</v>
      </c>
      <c r="AG1076" s="23" t="s">
        <v>666</v>
      </c>
      <c r="AH1076" s="39">
        <v>44543</v>
      </c>
    </row>
    <row r="1077" spans="1:35" ht="112">
      <c r="A1077" s="75" t="s">
        <v>5608</v>
      </c>
      <c r="B1077" s="23" t="s">
        <v>5609</v>
      </c>
      <c r="C1077" s="140">
        <v>44537</v>
      </c>
      <c r="D1077" s="23" t="s">
        <v>729</v>
      </c>
      <c r="E1077" s="23" t="s">
        <v>752</v>
      </c>
      <c r="F1077" s="23" t="s">
        <v>2314</v>
      </c>
      <c r="G1077" s="23" t="s">
        <v>5538</v>
      </c>
      <c r="H1077" s="23" t="s">
        <v>5610</v>
      </c>
      <c r="I1077" s="23" t="s">
        <v>5610</v>
      </c>
      <c r="J1077" s="140">
        <v>44525</v>
      </c>
      <c r="T1077" s="23" t="s">
        <v>12031</v>
      </c>
      <c r="U1077" s="23" t="s">
        <v>12031</v>
      </c>
      <c r="V1077" s="23" t="s">
        <v>299</v>
      </c>
      <c r="W1077" s="19" t="s">
        <v>5618</v>
      </c>
      <c r="AB1077" s="19" t="s">
        <v>5736</v>
      </c>
      <c r="AC1077" s="23">
        <v>21</v>
      </c>
      <c r="AD1077" s="118">
        <v>0</v>
      </c>
      <c r="AE1077" s="118">
        <v>7</v>
      </c>
      <c r="AG1077" s="23" t="s">
        <v>2319</v>
      </c>
      <c r="AH1077" s="39">
        <v>44544</v>
      </c>
      <c r="AI1077" s="53" t="s">
        <v>4889</v>
      </c>
    </row>
    <row r="1078" spans="1:35">
      <c r="A1078" s="75" t="s">
        <v>5611</v>
      </c>
      <c r="B1078" s="23" t="s">
        <v>5612</v>
      </c>
      <c r="C1078" s="140">
        <v>44542</v>
      </c>
      <c r="D1078" s="23" t="s">
        <v>729</v>
      </c>
      <c r="E1078" s="23" t="s">
        <v>2919</v>
      </c>
      <c r="F1078" s="23" t="s">
        <v>1723</v>
      </c>
      <c r="G1078" s="23" t="s">
        <v>1724</v>
      </c>
      <c r="Q1078" s="141" t="s">
        <v>5605</v>
      </c>
      <c r="T1078" s="23" t="s">
        <v>3715</v>
      </c>
      <c r="U1078" s="23" t="s">
        <v>3715</v>
      </c>
      <c r="V1078" s="23" t="s">
        <v>298</v>
      </c>
      <c r="W1078" s="23" t="s">
        <v>5566</v>
      </c>
      <c r="Y1078" s="37">
        <v>15000</v>
      </c>
      <c r="Z1078" s="23">
        <v>74</v>
      </c>
      <c r="AB1078" s="23" t="s">
        <v>5613</v>
      </c>
      <c r="AC1078" s="23" t="s">
        <v>573</v>
      </c>
      <c r="AD1078" s="118">
        <v>0</v>
      </c>
      <c r="AE1078" s="118">
        <v>1</v>
      </c>
      <c r="AF1078" s="23" t="s">
        <v>3181</v>
      </c>
      <c r="AG1078" s="23" t="s">
        <v>666</v>
      </c>
      <c r="AH1078" s="39">
        <v>44544</v>
      </c>
    </row>
    <row r="1079" spans="1:35">
      <c r="A1079" s="75" t="s">
        <v>5614</v>
      </c>
      <c r="B1079" s="23" t="s">
        <v>5615</v>
      </c>
      <c r="C1079" s="140">
        <v>44544</v>
      </c>
      <c r="D1079" s="23" t="s">
        <v>729</v>
      </c>
      <c r="E1079" s="23" t="s">
        <v>2919</v>
      </c>
      <c r="F1079" s="23" t="s">
        <v>1723</v>
      </c>
      <c r="G1079" s="23" t="s">
        <v>1724</v>
      </c>
      <c r="Q1079" s="141" t="s">
        <v>5640</v>
      </c>
      <c r="T1079" s="23" t="s">
        <v>3715</v>
      </c>
      <c r="U1079" s="23" t="s">
        <v>3715</v>
      </c>
      <c r="V1079" s="23" t="s">
        <v>298</v>
      </c>
      <c r="W1079" s="23" t="s">
        <v>3288</v>
      </c>
      <c r="Y1079" s="37">
        <v>7170</v>
      </c>
      <c r="Z1079" s="23">
        <v>68</v>
      </c>
      <c r="AB1079" s="23" t="s">
        <v>5616</v>
      </c>
      <c r="AC1079" s="23" t="s">
        <v>5617</v>
      </c>
      <c r="AD1079" s="118">
        <v>0</v>
      </c>
      <c r="AE1079" s="118">
        <v>2</v>
      </c>
      <c r="AF1079" s="23" t="s">
        <v>3297</v>
      </c>
      <c r="AG1079" s="23" t="s">
        <v>666</v>
      </c>
      <c r="AH1079" s="39">
        <v>44544</v>
      </c>
    </row>
    <row r="1080" spans="1:35">
      <c r="A1080" s="75" t="s">
        <v>5628</v>
      </c>
      <c r="B1080" s="23" t="s">
        <v>5629</v>
      </c>
      <c r="C1080" s="140">
        <v>44546</v>
      </c>
      <c r="F1080" s="23" t="s">
        <v>1723</v>
      </c>
      <c r="G1080" s="23" t="s">
        <v>1724</v>
      </c>
      <c r="Q1080" s="141"/>
      <c r="W1080" s="23" t="s">
        <v>5566</v>
      </c>
      <c r="Y1080" s="37">
        <v>14100</v>
      </c>
      <c r="Z1080" s="23">
        <v>68</v>
      </c>
      <c r="AB1080" s="23" t="s">
        <v>5630</v>
      </c>
      <c r="AC1080" s="23" t="s">
        <v>5631</v>
      </c>
      <c r="AD1080" s="118"/>
      <c r="AE1080" s="118"/>
      <c r="AF1080" s="23" t="s">
        <v>3193</v>
      </c>
      <c r="AG1080" s="23" t="s">
        <v>666</v>
      </c>
      <c r="AH1080" s="39">
        <v>44544</v>
      </c>
    </row>
    <row r="1081" spans="1:35" ht="32">
      <c r="A1081" s="75" t="s">
        <v>5619</v>
      </c>
      <c r="B1081" s="23" t="s">
        <v>5620</v>
      </c>
      <c r="C1081" s="140">
        <v>44521</v>
      </c>
      <c r="D1081" s="23" t="s">
        <v>729</v>
      </c>
      <c r="E1081" s="23" t="s">
        <v>752</v>
      </c>
      <c r="F1081" s="23" t="s">
        <v>5472</v>
      </c>
      <c r="G1081" s="23" t="s">
        <v>5538</v>
      </c>
      <c r="H1081" s="23" t="s">
        <v>5621</v>
      </c>
      <c r="I1081" s="23" t="s">
        <v>5621</v>
      </c>
      <c r="J1081" s="140">
        <v>44498</v>
      </c>
      <c r="T1081" s="23" t="s">
        <v>12031</v>
      </c>
      <c r="U1081" s="23" t="s">
        <v>12031</v>
      </c>
      <c r="V1081" s="23" t="s">
        <v>299</v>
      </c>
      <c r="W1081" s="23" t="s">
        <v>5622</v>
      </c>
      <c r="AB1081" s="19" t="s">
        <v>5865</v>
      </c>
      <c r="AC1081" s="23">
        <v>4</v>
      </c>
      <c r="AD1081" s="118">
        <v>0</v>
      </c>
      <c r="AE1081" s="118">
        <v>2</v>
      </c>
      <c r="AG1081" s="23" t="s">
        <v>3856</v>
      </c>
      <c r="AH1081" s="39">
        <v>44545</v>
      </c>
      <c r="AI1081" s="53" t="s">
        <v>4255</v>
      </c>
    </row>
    <row r="1082" spans="1:35">
      <c r="A1082" s="104" t="s">
        <v>5624</v>
      </c>
      <c r="B1082" s="23" t="s">
        <v>5625</v>
      </c>
      <c r="C1082" s="140">
        <v>44544</v>
      </c>
      <c r="D1082" s="23" t="s">
        <v>729</v>
      </c>
      <c r="E1082" s="23" t="s">
        <v>752</v>
      </c>
      <c r="F1082" s="23" t="s">
        <v>57</v>
      </c>
      <c r="G1082" s="23" t="s">
        <v>57</v>
      </c>
      <c r="H1082" s="23" t="s">
        <v>5626</v>
      </c>
      <c r="I1082" s="23" t="s">
        <v>5626</v>
      </c>
      <c r="J1082" s="140">
        <v>44538</v>
      </c>
      <c r="K1082" s="23" t="s">
        <v>5672</v>
      </c>
      <c r="L1082" s="140">
        <v>44546</v>
      </c>
      <c r="P1082" s="23" t="s">
        <v>5637</v>
      </c>
      <c r="S1082" s="23" t="s">
        <v>184</v>
      </c>
      <c r="T1082" s="23" t="s">
        <v>302</v>
      </c>
      <c r="U1082" s="23" t="s">
        <v>302</v>
      </c>
      <c r="V1082" s="23" t="s">
        <v>233</v>
      </c>
      <c r="W1082" s="23" t="s">
        <v>284</v>
      </c>
      <c r="X1082" s="23">
        <v>36199.4</v>
      </c>
      <c r="Y1082" s="23">
        <v>36491</v>
      </c>
      <c r="Z1082" s="23">
        <v>39768.51</v>
      </c>
      <c r="AA1082" s="23">
        <v>37607.08</v>
      </c>
      <c r="AB1082" s="23" t="s">
        <v>5627</v>
      </c>
      <c r="AC1082" s="23" t="s">
        <v>173</v>
      </c>
      <c r="AD1082" s="118">
        <v>0</v>
      </c>
      <c r="AE1082" s="118">
        <v>3</v>
      </c>
      <c r="AF1082" s="23" t="s">
        <v>3297</v>
      </c>
      <c r="AG1082" s="23" t="s">
        <v>787</v>
      </c>
      <c r="AH1082" s="39">
        <v>44549</v>
      </c>
    </row>
    <row r="1083" spans="1:35">
      <c r="A1083" s="104" t="s">
        <v>5632</v>
      </c>
      <c r="B1083" s="23" t="s">
        <v>5633</v>
      </c>
      <c r="C1083" s="140">
        <v>44544</v>
      </c>
      <c r="D1083" s="23" t="s">
        <v>729</v>
      </c>
      <c r="E1083" s="23" t="s">
        <v>752</v>
      </c>
      <c r="F1083" s="23" t="s">
        <v>57</v>
      </c>
      <c r="G1083" s="23" t="s">
        <v>57</v>
      </c>
      <c r="H1083" s="23" t="s">
        <v>5634</v>
      </c>
      <c r="I1083" s="23" t="s">
        <v>5634</v>
      </c>
      <c r="J1083" s="140">
        <v>44538</v>
      </c>
      <c r="P1083" s="23" t="s">
        <v>5637</v>
      </c>
      <c r="S1083" s="23" t="s">
        <v>184</v>
      </c>
      <c r="T1083" s="23" t="s">
        <v>302</v>
      </c>
      <c r="U1083" s="23" t="s">
        <v>302</v>
      </c>
      <c r="V1083" s="23" t="s">
        <v>233</v>
      </c>
      <c r="W1083" s="23" t="s">
        <v>5635</v>
      </c>
      <c r="X1083" s="23">
        <v>11267</v>
      </c>
      <c r="Y1083" s="23">
        <v>11466</v>
      </c>
      <c r="Z1083" s="23">
        <v>22777.040000000001</v>
      </c>
      <c r="AB1083" s="23" t="s">
        <v>5636</v>
      </c>
      <c r="AC1083" s="23" t="s">
        <v>5654</v>
      </c>
      <c r="AD1083" s="118">
        <v>0</v>
      </c>
      <c r="AE1083" s="118">
        <v>1</v>
      </c>
      <c r="AF1083" s="23" t="s">
        <v>3297</v>
      </c>
      <c r="AG1083" s="23" t="s">
        <v>787</v>
      </c>
      <c r="AH1083" s="39">
        <v>44549</v>
      </c>
    </row>
    <row r="1084" spans="1:35">
      <c r="A1084" s="75" t="s">
        <v>5641</v>
      </c>
      <c r="B1084" s="23" t="s">
        <v>5647</v>
      </c>
      <c r="C1084" s="140">
        <v>44535</v>
      </c>
      <c r="D1084" s="23" t="s">
        <v>729</v>
      </c>
      <c r="E1084" s="23" t="s">
        <v>752</v>
      </c>
      <c r="F1084" s="23" t="s">
        <v>4899</v>
      </c>
      <c r="G1084" s="23" t="s">
        <v>1724</v>
      </c>
      <c r="P1084" s="23" t="s">
        <v>5648</v>
      </c>
      <c r="Q1084" s="141" t="s">
        <v>5649</v>
      </c>
      <c r="T1084" s="23" t="s">
        <v>12031</v>
      </c>
      <c r="U1084" s="23" t="s">
        <v>12031</v>
      </c>
      <c r="V1084" s="23" t="s">
        <v>298</v>
      </c>
      <c r="W1084" s="23" t="s">
        <v>498</v>
      </c>
      <c r="Y1084" s="37">
        <v>12062.82</v>
      </c>
      <c r="Z1084" s="23">
        <v>59.752000000000002</v>
      </c>
      <c r="AB1084" s="23" t="s">
        <v>5650</v>
      </c>
      <c r="AC1084" s="23" t="s">
        <v>5651</v>
      </c>
      <c r="AD1084" s="118">
        <v>0</v>
      </c>
      <c r="AE1084" s="118">
        <v>1</v>
      </c>
      <c r="AF1084" s="23" t="s">
        <v>3297</v>
      </c>
      <c r="AG1084" s="23" t="s">
        <v>5652</v>
      </c>
      <c r="AH1084" s="39">
        <v>44550</v>
      </c>
    </row>
    <row r="1085" spans="1:35">
      <c r="A1085" s="75" t="s">
        <v>5655</v>
      </c>
      <c r="B1085" s="23" t="s">
        <v>5656</v>
      </c>
      <c r="C1085" s="140">
        <v>44550</v>
      </c>
      <c r="D1085" s="23" t="s">
        <v>729</v>
      </c>
      <c r="E1085" s="23" t="s">
        <v>2919</v>
      </c>
      <c r="F1085" s="23" t="s">
        <v>1723</v>
      </c>
      <c r="G1085" s="23" t="s">
        <v>1724</v>
      </c>
      <c r="Q1085" s="141" t="s">
        <v>5657</v>
      </c>
      <c r="T1085" s="23" t="s">
        <v>3715</v>
      </c>
      <c r="U1085" s="23" t="s">
        <v>3715</v>
      </c>
      <c r="V1085" s="23" t="s">
        <v>298</v>
      </c>
      <c r="W1085" s="23" t="s">
        <v>5100</v>
      </c>
      <c r="Y1085" s="37">
        <v>14700</v>
      </c>
      <c r="Z1085" s="23">
        <v>73</v>
      </c>
      <c r="AB1085" s="23" t="s">
        <v>5658</v>
      </c>
      <c r="AC1085" s="23" t="s">
        <v>5142</v>
      </c>
      <c r="AD1085" s="118">
        <v>0</v>
      </c>
      <c r="AE1085" s="118">
        <v>1</v>
      </c>
      <c r="AF1085" s="23" t="s">
        <v>3181</v>
      </c>
      <c r="AG1085" s="23" t="s">
        <v>666</v>
      </c>
      <c r="AH1085" s="39">
        <v>44551</v>
      </c>
    </row>
    <row r="1086" spans="1:35">
      <c r="A1086" s="75" t="s">
        <v>5663</v>
      </c>
      <c r="B1086" s="23" t="s">
        <v>5664</v>
      </c>
      <c r="C1086" s="140">
        <v>44551</v>
      </c>
      <c r="D1086" s="23" t="s">
        <v>729</v>
      </c>
      <c r="E1086" s="23" t="s">
        <v>2919</v>
      </c>
      <c r="F1086" s="23" t="s">
        <v>1723</v>
      </c>
      <c r="G1086" s="23" t="s">
        <v>1724</v>
      </c>
      <c r="Q1086" s="141" t="s">
        <v>5665</v>
      </c>
      <c r="T1086" s="23" t="s">
        <v>3715</v>
      </c>
      <c r="U1086" s="23" t="s">
        <v>3715</v>
      </c>
      <c r="V1086" s="23" t="s">
        <v>298</v>
      </c>
      <c r="W1086" s="23" t="s">
        <v>4947</v>
      </c>
      <c r="Y1086" s="37">
        <v>23550</v>
      </c>
      <c r="Z1086" s="23">
        <v>74</v>
      </c>
      <c r="AB1086" s="23" t="s">
        <v>5666</v>
      </c>
      <c r="AC1086" s="23" t="s">
        <v>1722</v>
      </c>
      <c r="AD1086" s="118">
        <v>0</v>
      </c>
      <c r="AE1086" s="118">
        <v>2</v>
      </c>
      <c r="AF1086" s="23" t="s">
        <v>3260</v>
      </c>
      <c r="AG1086" s="23" t="s">
        <v>637</v>
      </c>
      <c r="AH1086" s="39">
        <v>44552</v>
      </c>
    </row>
    <row r="1087" spans="1:35">
      <c r="A1087" s="75" t="s">
        <v>5667</v>
      </c>
      <c r="B1087" s="23" t="s">
        <v>5668</v>
      </c>
      <c r="C1087" s="140">
        <v>44551</v>
      </c>
      <c r="F1087" s="23" t="s">
        <v>1723</v>
      </c>
      <c r="G1087" s="23" t="s">
        <v>1724</v>
      </c>
      <c r="Q1087" s="141" t="s">
        <v>5665</v>
      </c>
      <c r="W1087" s="23" t="s">
        <v>5073</v>
      </c>
      <c r="Y1087" s="37">
        <v>11700</v>
      </c>
      <c r="Z1087" s="23">
        <v>73.5</v>
      </c>
      <c r="AB1087" s="23" t="s">
        <v>5669</v>
      </c>
      <c r="AC1087" s="23" t="s">
        <v>5079</v>
      </c>
      <c r="AD1087" s="118"/>
      <c r="AE1087" s="118"/>
      <c r="AF1087" s="23" t="s">
        <v>3260</v>
      </c>
      <c r="AG1087" s="23" t="s">
        <v>665</v>
      </c>
      <c r="AH1087" s="39">
        <v>44552</v>
      </c>
    </row>
    <row r="1088" spans="1:35">
      <c r="A1088" s="75" t="s">
        <v>5673</v>
      </c>
      <c r="B1088" s="23" t="s">
        <v>5674</v>
      </c>
      <c r="C1088" s="140">
        <v>44551</v>
      </c>
      <c r="D1088" s="23" t="s">
        <v>729</v>
      </c>
      <c r="E1088" s="23" t="s">
        <v>2919</v>
      </c>
      <c r="F1088" s="23" t="s">
        <v>1723</v>
      </c>
      <c r="G1088" s="23" t="s">
        <v>1724</v>
      </c>
      <c r="Q1088" s="141" t="s">
        <v>5665</v>
      </c>
      <c r="T1088" s="23" t="s">
        <v>3715</v>
      </c>
      <c r="U1088" s="23" t="s">
        <v>3715</v>
      </c>
      <c r="V1088" s="23" t="s">
        <v>298</v>
      </c>
      <c r="W1088" s="23" t="s">
        <v>3288</v>
      </c>
      <c r="Y1088" s="37">
        <v>7210</v>
      </c>
      <c r="Z1088" s="23">
        <v>68</v>
      </c>
      <c r="AB1088" s="23" t="s">
        <v>5675</v>
      </c>
      <c r="AC1088" s="23" t="s">
        <v>4270</v>
      </c>
      <c r="AD1088" s="118">
        <v>0</v>
      </c>
      <c r="AE1088" s="118">
        <v>3</v>
      </c>
      <c r="AF1088" s="23" t="s">
        <v>3193</v>
      </c>
      <c r="AG1088" s="23" t="s">
        <v>637</v>
      </c>
      <c r="AH1088" s="39">
        <v>44553</v>
      </c>
    </row>
    <row r="1089" spans="1:55" ht="64">
      <c r="A1089" s="75" t="s">
        <v>5676</v>
      </c>
      <c r="B1089" s="23" t="s">
        <v>5677</v>
      </c>
      <c r="C1089" s="140">
        <v>44552</v>
      </c>
      <c r="F1089" s="23" t="s">
        <v>1723</v>
      </c>
      <c r="G1089" s="23" t="s">
        <v>1724</v>
      </c>
      <c r="Q1089" s="141" t="s">
        <v>5665</v>
      </c>
      <c r="W1089" s="23" t="s">
        <v>5678</v>
      </c>
      <c r="Y1089" s="37">
        <v>28310</v>
      </c>
      <c r="Z1089" s="23">
        <v>120</v>
      </c>
      <c r="AB1089" s="19" t="s">
        <v>5679</v>
      </c>
      <c r="AC1089" s="23" t="s">
        <v>5680</v>
      </c>
      <c r="AD1089" s="118"/>
      <c r="AE1089" s="118"/>
      <c r="AF1089" s="19" t="s">
        <v>3214</v>
      </c>
      <c r="AG1089" s="23" t="s">
        <v>666</v>
      </c>
      <c r="AH1089" s="39">
        <v>44553</v>
      </c>
    </row>
    <row r="1090" spans="1:55">
      <c r="A1090" s="75" t="s">
        <v>5682</v>
      </c>
      <c r="B1090" s="23" t="s">
        <v>5683</v>
      </c>
      <c r="C1090" s="140">
        <v>44553</v>
      </c>
      <c r="D1090" s="23" t="s">
        <v>729</v>
      </c>
      <c r="E1090" s="23" t="s">
        <v>2919</v>
      </c>
      <c r="F1090" s="23" t="s">
        <v>1723</v>
      </c>
      <c r="G1090" s="23" t="s">
        <v>1724</v>
      </c>
      <c r="Q1090" s="141" t="s">
        <v>5684</v>
      </c>
      <c r="T1090" s="23" t="s">
        <v>3715</v>
      </c>
      <c r="U1090" s="23" t="s">
        <v>3715</v>
      </c>
      <c r="V1090" s="23" t="s">
        <v>298</v>
      </c>
      <c r="W1090" s="23" t="s">
        <v>4947</v>
      </c>
      <c r="Y1090" s="37">
        <v>22208</v>
      </c>
      <c r="Z1090" s="23">
        <v>68</v>
      </c>
      <c r="AB1090" s="23" t="s">
        <v>5685</v>
      </c>
      <c r="AC1090" s="23" t="s">
        <v>5686</v>
      </c>
      <c r="AD1090" s="118">
        <v>0</v>
      </c>
      <c r="AE1090" s="118">
        <v>4</v>
      </c>
      <c r="AF1090" s="23" t="s">
        <v>3297</v>
      </c>
      <c r="AG1090" s="23" t="s">
        <v>637</v>
      </c>
      <c r="AH1090" s="39">
        <v>44554</v>
      </c>
    </row>
    <row r="1091" spans="1:55" ht="64">
      <c r="A1091" s="75" t="s">
        <v>5687</v>
      </c>
      <c r="B1091" s="23" t="s">
        <v>5688</v>
      </c>
      <c r="C1091" s="140">
        <v>44553</v>
      </c>
      <c r="F1091" s="23" t="s">
        <v>1723</v>
      </c>
      <c r="G1091" s="23" t="s">
        <v>1724</v>
      </c>
      <c r="Q1091" s="141" t="s">
        <v>5684</v>
      </c>
      <c r="W1091" s="23" t="s">
        <v>5689</v>
      </c>
      <c r="Y1091" s="37">
        <v>24300</v>
      </c>
      <c r="Z1091" s="23">
        <v>120</v>
      </c>
      <c r="AB1091" s="19" t="s">
        <v>5690</v>
      </c>
      <c r="AC1091" s="23" t="s">
        <v>5691</v>
      </c>
      <c r="AD1091" s="118"/>
      <c r="AE1091" s="118"/>
      <c r="AF1091" s="19" t="s">
        <v>3214</v>
      </c>
      <c r="AG1091" s="23" t="s">
        <v>666</v>
      </c>
      <c r="AH1091" s="39">
        <v>44554</v>
      </c>
    </row>
    <row r="1092" spans="1:55">
      <c r="A1092" s="75" t="s">
        <v>5692</v>
      </c>
      <c r="B1092" s="23" t="s">
        <v>5693</v>
      </c>
      <c r="C1092" s="140">
        <v>44553</v>
      </c>
      <c r="F1092" s="23" t="s">
        <v>1723</v>
      </c>
      <c r="G1092" s="23" t="s">
        <v>1724</v>
      </c>
      <c r="Q1092" s="141" t="s">
        <v>5684</v>
      </c>
      <c r="W1092" s="23" t="s">
        <v>5694</v>
      </c>
      <c r="Y1092" s="38">
        <v>13400</v>
      </c>
      <c r="Z1092" s="23">
        <v>74</v>
      </c>
      <c r="AB1092" s="23" t="s">
        <v>5695</v>
      </c>
      <c r="AC1092" s="23" t="s">
        <v>1529</v>
      </c>
      <c r="AD1092" s="118"/>
      <c r="AE1092" s="118"/>
      <c r="AF1092" s="23" t="s">
        <v>3181</v>
      </c>
      <c r="AG1092" s="23" t="s">
        <v>666</v>
      </c>
      <c r="AH1092" s="39">
        <v>44554</v>
      </c>
    </row>
    <row r="1093" spans="1:55" ht="32">
      <c r="A1093" s="75" t="s">
        <v>5696</v>
      </c>
      <c r="B1093" s="23" t="s">
        <v>6354</v>
      </c>
      <c r="C1093" s="140">
        <v>44484</v>
      </c>
      <c r="D1093" s="23" t="s">
        <v>729</v>
      </c>
      <c r="E1093" s="23" t="s">
        <v>752</v>
      </c>
      <c r="F1093" s="23" t="s">
        <v>5697</v>
      </c>
      <c r="G1093" s="23" t="s">
        <v>5698</v>
      </c>
      <c r="P1093" s="23" t="s">
        <v>5699</v>
      </c>
      <c r="Q1093" s="141" t="s">
        <v>5640</v>
      </c>
      <c r="T1093" s="23" t="s">
        <v>12031</v>
      </c>
      <c r="U1093" s="23" t="s">
        <v>12031</v>
      </c>
      <c r="V1093" s="23" t="s">
        <v>298</v>
      </c>
      <c r="W1093" s="19" t="s">
        <v>5702</v>
      </c>
      <c r="Y1093" s="23">
        <v>4200</v>
      </c>
      <c r="Z1093" s="23">
        <v>45</v>
      </c>
      <c r="AB1093" s="23" t="s">
        <v>5700</v>
      </c>
      <c r="AC1093" s="23" t="s">
        <v>123</v>
      </c>
      <c r="AD1093" s="118">
        <v>0</v>
      </c>
      <c r="AE1093" s="118">
        <v>1</v>
      </c>
      <c r="AF1093" s="23" t="s">
        <v>3883</v>
      </c>
      <c r="AG1093" s="23" t="s">
        <v>5701</v>
      </c>
      <c r="AH1093" s="39">
        <v>44556</v>
      </c>
    </row>
    <row r="1094" spans="1:55">
      <c r="A1094" s="75" t="s">
        <v>5708</v>
      </c>
      <c r="B1094" s="23" t="s">
        <v>5709</v>
      </c>
      <c r="C1094" s="140">
        <v>44546</v>
      </c>
      <c r="D1094" s="23" t="s">
        <v>729</v>
      </c>
      <c r="E1094" s="23" t="s">
        <v>3773</v>
      </c>
      <c r="F1094" s="23" t="s">
        <v>4674</v>
      </c>
      <c r="G1094" s="23" t="s">
        <v>3469</v>
      </c>
      <c r="H1094" s="23">
        <v>20210715002</v>
      </c>
      <c r="I1094" s="23">
        <v>20210715002</v>
      </c>
      <c r="J1094" s="140">
        <v>44537</v>
      </c>
      <c r="T1094" s="23" t="s">
        <v>12031</v>
      </c>
      <c r="U1094" s="23" t="s">
        <v>12031</v>
      </c>
      <c r="V1094" s="23" t="s">
        <v>299</v>
      </c>
      <c r="W1094" s="23" t="s">
        <v>5710</v>
      </c>
      <c r="AC1094" s="23">
        <v>1</v>
      </c>
      <c r="AD1094" s="118"/>
      <c r="AE1094" s="118"/>
      <c r="AG1094" s="23" t="s">
        <v>5711</v>
      </c>
      <c r="AH1094" s="39">
        <v>44557</v>
      </c>
      <c r="AI1094" s="53" t="s">
        <v>3469</v>
      </c>
    </row>
    <row r="1095" spans="1:55" ht="64">
      <c r="A1095" s="75" t="s">
        <v>5712</v>
      </c>
      <c r="B1095" s="23" t="s">
        <v>5713</v>
      </c>
      <c r="C1095" s="140">
        <v>44548</v>
      </c>
      <c r="D1095" s="23" t="s">
        <v>729</v>
      </c>
      <c r="E1095" s="23" t="s">
        <v>3773</v>
      </c>
      <c r="F1095" s="23" t="s">
        <v>4674</v>
      </c>
      <c r="G1095" s="23" t="s">
        <v>3469</v>
      </c>
      <c r="H1095" s="23" t="s">
        <v>5714</v>
      </c>
      <c r="I1095" s="23" t="s">
        <v>5714</v>
      </c>
      <c r="J1095" s="140">
        <v>44543</v>
      </c>
      <c r="T1095" s="23" t="s">
        <v>12031</v>
      </c>
      <c r="U1095" s="23" t="s">
        <v>12031</v>
      </c>
      <c r="V1095" s="23" t="s">
        <v>299</v>
      </c>
      <c r="W1095" s="19" t="s">
        <v>5715</v>
      </c>
      <c r="AC1095" s="23">
        <v>15</v>
      </c>
      <c r="AD1095" s="118"/>
      <c r="AE1095" s="118"/>
      <c r="AG1095" s="23" t="s">
        <v>5716</v>
      </c>
      <c r="AH1095" s="39">
        <v>44557</v>
      </c>
      <c r="AI1095" s="53" t="s">
        <v>5706</v>
      </c>
    </row>
    <row r="1096" spans="1:55" ht="96">
      <c r="A1096" s="75" t="s">
        <v>5717</v>
      </c>
      <c r="B1096" s="23" t="s">
        <v>5727</v>
      </c>
      <c r="C1096" s="140">
        <v>44547</v>
      </c>
      <c r="D1096" s="23" t="s">
        <v>729</v>
      </c>
      <c r="E1096" s="23" t="s">
        <v>3773</v>
      </c>
      <c r="F1096" s="23" t="s">
        <v>4674</v>
      </c>
      <c r="G1096" s="23" t="s">
        <v>3469</v>
      </c>
      <c r="H1096" s="23" t="s">
        <v>5728</v>
      </c>
      <c r="I1096" s="23" t="s">
        <v>5728</v>
      </c>
      <c r="J1096" s="140">
        <v>44536</v>
      </c>
      <c r="T1096" s="23" t="s">
        <v>12031</v>
      </c>
      <c r="U1096" s="23" t="s">
        <v>12031</v>
      </c>
      <c r="V1096" s="23" t="s">
        <v>299</v>
      </c>
      <c r="W1096" s="19" t="s">
        <v>5729</v>
      </c>
      <c r="AB1096" s="23" t="s">
        <v>97</v>
      </c>
      <c r="AC1096" s="23">
        <v>14</v>
      </c>
      <c r="AD1096" s="118">
        <v>0</v>
      </c>
      <c r="AE1096" s="118">
        <v>0</v>
      </c>
      <c r="AF1096" s="23" t="s">
        <v>97</v>
      </c>
      <c r="AG1096" s="23" t="s">
        <v>5111</v>
      </c>
      <c r="AH1096" s="39">
        <v>44557</v>
      </c>
      <c r="AI1096" s="53" t="s">
        <v>5706</v>
      </c>
    </row>
    <row r="1097" spans="1:55">
      <c r="A1097" s="75" t="s">
        <v>5718</v>
      </c>
      <c r="B1097" s="23" t="s">
        <v>5719</v>
      </c>
      <c r="C1097" s="140">
        <v>44554</v>
      </c>
      <c r="D1097" s="23" t="s">
        <v>729</v>
      </c>
      <c r="E1097" s="23" t="s">
        <v>752</v>
      </c>
      <c r="F1097" s="23" t="s">
        <v>1723</v>
      </c>
      <c r="G1097" s="23" t="s">
        <v>1724</v>
      </c>
      <c r="Q1097" s="141" t="s">
        <v>5720</v>
      </c>
      <c r="T1097" s="23" t="s">
        <v>3715</v>
      </c>
      <c r="U1097" s="23" t="s">
        <v>3715</v>
      </c>
      <c r="V1097" s="23" t="s">
        <v>298</v>
      </c>
      <c r="W1097" s="23" t="s">
        <v>5073</v>
      </c>
      <c r="Y1097" s="37">
        <v>11430</v>
      </c>
      <c r="Z1097" s="23">
        <v>73.5</v>
      </c>
      <c r="AB1097" s="23" t="s">
        <v>5721</v>
      </c>
      <c r="AC1097" s="23" t="s">
        <v>5722</v>
      </c>
      <c r="AD1097" s="118"/>
      <c r="AE1097" s="118"/>
      <c r="AF1097" s="23" t="s">
        <v>3181</v>
      </c>
      <c r="AG1097" s="23" t="s">
        <v>665</v>
      </c>
      <c r="AH1097" s="39">
        <v>44557</v>
      </c>
    </row>
    <row r="1098" spans="1:55">
      <c r="A1098" s="75" t="s">
        <v>5723</v>
      </c>
      <c r="B1098" s="23" t="s">
        <v>5724</v>
      </c>
      <c r="C1098" s="140">
        <v>44554</v>
      </c>
      <c r="F1098" s="23" t="s">
        <v>1723</v>
      </c>
      <c r="G1098" s="23" t="s">
        <v>1724</v>
      </c>
      <c r="Q1098" s="141" t="s">
        <v>5720</v>
      </c>
      <c r="W1098" s="23" t="s">
        <v>5725</v>
      </c>
      <c r="Y1098" s="37">
        <v>16700</v>
      </c>
      <c r="Z1098" s="23">
        <v>74</v>
      </c>
      <c r="AB1098" s="23" t="s">
        <v>5726</v>
      </c>
      <c r="AC1098" s="23" t="s">
        <v>5142</v>
      </c>
      <c r="AD1098" s="118"/>
      <c r="AE1098" s="118"/>
      <c r="AF1098" s="23" t="s">
        <v>3181</v>
      </c>
      <c r="AG1098" s="23" t="s">
        <v>666</v>
      </c>
      <c r="AH1098" s="39">
        <v>44557</v>
      </c>
    </row>
    <row r="1099" spans="1:55" ht="160">
      <c r="A1099" s="75" t="s">
        <v>5731</v>
      </c>
      <c r="B1099" s="23" t="s">
        <v>5732</v>
      </c>
      <c r="C1099" s="140">
        <v>44542</v>
      </c>
      <c r="D1099" s="23" t="s">
        <v>729</v>
      </c>
      <c r="E1099" s="23" t="s">
        <v>752</v>
      </c>
      <c r="F1099" s="23" t="s">
        <v>2200</v>
      </c>
      <c r="G1099" s="23" t="s">
        <v>301</v>
      </c>
      <c r="H1099" s="23">
        <v>20381587</v>
      </c>
      <c r="I1099" s="23">
        <v>20381587</v>
      </c>
      <c r="J1099" s="140">
        <v>44540</v>
      </c>
      <c r="K1099" s="23" t="s">
        <v>5733</v>
      </c>
      <c r="L1099" s="140">
        <v>44546</v>
      </c>
      <c r="T1099" s="23" t="s">
        <v>305</v>
      </c>
      <c r="U1099" s="23" t="s">
        <v>305</v>
      </c>
      <c r="V1099" s="23" t="s">
        <v>299</v>
      </c>
      <c r="W1099" s="23" t="s">
        <v>355</v>
      </c>
      <c r="AB1099" s="19" t="s">
        <v>5904</v>
      </c>
      <c r="AC1099" s="59">
        <v>30</v>
      </c>
      <c r="AD1099" s="118">
        <v>0</v>
      </c>
      <c r="AE1099" s="118">
        <v>10</v>
      </c>
      <c r="AG1099" s="23" t="s">
        <v>1553</v>
      </c>
      <c r="AH1099" s="39">
        <v>44557</v>
      </c>
      <c r="AI1099" s="53" t="s">
        <v>301</v>
      </c>
      <c r="BC1099" s="2" t="s">
        <v>5905</v>
      </c>
    </row>
    <row r="1100" spans="1:55">
      <c r="A1100" s="75" t="s">
        <v>5739</v>
      </c>
      <c r="B1100" s="23" t="s">
        <v>5740</v>
      </c>
      <c r="C1100" s="140">
        <v>44558</v>
      </c>
      <c r="D1100" s="23" t="s">
        <v>729</v>
      </c>
      <c r="E1100" s="23" t="s">
        <v>2919</v>
      </c>
      <c r="F1100" s="23" t="s">
        <v>1723</v>
      </c>
      <c r="G1100" s="23" t="s">
        <v>1724</v>
      </c>
      <c r="Q1100" s="141" t="s">
        <v>5741</v>
      </c>
      <c r="T1100" s="23" t="s">
        <v>3715</v>
      </c>
      <c r="U1100" s="23" t="s">
        <v>3715</v>
      </c>
      <c r="V1100" s="23" t="s">
        <v>298</v>
      </c>
      <c r="W1100" s="23" t="s">
        <v>5742</v>
      </c>
      <c r="Y1100" s="37">
        <v>11600</v>
      </c>
      <c r="Z1100" s="23">
        <v>74.2</v>
      </c>
      <c r="AB1100" s="23" t="s">
        <v>5743</v>
      </c>
      <c r="AC1100" s="23" t="s">
        <v>2311</v>
      </c>
      <c r="AD1100" s="118">
        <v>0</v>
      </c>
      <c r="AE1100" s="118">
        <v>1</v>
      </c>
      <c r="AF1100" s="23" t="s">
        <v>3181</v>
      </c>
      <c r="AG1100" s="23" t="s">
        <v>666</v>
      </c>
      <c r="AH1100" s="39">
        <v>44559</v>
      </c>
    </row>
    <row r="1101" spans="1:55">
      <c r="A1101" s="75" t="s">
        <v>5744</v>
      </c>
      <c r="B1101" s="23" t="s">
        <v>5745</v>
      </c>
      <c r="C1101" s="140">
        <v>44559</v>
      </c>
      <c r="D1101" s="23" t="s">
        <v>729</v>
      </c>
      <c r="E1101" s="23" t="s">
        <v>2919</v>
      </c>
      <c r="F1101" s="23" t="s">
        <v>1723</v>
      </c>
      <c r="G1101" s="23" t="s">
        <v>1724</v>
      </c>
      <c r="Q1101" s="141" t="s">
        <v>5746</v>
      </c>
      <c r="T1101" s="23" t="s">
        <v>3715</v>
      </c>
      <c r="U1101" s="23" t="s">
        <v>3715</v>
      </c>
      <c r="V1101" s="23" t="s">
        <v>298</v>
      </c>
      <c r="W1101" s="23" t="s">
        <v>5077</v>
      </c>
      <c r="Y1101" s="37">
        <v>11000</v>
      </c>
      <c r="Z1101" s="23">
        <v>73.599999999999994</v>
      </c>
      <c r="AB1101" s="23" t="s">
        <v>5747</v>
      </c>
      <c r="AC1101" s="23" t="s">
        <v>5748</v>
      </c>
      <c r="AD1101" s="118">
        <v>0</v>
      </c>
      <c r="AE1101" s="118">
        <v>1</v>
      </c>
      <c r="AF1101" s="23" t="s">
        <v>3181</v>
      </c>
      <c r="AG1101" s="23" t="s">
        <v>666</v>
      </c>
      <c r="AH1101" s="39">
        <v>44560</v>
      </c>
    </row>
    <row r="1102" spans="1:55" ht="112">
      <c r="A1102" s="75" t="s">
        <v>5749</v>
      </c>
      <c r="B1102" s="23" t="s">
        <v>5750</v>
      </c>
      <c r="C1102" s="140">
        <v>44553</v>
      </c>
      <c r="D1102" s="23" t="s">
        <v>729</v>
      </c>
      <c r="E1102" s="23" t="s">
        <v>752</v>
      </c>
      <c r="F1102" s="23" t="s">
        <v>2314</v>
      </c>
      <c r="G1102" s="23" t="s">
        <v>5538</v>
      </c>
      <c r="H1102" s="23" t="s">
        <v>5751</v>
      </c>
      <c r="I1102" s="23" t="s">
        <v>5751</v>
      </c>
      <c r="J1102" s="140">
        <v>44543</v>
      </c>
      <c r="T1102" s="23" t="s">
        <v>12031</v>
      </c>
      <c r="U1102" s="23" t="s">
        <v>12031</v>
      </c>
      <c r="V1102" s="23" t="s">
        <v>299</v>
      </c>
      <c r="W1102" s="23" t="s">
        <v>5752</v>
      </c>
      <c r="AB1102" s="19" t="s">
        <v>5925</v>
      </c>
      <c r="AC1102" s="23">
        <v>21</v>
      </c>
      <c r="AD1102" s="118">
        <v>0</v>
      </c>
      <c r="AE1102" s="118">
        <v>7</v>
      </c>
      <c r="AG1102" s="23" t="s">
        <v>2319</v>
      </c>
      <c r="AH1102" s="39">
        <v>44560</v>
      </c>
      <c r="AI1102" s="53" t="s">
        <v>4889</v>
      </c>
    </row>
    <row r="1103" spans="1:55" ht="32">
      <c r="A1103" s="75" t="s">
        <v>5753</v>
      </c>
      <c r="B1103" s="23" t="s">
        <v>5754</v>
      </c>
      <c r="C1103" s="140">
        <v>44555</v>
      </c>
      <c r="D1103" s="23" t="s">
        <v>729</v>
      </c>
      <c r="E1103" s="23" t="s">
        <v>752</v>
      </c>
      <c r="F1103" s="23" t="s">
        <v>5755</v>
      </c>
      <c r="G1103" s="23" t="s">
        <v>5538</v>
      </c>
      <c r="H1103" s="23" t="s">
        <v>5756</v>
      </c>
      <c r="I1103" s="23" t="s">
        <v>5756</v>
      </c>
      <c r="J1103" s="140">
        <v>44545</v>
      </c>
      <c r="T1103" s="23" t="s">
        <v>12031</v>
      </c>
      <c r="U1103" s="23" t="s">
        <v>12031</v>
      </c>
      <c r="V1103" s="23" t="s">
        <v>299</v>
      </c>
      <c r="W1103" s="23" t="s">
        <v>5783</v>
      </c>
      <c r="AB1103" s="19" t="s">
        <v>5924</v>
      </c>
      <c r="AC1103" s="23">
        <v>6</v>
      </c>
      <c r="AD1103" s="118">
        <v>0</v>
      </c>
      <c r="AE1103" s="118">
        <v>2</v>
      </c>
      <c r="AG1103" s="23" t="s">
        <v>1916</v>
      </c>
      <c r="AH1103" s="39">
        <v>44561</v>
      </c>
      <c r="AI1103" s="53" t="s">
        <v>5757</v>
      </c>
    </row>
    <row r="1104" spans="1:55" ht="32">
      <c r="A1104" s="75" t="s">
        <v>5785</v>
      </c>
      <c r="B1104" s="23" t="s">
        <v>5762</v>
      </c>
      <c r="C1104" s="140">
        <v>44559</v>
      </c>
      <c r="D1104" s="23" t="s">
        <v>729</v>
      </c>
      <c r="E1104" s="23" t="s">
        <v>752</v>
      </c>
      <c r="F1104" s="23" t="s">
        <v>6113</v>
      </c>
      <c r="G1104" s="23" t="s">
        <v>5538</v>
      </c>
      <c r="H1104" s="23" t="s">
        <v>5763</v>
      </c>
      <c r="I1104" s="23" t="s">
        <v>5763</v>
      </c>
      <c r="J1104" s="140">
        <v>44550</v>
      </c>
      <c r="T1104" s="23" t="s">
        <v>12031</v>
      </c>
      <c r="U1104" s="23" t="s">
        <v>12031</v>
      </c>
      <c r="V1104" s="23" t="s">
        <v>299</v>
      </c>
      <c r="W1104" s="23" t="s">
        <v>5790</v>
      </c>
      <c r="AB1104" s="19" t="s">
        <v>5907</v>
      </c>
      <c r="AC1104" s="23">
        <v>6</v>
      </c>
      <c r="AD1104" s="118">
        <v>0</v>
      </c>
      <c r="AE1104" s="118">
        <v>2</v>
      </c>
      <c r="AF1104" s="23" t="s">
        <v>3864</v>
      </c>
      <c r="AG1104" s="23" t="s">
        <v>5388</v>
      </c>
      <c r="AH1104" s="39">
        <v>44560</v>
      </c>
      <c r="AI1104" s="53" t="s">
        <v>5027</v>
      </c>
    </row>
    <row r="1105" spans="1:55">
      <c r="A1105" s="75" t="s">
        <v>5786</v>
      </c>
      <c r="B1105" s="23" t="s">
        <v>5764</v>
      </c>
      <c r="C1105" s="140">
        <v>44550</v>
      </c>
      <c r="D1105" s="23" t="s">
        <v>729</v>
      </c>
      <c r="E1105" s="23" t="s">
        <v>752</v>
      </c>
      <c r="F1105" s="23" t="s">
        <v>5765</v>
      </c>
      <c r="G1105" s="23" t="s">
        <v>1724</v>
      </c>
      <c r="P1105" s="23" t="s">
        <v>5770</v>
      </c>
      <c r="Q1105" s="141" t="s">
        <v>5771</v>
      </c>
      <c r="T1105" s="23" t="s">
        <v>12031</v>
      </c>
      <c r="U1105" s="23" t="s">
        <v>12031</v>
      </c>
      <c r="V1105" s="23" t="s">
        <v>298</v>
      </c>
      <c r="W1105" s="23" t="s">
        <v>498</v>
      </c>
      <c r="Y1105" s="37">
        <v>14095.3</v>
      </c>
      <c r="Z1105" s="23">
        <v>55</v>
      </c>
      <c r="AB1105" s="23" t="s">
        <v>5766</v>
      </c>
      <c r="AC1105" s="23" t="s">
        <v>5767</v>
      </c>
      <c r="AD1105" s="118">
        <v>0</v>
      </c>
      <c r="AE1105" s="118">
        <v>1</v>
      </c>
      <c r="AF1105" s="23" t="s">
        <v>3297</v>
      </c>
      <c r="AG1105" s="23" t="s">
        <v>4534</v>
      </c>
      <c r="AH1105" s="39">
        <v>44564</v>
      </c>
    </row>
    <row r="1106" spans="1:55" ht="64">
      <c r="A1106" s="75" t="s">
        <v>5787</v>
      </c>
      <c r="B1106" s="23" t="s">
        <v>5774</v>
      </c>
      <c r="C1106" s="140">
        <v>44564</v>
      </c>
      <c r="D1106" s="23" t="s">
        <v>729</v>
      </c>
      <c r="E1106" s="23" t="s">
        <v>2919</v>
      </c>
      <c r="F1106" s="23" t="s">
        <v>7082</v>
      </c>
      <c r="G1106" s="23" t="s">
        <v>1724</v>
      </c>
      <c r="Q1106" s="141" t="s">
        <v>5775</v>
      </c>
      <c r="T1106" s="23" t="s">
        <v>3715</v>
      </c>
      <c r="U1106" s="23" t="s">
        <v>3715</v>
      </c>
      <c r="V1106" s="23" t="s">
        <v>298</v>
      </c>
      <c r="W1106" s="23" t="s">
        <v>5776</v>
      </c>
      <c r="Y1106" s="37">
        <v>39600</v>
      </c>
      <c r="Z1106" s="23">
        <v>120</v>
      </c>
      <c r="AB1106" s="19" t="s">
        <v>5777</v>
      </c>
      <c r="AC1106" s="23" t="s">
        <v>5778</v>
      </c>
      <c r="AD1106" s="118">
        <v>0</v>
      </c>
      <c r="AE1106" s="118">
        <v>3</v>
      </c>
      <c r="AF1106" s="19" t="s">
        <v>3214</v>
      </c>
      <c r="AG1106" s="23" t="s">
        <v>666</v>
      </c>
      <c r="AH1106" s="39">
        <v>44564</v>
      </c>
    </row>
    <row r="1107" spans="1:55">
      <c r="A1107" s="75" t="s">
        <v>5788</v>
      </c>
      <c r="B1107" s="23" t="s">
        <v>5779</v>
      </c>
      <c r="C1107" s="140">
        <v>44561</v>
      </c>
      <c r="D1107" s="23" t="s">
        <v>729</v>
      </c>
      <c r="E1107" s="23" t="s">
        <v>2919</v>
      </c>
      <c r="F1107" s="23" t="s">
        <v>7082</v>
      </c>
      <c r="G1107" s="23" t="s">
        <v>1724</v>
      </c>
      <c r="Q1107" s="141" t="s">
        <v>5775</v>
      </c>
      <c r="W1107" s="23" t="s">
        <v>5780</v>
      </c>
      <c r="Y1107" s="37">
        <v>20070</v>
      </c>
      <c r="Z1107" s="23">
        <v>70.599999999999994</v>
      </c>
      <c r="AB1107" s="23" t="s">
        <v>5781</v>
      </c>
      <c r="AC1107" s="23" t="s">
        <v>4311</v>
      </c>
      <c r="AD1107" s="118"/>
      <c r="AE1107" s="118"/>
      <c r="AF1107" s="23" t="s">
        <v>3181</v>
      </c>
      <c r="AH1107" s="39">
        <v>44564</v>
      </c>
    </row>
    <row r="1108" spans="1:55">
      <c r="A1108" s="75" t="s">
        <v>5789</v>
      </c>
      <c r="B1108" s="23" t="s">
        <v>5880</v>
      </c>
      <c r="C1108" s="140">
        <v>44558</v>
      </c>
      <c r="D1108" s="23" t="s">
        <v>729</v>
      </c>
      <c r="E1108" s="23" t="s">
        <v>752</v>
      </c>
      <c r="F1108" s="23" t="s">
        <v>5755</v>
      </c>
      <c r="G1108" s="23" t="s">
        <v>5538</v>
      </c>
      <c r="H1108" s="23" t="s">
        <v>5782</v>
      </c>
      <c r="I1108" s="23" t="s">
        <v>5782</v>
      </c>
      <c r="J1108" s="140">
        <v>44548</v>
      </c>
      <c r="T1108" s="23" t="s">
        <v>12031</v>
      </c>
      <c r="U1108" s="23" t="s">
        <v>12031</v>
      </c>
      <c r="V1108" s="23" t="s">
        <v>299</v>
      </c>
      <c r="W1108" s="23" t="s">
        <v>5783</v>
      </c>
      <c r="AB1108" s="59" t="s">
        <v>5784</v>
      </c>
      <c r="AC1108" s="23">
        <v>3</v>
      </c>
      <c r="AD1108" s="118">
        <v>0</v>
      </c>
      <c r="AE1108" s="118">
        <v>1</v>
      </c>
      <c r="AG1108" s="23" t="s">
        <v>1916</v>
      </c>
      <c r="AH1108" s="39">
        <v>44564</v>
      </c>
      <c r="AI1108" s="53" t="s">
        <v>5757</v>
      </c>
    </row>
    <row r="1109" spans="1:55" ht="80">
      <c r="A1109" s="75" t="s">
        <v>5793</v>
      </c>
      <c r="B1109" s="23" t="s">
        <v>5794</v>
      </c>
      <c r="C1109" s="140">
        <v>44551</v>
      </c>
      <c r="D1109" s="23" t="s">
        <v>729</v>
      </c>
      <c r="E1109" s="23" t="s">
        <v>752</v>
      </c>
      <c r="F1109" s="23" t="s">
        <v>2200</v>
      </c>
      <c r="G1109" s="23" t="s">
        <v>301</v>
      </c>
      <c r="H1109" s="23">
        <v>20381596</v>
      </c>
      <c r="I1109" s="23">
        <v>20381596</v>
      </c>
      <c r="J1109" s="140">
        <v>44540</v>
      </c>
      <c r="K1109" s="23" t="s">
        <v>5796</v>
      </c>
      <c r="L1109" s="140">
        <v>44553</v>
      </c>
      <c r="T1109" s="23" t="s">
        <v>305</v>
      </c>
      <c r="U1109" s="23" t="s">
        <v>305</v>
      </c>
      <c r="V1109" s="23" t="s">
        <v>299</v>
      </c>
      <c r="W1109" s="23" t="s">
        <v>5795</v>
      </c>
      <c r="AB1109" s="19" t="s">
        <v>5958</v>
      </c>
      <c r="AC1109" s="59">
        <v>15</v>
      </c>
      <c r="AD1109" s="118">
        <v>0</v>
      </c>
      <c r="AE1109" s="118">
        <v>5</v>
      </c>
      <c r="AG1109" s="23" t="s">
        <v>1553</v>
      </c>
      <c r="AH1109" s="39">
        <v>44565</v>
      </c>
      <c r="AI1109" s="53" t="s">
        <v>301</v>
      </c>
      <c r="BC1109" s="2" t="s">
        <v>6060</v>
      </c>
    </row>
    <row r="1110" spans="1:55" ht="80">
      <c r="A1110" s="75" t="s">
        <v>5797</v>
      </c>
      <c r="B1110" s="23" t="s">
        <v>5798</v>
      </c>
      <c r="C1110" s="140">
        <v>44551</v>
      </c>
      <c r="D1110" s="23" t="s">
        <v>729</v>
      </c>
      <c r="E1110" s="23" t="s">
        <v>752</v>
      </c>
      <c r="F1110" s="23" t="s">
        <v>2200</v>
      </c>
      <c r="G1110" s="23" t="s">
        <v>301</v>
      </c>
      <c r="H1110" s="23">
        <v>20381632</v>
      </c>
      <c r="I1110" s="23">
        <v>20381632</v>
      </c>
      <c r="J1110" s="140">
        <v>44540</v>
      </c>
      <c r="K1110" s="23" t="s">
        <v>5799</v>
      </c>
      <c r="L1110" s="140">
        <v>44553</v>
      </c>
      <c r="T1110" s="23" t="s">
        <v>305</v>
      </c>
      <c r="U1110" s="23" t="s">
        <v>305</v>
      </c>
      <c r="V1110" s="23" t="s">
        <v>299</v>
      </c>
      <c r="W1110" s="23" t="s">
        <v>5795</v>
      </c>
      <c r="AB1110" s="19" t="s">
        <v>5959</v>
      </c>
      <c r="AC1110" s="59">
        <v>15</v>
      </c>
      <c r="AD1110" s="118">
        <v>0</v>
      </c>
      <c r="AE1110" s="118">
        <v>5</v>
      </c>
      <c r="AG1110" s="23" t="s">
        <v>1553</v>
      </c>
      <c r="AH1110" s="39">
        <v>44565</v>
      </c>
      <c r="AI1110" s="53" t="s">
        <v>301</v>
      </c>
    </row>
    <row r="1111" spans="1:55">
      <c r="A1111" s="75" t="s">
        <v>5801</v>
      </c>
      <c r="B1111" s="23" t="s">
        <v>5802</v>
      </c>
      <c r="C1111" s="140">
        <v>44565</v>
      </c>
      <c r="D1111" s="23" t="s">
        <v>729</v>
      </c>
      <c r="E1111" s="23" t="s">
        <v>2919</v>
      </c>
      <c r="F1111" s="23" t="s">
        <v>7082</v>
      </c>
      <c r="G1111" s="23" t="s">
        <v>1724</v>
      </c>
      <c r="Q1111" s="141" t="s">
        <v>5803</v>
      </c>
      <c r="T1111" s="23" t="s">
        <v>3715</v>
      </c>
      <c r="U1111" s="23" t="s">
        <v>3715</v>
      </c>
      <c r="V1111" s="23" t="s">
        <v>298</v>
      </c>
      <c r="W1111" s="23" t="s">
        <v>5804</v>
      </c>
      <c r="Y1111" s="38">
        <v>18968</v>
      </c>
      <c r="Z1111" s="23">
        <v>70.5</v>
      </c>
      <c r="AB1111" s="23" t="s">
        <v>5805</v>
      </c>
      <c r="AC1111" s="23" t="s">
        <v>1666</v>
      </c>
      <c r="AD1111" s="118">
        <v>0</v>
      </c>
      <c r="AE1111" s="118">
        <v>2</v>
      </c>
      <c r="AF1111" s="23" t="s">
        <v>3181</v>
      </c>
      <c r="AG1111" s="23" t="s">
        <v>666</v>
      </c>
      <c r="AH1111" s="39">
        <v>44566</v>
      </c>
    </row>
    <row r="1112" spans="1:55">
      <c r="A1112" s="75" t="s">
        <v>5806</v>
      </c>
      <c r="B1112" s="23" t="s">
        <v>5807</v>
      </c>
      <c r="C1112" s="140">
        <v>44621</v>
      </c>
      <c r="F1112" s="23" t="s">
        <v>7082</v>
      </c>
      <c r="G1112" s="23" t="s">
        <v>1724</v>
      </c>
      <c r="Q1112" s="141" t="s">
        <v>5803</v>
      </c>
      <c r="W1112" s="23" t="s">
        <v>5804</v>
      </c>
      <c r="Y1112" s="38">
        <v>18553</v>
      </c>
      <c r="Z1112" s="23">
        <v>70.8</v>
      </c>
      <c r="AB1112" s="23" t="s">
        <v>5808</v>
      </c>
      <c r="AC1112" s="23" t="s">
        <v>5809</v>
      </c>
      <c r="AD1112" s="118"/>
      <c r="AE1112" s="118"/>
      <c r="AF1112" s="23" t="s">
        <v>3181</v>
      </c>
      <c r="AG1112" s="23" t="s">
        <v>666</v>
      </c>
      <c r="AH1112" s="39">
        <v>44566</v>
      </c>
    </row>
    <row r="1113" spans="1:55" ht="48">
      <c r="A1113" s="75" t="s">
        <v>5810</v>
      </c>
      <c r="B1113" s="23" t="s">
        <v>5811</v>
      </c>
      <c r="C1113" s="140">
        <v>44497</v>
      </c>
      <c r="D1113" s="23" t="s">
        <v>729</v>
      </c>
      <c r="E1113" s="23" t="s">
        <v>752</v>
      </c>
      <c r="F1113" s="23" t="s">
        <v>4899</v>
      </c>
      <c r="G1113" s="23" t="s">
        <v>1724</v>
      </c>
      <c r="P1113" s="23" t="s">
        <v>5812</v>
      </c>
      <c r="Q1113" s="141" t="s">
        <v>5803</v>
      </c>
      <c r="T1113" s="23" t="s">
        <v>12031</v>
      </c>
      <c r="U1113" s="23" t="s">
        <v>12031</v>
      </c>
      <c r="V1113" s="23" t="s">
        <v>298</v>
      </c>
      <c r="W1113" s="19" t="s">
        <v>5822</v>
      </c>
      <c r="Y1113" s="38">
        <v>5000</v>
      </c>
      <c r="Z1113" s="23">
        <v>46</v>
      </c>
      <c r="AB1113" s="23" t="s">
        <v>5819</v>
      </c>
      <c r="AC1113" s="23" t="s">
        <v>5820</v>
      </c>
      <c r="AD1113" s="118">
        <v>0</v>
      </c>
      <c r="AE1113" s="118">
        <v>1</v>
      </c>
      <c r="AF1113" s="23" t="s">
        <v>3297</v>
      </c>
      <c r="AG1113" s="23" t="s">
        <v>5821</v>
      </c>
      <c r="AH1113" s="39">
        <v>44566</v>
      </c>
    </row>
    <row r="1114" spans="1:55">
      <c r="A1114" s="75" t="s">
        <v>5813</v>
      </c>
      <c r="B1114" s="23" t="s">
        <v>5814</v>
      </c>
      <c r="C1114" s="140">
        <v>44541</v>
      </c>
      <c r="D1114" s="23" t="s">
        <v>729</v>
      </c>
      <c r="E1114" s="23" t="s">
        <v>752</v>
      </c>
      <c r="F1114" s="23" t="s">
        <v>5697</v>
      </c>
      <c r="G1114" s="23" t="s">
        <v>5698</v>
      </c>
      <c r="P1114" s="23" t="s">
        <v>5815</v>
      </c>
      <c r="Q1114" s="140" t="s">
        <v>5816</v>
      </c>
      <c r="T1114" s="23" t="s">
        <v>12031</v>
      </c>
      <c r="U1114" s="23" t="s">
        <v>12031</v>
      </c>
      <c r="V1114" s="23" t="s">
        <v>298</v>
      </c>
      <c r="W1114" s="23" t="s">
        <v>5826</v>
      </c>
      <c r="Y1114" s="38">
        <v>4960</v>
      </c>
      <c r="Z1114" s="23">
        <v>40</v>
      </c>
      <c r="AB1114" s="23" t="s">
        <v>5817</v>
      </c>
      <c r="AC1114" s="23" t="s">
        <v>123</v>
      </c>
      <c r="AD1114" s="118">
        <v>0</v>
      </c>
      <c r="AE1114" s="118">
        <v>1</v>
      </c>
      <c r="AF1114" s="23" t="s">
        <v>3193</v>
      </c>
      <c r="AG1114" s="23" t="s">
        <v>5818</v>
      </c>
      <c r="AH1114" s="39">
        <v>44566</v>
      </c>
    </row>
    <row r="1115" spans="1:55">
      <c r="A1115" s="75" t="s">
        <v>5823</v>
      </c>
      <c r="B1115" s="23" t="s">
        <v>5824</v>
      </c>
      <c r="C1115" s="140">
        <v>44566</v>
      </c>
      <c r="D1115" s="23" t="s">
        <v>729</v>
      </c>
      <c r="E1115" s="23" t="s">
        <v>2919</v>
      </c>
      <c r="F1115" s="23" t="s">
        <v>7082</v>
      </c>
      <c r="G1115" s="23" t="s">
        <v>1724</v>
      </c>
      <c r="Q1115" s="141" t="s">
        <v>5803</v>
      </c>
      <c r="T1115" s="23" t="s">
        <v>3715</v>
      </c>
      <c r="U1115" s="23" t="s">
        <v>3715</v>
      </c>
      <c r="V1115" s="23" t="s">
        <v>298</v>
      </c>
      <c r="W1115" s="23" t="s">
        <v>5804</v>
      </c>
      <c r="Y1115" s="37">
        <v>20172.5</v>
      </c>
      <c r="Z1115" s="23">
        <v>71</v>
      </c>
      <c r="AB1115" s="23" t="s">
        <v>5825</v>
      </c>
      <c r="AC1115" s="23" t="s">
        <v>4311</v>
      </c>
      <c r="AD1115" s="118">
        <v>0</v>
      </c>
      <c r="AE1115" s="118">
        <v>1</v>
      </c>
      <c r="AF1115" s="23" t="s">
        <v>3181</v>
      </c>
      <c r="AG1115" s="23" t="s">
        <v>666</v>
      </c>
      <c r="AH1115" s="39">
        <v>44567</v>
      </c>
    </row>
    <row r="1116" spans="1:55">
      <c r="A1116" s="75" t="s">
        <v>5829</v>
      </c>
      <c r="B1116" s="23" t="s">
        <v>5830</v>
      </c>
      <c r="C1116" s="140">
        <v>44567</v>
      </c>
      <c r="D1116" s="23" t="s">
        <v>729</v>
      </c>
      <c r="E1116" s="23" t="s">
        <v>2919</v>
      </c>
      <c r="F1116" s="23" t="s">
        <v>7082</v>
      </c>
      <c r="G1116" s="23" t="s">
        <v>1724</v>
      </c>
      <c r="Q1116" s="141" t="s">
        <v>5831</v>
      </c>
      <c r="T1116" s="23" t="s">
        <v>3715</v>
      </c>
      <c r="U1116" s="23" t="s">
        <v>3715</v>
      </c>
      <c r="V1116" s="23" t="s">
        <v>298</v>
      </c>
      <c r="W1116" s="23" t="s">
        <v>5780</v>
      </c>
      <c r="Y1116" s="37">
        <v>18168</v>
      </c>
      <c r="Z1116" s="23">
        <v>70.599999999999994</v>
      </c>
      <c r="AB1116" s="23" t="s">
        <v>5832</v>
      </c>
      <c r="AC1116" s="23" t="s">
        <v>1529</v>
      </c>
      <c r="AD1116" s="118">
        <v>0</v>
      </c>
      <c r="AE1116" s="118">
        <v>2</v>
      </c>
      <c r="AF1116" s="23" t="s">
        <v>3181</v>
      </c>
      <c r="AG1116" s="23" t="s">
        <v>666</v>
      </c>
      <c r="AH1116" s="39">
        <v>44571</v>
      </c>
    </row>
    <row r="1117" spans="1:55">
      <c r="A1117" s="75" t="s">
        <v>5833</v>
      </c>
      <c r="B1117" s="23">
        <v>215280709</v>
      </c>
      <c r="C1117" s="140">
        <v>44571</v>
      </c>
      <c r="F1117" s="23" t="s">
        <v>7082</v>
      </c>
      <c r="G1117" s="23" t="s">
        <v>1724</v>
      </c>
      <c r="Q1117" s="141" t="s">
        <v>5831</v>
      </c>
      <c r="W1117" s="23" t="s">
        <v>5834</v>
      </c>
      <c r="Y1117" s="37">
        <v>17720</v>
      </c>
      <c r="Z1117" s="23">
        <v>68</v>
      </c>
      <c r="AB1117" s="23" t="s">
        <v>5835</v>
      </c>
      <c r="AC1117" s="23" t="s">
        <v>5836</v>
      </c>
      <c r="AD1117" s="118"/>
      <c r="AE1117" s="118"/>
      <c r="AF1117" s="23" t="s">
        <v>3297</v>
      </c>
      <c r="AG1117" s="23" t="s">
        <v>666</v>
      </c>
      <c r="AH1117" s="39">
        <v>44571</v>
      </c>
    </row>
    <row r="1118" spans="1:55" ht="48">
      <c r="A1118" s="75" t="s">
        <v>5837</v>
      </c>
      <c r="B1118" s="23" t="s">
        <v>5838</v>
      </c>
      <c r="C1118" s="140">
        <v>44560</v>
      </c>
      <c r="D1118" s="23" t="s">
        <v>729</v>
      </c>
      <c r="E1118" s="23" t="s">
        <v>752</v>
      </c>
      <c r="F1118" s="23" t="s">
        <v>2200</v>
      </c>
      <c r="G1118" s="23" t="s">
        <v>301</v>
      </c>
      <c r="H1118" s="23">
        <v>20385732</v>
      </c>
      <c r="I1118" s="23">
        <v>20385732</v>
      </c>
      <c r="J1118" s="140">
        <v>44557</v>
      </c>
      <c r="K1118" s="23" t="s">
        <v>5839</v>
      </c>
      <c r="L1118" s="140">
        <v>44565</v>
      </c>
      <c r="T1118" s="23" t="s">
        <v>305</v>
      </c>
      <c r="U1118" s="23" t="s">
        <v>305</v>
      </c>
      <c r="V1118" s="23" t="s">
        <v>299</v>
      </c>
      <c r="W1118" s="19" t="s">
        <v>5840</v>
      </c>
      <c r="AB1118" s="19" t="s">
        <v>5957</v>
      </c>
      <c r="AC1118" s="59">
        <v>9</v>
      </c>
      <c r="AD1118" s="118">
        <v>0</v>
      </c>
      <c r="AE1118" s="118">
        <v>3</v>
      </c>
      <c r="AG1118" s="23" t="s">
        <v>1553</v>
      </c>
      <c r="AH1118" s="39">
        <v>44571</v>
      </c>
      <c r="AI1118" s="53" t="s">
        <v>5851</v>
      </c>
      <c r="BC1118" s="2" t="s">
        <v>6061</v>
      </c>
    </row>
    <row r="1119" spans="1:55" ht="16">
      <c r="A1119" s="75" t="s">
        <v>5841</v>
      </c>
      <c r="B1119" s="23" t="s">
        <v>5864</v>
      </c>
      <c r="C1119" s="140">
        <v>44560</v>
      </c>
      <c r="D1119" s="23" t="s">
        <v>729</v>
      </c>
      <c r="E1119" s="23" t="s">
        <v>752</v>
      </c>
      <c r="F1119" s="23" t="s">
        <v>2200</v>
      </c>
      <c r="G1119" s="23" t="s">
        <v>301</v>
      </c>
      <c r="H1119" s="23">
        <v>20385733</v>
      </c>
      <c r="I1119" s="23">
        <v>20385733</v>
      </c>
      <c r="J1119" s="140">
        <v>44557</v>
      </c>
      <c r="K1119" s="23" t="s">
        <v>5842</v>
      </c>
      <c r="L1119" s="140">
        <v>44565</v>
      </c>
      <c r="P1119" s="23" t="s">
        <v>5843</v>
      </c>
      <c r="Q1119" s="141" t="s">
        <v>5831</v>
      </c>
      <c r="T1119" s="23" t="s">
        <v>305</v>
      </c>
      <c r="U1119" s="23" t="s">
        <v>305</v>
      </c>
      <c r="V1119" s="23" t="s">
        <v>298</v>
      </c>
      <c r="W1119" s="23" t="s">
        <v>5844</v>
      </c>
      <c r="Y1119" s="38">
        <v>3954</v>
      </c>
      <c r="Z1119" s="23">
        <v>38.79</v>
      </c>
      <c r="AB1119" s="112" t="s">
        <v>5845</v>
      </c>
      <c r="AC1119" s="59" t="s">
        <v>2730</v>
      </c>
      <c r="AD1119" s="118">
        <v>0</v>
      </c>
      <c r="AE1119" s="118">
        <v>1</v>
      </c>
      <c r="AF1119" s="23" t="s">
        <v>3193</v>
      </c>
      <c r="AG1119" s="23" t="s">
        <v>1553</v>
      </c>
      <c r="AH1119" s="39">
        <v>44571</v>
      </c>
    </row>
    <row r="1120" spans="1:55">
      <c r="A1120" s="75" t="s">
        <v>5846</v>
      </c>
      <c r="B1120" s="23" t="s">
        <v>5847</v>
      </c>
      <c r="C1120" s="140">
        <v>44560</v>
      </c>
      <c r="D1120" s="23" t="s">
        <v>729</v>
      </c>
      <c r="E1120" s="23" t="s">
        <v>752</v>
      </c>
      <c r="F1120" s="23" t="s">
        <v>2200</v>
      </c>
      <c r="G1120" s="23" t="s">
        <v>301</v>
      </c>
      <c r="H1120" s="23">
        <v>20385731</v>
      </c>
      <c r="I1120" s="23">
        <v>20385731</v>
      </c>
      <c r="J1120" s="140">
        <v>44557</v>
      </c>
      <c r="K1120" s="23" t="s">
        <v>5848</v>
      </c>
      <c r="L1120" s="140">
        <v>44565</v>
      </c>
      <c r="P1120" s="23" t="s">
        <v>5843</v>
      </c>
      <c r="Q1120" s="141" t="s">
        <v>5831</v>
      </c>
      <c r="T1120" s="23" t="s">
        <v>305</v>
      </c>
      <c r="U1120" s="23" t="s">
        <v>305</v>
      </c>
      <c r="V1120" s="23" t="s">
        <v>298</v>
      </c>
      <c r="W1120" s="23" t="s">
        <v>5849</v>
      </c>
      <c r="Y1120" s="38">
        <v>3954</v>
      </c>
      <c r="Z1120" s="23">
        <v>38.79</v>
      </c>
      <c r="AB1120" s="23" t="s">
        <v>5850</v>
      </c>
      <c r="AC1120" s="59" t="s">
        <v>2730</v>
      </c>
      <c r="AD1120" s="118">
        <v>0</v>
      </c>
      <c r="AE1120" s="118">
        <v>1</v>
      </c>
      <c r="AF1120" s="23" t="s">
        <v>3193</v>
      </c>
      <c r="AG1120" s="23" t="s">
        <v>1553</v>
      </c>
      <c r="AH1120" s="39">
        <v>44571</v>
      </c>
    </row>
    <row r="1121" spans="1:55">
      <c r="A1121" s="104" t="s">
        <v>5855</v>
      </c>
      <c r="B1121" s="23" t="s">
        <v>5857</v>
      </c>
      <c r="C1121" s="140">
        <v>44572</v>
      </c>
      <c r="D1121" s="23" t="s">
        <v>729</v>
      </c>
      <c r="E1121" s="23" t="s">
        <v>752</v>
      </c>
      <c r="F1121" s="23" t="s">
        <v>57</v>
      </c>
      <c r="G1121" s="23" t="s">
        <v>57</v>
      </c>
      <c r="H1121" s="23" t="s">
        <v>5859</v>
      </c>
      <c r="I1121" s="23" t="s">
        <v>5859</v>
      </c>
      <c r="J1121" s="140">
        <v>44567</v>
      </c>
      <c r="K1121" s="23" t="s">
        <v>5923</v>
      </c>
      <c r="L1121" s="140">
        <v>44575</v>
      </c>
      <c r="P1121" s="23" t="s">
        <v>5860</v>
      </c>
      <c r="Q1121" s="141">
        <v>44575</v>
      </c>
      <c r="S1121" s="23" t="s">
        <v>184</v>
      </c>
      <c r="T1121" s="23" t="s">
        <v>302</v>
      </c>
      <c r="U1121" s="23" t="s">
        <v>302</v>
      </c>
      <c r="V1121" s="23" t="s">
        <v>233</v>
      </c>
      <c r="W1121" s="23" t="s">
        <v>5858</v>
      </c>
      <c r="X1121" s="23">
        <v>9321</v>
      </c>
      <c r="Y1121" s="37">
        <v>9621</v>
      </c>
      <c r="Z1121" s="23">
        <v>10074.34</v>
      </c>
      <c r="AA1121" s="23">
        <v>9524.7800000000007</v>
      </c>
      <c r="AB1121" s="23" t="s">
        <v>1834</v>
      </c>
      <c r="AC1121" s="23" t="s">
        <v>286</v>
      </c>
      <c r="AD1121" s="118">
        <v>0</v>
      </c>
      <c r="AE1121" s="118">
        <v>1</v>
      </c>
      <c r="AF1121" s="23" t="s">
        <v>3193</v>
      </c>
      <c r="AG1121" s="23" t="s">
        <v>787</v>
      </c>
      <c r="AH1121" s="39">
        <v>44572</v>
      </c>
    </row>
    <row r="1122" spans="1:55">
      <c r="A1122" s="104" t="s">
        <v>5856</v>
      </c>
      <c r="B1122" s="23" t="s">
        <v>5861</v>
      </c>
      <c r="C1122" s="140">
        <v>44571</v>
      </c>
      <c r="D1122" s="23" t="s">
        <v>729</v>
      </c>
      <c r="E1122" s="23" t="s">
        <v>2598</v>
      </c>
      <c r="F1122" s="23" t="s">
        <v>57</v>
      </c>
      <c r="G1122" s="23" t="s">
        <v>57</v>
      </c>
      <c r="H1122" s="23">
        <v>20211223</v>
      </c>
      <c r="I1122" s="23">
        <v>20211223</v>
      </c>
      <c r="J1122" s="140">
        <v>44553</v>
      </c>
      <c r="P1122" s="23" t="s">
        <v>5881</v>
      </c>
      <c r="Q1122" s="141" t="s">
        <v>5882</v>
      </c>
      <c r="S1122" s="23" t="s">
        <v>300</v>
      </c>
      <c r="T1122" s="23" t="s">
        <v>303</v>
      </c>
      <c r="U1122" s="23" t="s">
        <v>303</v>
      </c>
      <c r="V1122" s="23" t="s">
        <v>233</v>
      </c>
      <c r="W1122" s="23" t="s">
        <v>5862</v>
      </c>
      <c r="X1122" s="23">
        <v>30</v>
      </c>
      <c r="Y1122" s="23">
        <v>46</v>
      </c>
      <c r="Z1122" s="37">
        <v>1529</v>
      </c>
      <c r="AB1122" s="23" t="s">
        <v>6003</v>
      </c>
      <c r="AC1122" s="23" t="s">
        <v>1696</v>
      </c>
      <c r="AD1122" s="118">
        <v>0</v>
      </c>
      <c r="AE1122" s="118" t="s">
        <v>97</v>
      </c>
      <c r="AF1122" s="23" t="s">
        <v>97</v>
      </c>
      <c r="AG1122" s="23" t="s">
        <v>5863</v>
      </c>
      <c r="AH1122" s="39">
        <v>44572</v>
      </c>
    </row>
    <row r="1123" spans="1:55">
      <c r="A1123" s="75" t="s">
        <v>5867</v>
      </c>
      <c r="B1123" s="23">
        <v>214394828</v>
      </c>
      <c r="C1123" s="140">
        <v>44527</v>
      </c>
      <c r="D1123" s="23" t="s">
        <v>729</v>
      </c>
      <c r="E1123" s="23" t="s">
        <v>752</v>
      </c>
      <c r="F1123" s="23" t="s">
        <v>4899</v>
      </c>
      <c r="G1123" s="23" t="s">
        <v>1724</v>
      </c>
      <c r="P1123" s="23" t="s">
        <v>5868</v>
      </c>
      <c r="Q1123" s="141" t="s">
        <v>5873</v>
      </c>
      <c r="T1123" s="23" t="s">
        <v>12031</v>
      </c>
      <c r="U1123" s="23" t="s">
        <v>12031</v>
      </c>
      <c r="V1123" s="23" t="s">
        <v>298</v>
      </c>
      <c r="W1123" s="23" t="s">
        <v>5872</v>
      </c>
      <c r="Y1123" s="23">
        <v>937</v>
      </c>
      <c r="Z1123" s="23" t="s">
        <v>5869</v>
      </c>
      <c r="AB1123" s="23" t="s">
        <v>5870</v>
      </c>
      <c r="AC1123" s="23" t="s">
        <v>131</v>
      </c>
      <c r="AD1123" s="118">
        <v>1</v>
      </c>
      <c r="AE1123" s="118">
        <v>0</v>
      </c>
      <c r="AF1123" s="23" t="s">
        <v>5871</v>
      </c>
      <c r="AG1123" s="23" t="s">
        <v>3913</v>
      </c>
      <c r="AH1123" s="39">
        <v>44572</v>
      </c>
    </row>
    <row r="1124" spans="1:55" ht="32">
      <c r="A1124" s="75" t="s">
        <v>5874</v>
      </c>
      <c r="B1124" s="23" t="s">
        <v>5875</v>
      </c>
      <c r="C1124" s="140">
        <v>44555</v>
      </c>
      <c r="D1124" s="23" t="s">
        <v>729</v>
      </c>
      <c r="E1124" s="23" t="s">
        <v>752</v>
      </c>
      <c r="F1124" s="23" t="s">
        <v>6113</v>
      </c>
      <c r="G1124" s="23" t="s">
        <v>5538</v>
      </c>
      <c r="H1124" s="23" t="s">
        <v>5876</v>
      </c>
      <c r="I1124" s="23" t="s">
        <v>5876</v>
      </c>
      <c r="J1124" s="140">
        <v>44545</v>
      </c>
      <c r="P1124" s="23" t="s">
        <v>5877</v>
      </c>
      <c r="Q1124" s="141" t="s">
        <v>5878</v>
      </c>
      <c r="T1124" s="23" t="s">
        <v>12031</v>
      </c>
      <c r="U1124" s="23" t="s">
        <v>12031</v>
      </c>
      <c r="V1124" s="23" t="s">
        <v>299</v>
      </c>
      <c r="W1124" s="23" t="s">
        <v>4922</v>
      </c>
      <c r="Y1124" s="23">
        <v>12570</v>
      </c>
      <c r="AB1124" s="19" t="s">
        <v>5956</v>
      </c>
      <c r="AC1124" s="23">
        <v>6</v>
      </c>
      <c r="AD1124" s="118">
        <v>0</v>
      </c>
      <c r="AE1124" s="118">
        <v>2</v>
      </c>
      <c r="AF1124" s="23" t="s">
        <v>3864</v>
      </c>
      <c r="AG1124" s="23" t="s">
        <v>5879</v>
      </c>
      <c r="AH1124" s="39">
        <v>44572</v>
      </c>
      <c r="AI1124" s="53" t="s">
        <v>5027</v>
      </c>
      <c r="BC1124" s="2" t="s">
        <v>6062</v>
      </c>
    </row>
    <row r="1125" spans="1:55">
      <c r="A1125" s="75" t="s">
        <v>5884</v>
      </c>
      <c r="B1125" s="23" t="s">
        <v>5885</v>
      </c>
      <c r="C1125" s="140">
        <v>44573</v>
      </c>
      <c r="D1125" s="23" t="s">
        <v>729</v>
      </c>
      <c r="E1125" s="23" t="s">
        <v>2919</v>
      </c>
      <c r="F1125" s="23" t="s">
        <v>7082</v>
      </c>
      <c r="G1125" s="23" t="s">
        <v>1724</v>
      </c>
      <c r="Q1125" s="141" t="s">
        <v>5886</v>
      </c>
      <c r="T1125" s="23" t="s">
        <v>3715</v>
      </c>
      <c r="U1125" s="23" t="s">
        <v>3715</v>
      </c>
      <c r="V1125" s="23" t="s">
        <v>298</v>
      </c>
      <c r="W1125" s="23" t="s">
        <v>5804</v>
      </c>
      <c r="Y1125" s="38">
        <v>17997</v>
      </c>
      <c r="Z1125" s="23">
        <v>70.8</v>
      </c>
      <c r="AB1125" s="23" t="s">
        <v>5887</v>
      </c>
      <c r="AC1125" s="23" t="s">
        <v>5888</v>
      </c>
      <c r="AD1125" s="118">
        <v>0</v>
      </c>
      <c r="AE1125" s="118">
        <v>1</v>
      </c>
      <c r="AF1125" s="23" t="s">
        <v>3181</v>
      </c>
      <c r="AG1125" s="23" t="s">
        <v>665</v>
      </c>
      <c r="AH1125" s="39">
        <v>44574</v>
      </c>
    </row>
    <row r="1126" spans="1:55">
      <c r="A1126" s="75" t="s">
        <v>5889</v>
      </c>
      <c r="B1126" s="23" t="s">
        <v>5893</v>
      </c>
      <c r="C1126" s="140">
        <v>44573</v>
      </c>
      <c r="D1126" s="23" t="s">
        <v>729</v>
      </c>
      <c r="E1126" s="23" t="s">
        <v>2919</v>
      </c>
      <c r="F1126" s="23" t="s">
        <v>7082</v>
      </c>
      <c r="G1126" s="23" t="s">
        <v>1724</v>
      </c>
      <c r="Q1126" s="141" t="s">
        <v>5886</v>
      </c>
      <c r="T1126" s="23" t="s">
        <v>3715</v>
      </c>
      <c r="U1126" s="23" t="s">
        <v>3715</v>
      </c>
      <c r="V1126" s="23" t="s">
        <v>298</v>
      </c>
      <c r="W1126" s="23" t="s">
        <v>5834</v>
      </c>
      <c r="X1126" s="23" t="s">
        <v>5894</v>
      </c>
      <c r="Y1126" s="37">
        <v>17620</v>
      </c>
      <c r="Z1126" s="23">
        <v>68</v>
      </c>
      <c r="AB1126" s="23" t="s">
        <v>5895</v>
      </c>
      <c r="AC1126" s="23" t="s">
        <v>5894</v>
      </c>
      <c r="AD1126" s="118">
        <v>0</v>
      </c>
      <c r="AE1126" s="118">
        <v>2</v>
      </c>
      <c r="AF1126" s="23" t="s">
        <v>3181</v>
      </c>
      <c r="AG1126" s="23" t="s">
        <v>666</v>
      </c>
      <c r="AH1126" s="39">
        <v>44575</v>
      </c>
    </row>
    <row r="1127" spans="1:55">
      <c r="A1127" s="75" t="s">
        <v>5892</v>
      </c>
      <c r="B1127" s="23" t="s">
        <v>5890</v>
      </c>
      <c r="C1127" s="140">
        <v>44574</v>
      </c>
      <c r="F1127" s="23" t="s">
        <v>7082</v>
      </c>
      <c r="G1127" s="23" t="s">
        <v>1724</v>
      </c>
      <c r="Q1127" s="141" t="s">
        <v>5886</v>
      </c>
      <c r="W1127" s="23" t="s">
        <v>5804</v>
      </c>
      <c r="Y1127" s="37">
        <v>17902</v>
      </c>
      <c r="Z1127" s="23">
        <v>70.599999999999994</v>
      </c>
      <c r="AB1127" s="23" t="s">
        <v>5896</v>
      </c>
      <c r="AC1127" s="23" t="s">
        <v>5891</v>
      </c>
      <c r="AD1127" s="118"/>
      <c r="AE1127" s="118"/>
      <c r="AF1127" s="23" t="s">
        <v>3181</v>
      </c>
      <c r="AG1127" s="23" t="s">
        <v>665</v>
      </c>
      <c r="AH1127" s="39">
        <v>44575</v>
      </c>
    </row>
    <row r="1128" spans="1:55" ht="48">
      <c r="A1128" s="75" t="s">
        <v>5897</v>
      </c>
      <c r="B1128" s="23" t="s">
        <v>5898</v>
      </c>
      <c r="C1128" s="140">
        <v>44564</v>
      </c>
      <c r="D1128" s="23" t="s">
        <v>729</v>
      </c>
      <c r="E1128" s="23" t="s">
        <v>752</v>
      </c>
      <c r="F1128" s="23" t="s">
        <v>2200</v>
      </c>
      <c r="G1128" s="23" t="s">
        <v>301</v>
      </c>
      <c r="H1128" s="23">
        <v>20384125</v>
      </c>
      <c r="I1128" s="23">
        <v>20384125</v>
      </c>
      <c r="J1128" s="140">
        <v>44554</v>
      </c>
      <c r="K1128" s="23" t="s">
        <v>5899</v>
      </c>
      <c r="L1128" s="140">
        <v>44568</v>
      </c>
      <c r="T1128" s="23" t="s">
        <v>305</v>
      </c>
      <c r="U1128" s="23" t="s">
        <v>305</v>
      </c>
      <c r="V1128" s="23" t="s">
        <v>299</v>
      </c>
      <c r="W1128" s="23" t="s">
        <v>5900</v>
      </c>
      <c r="AB1128" s="19" t="s">
        <v>6057</v>
      </c>
      <c r="AC1128" s="59">
        <v>9</v>
      </c>
      <c r="AD1128" s="118">
        <v>0</v>
      </c>
      <c r="AE1128" s="118">
        <v>3</v>
      </c>
      <c r="AG1128" s="23" t="s">
        <v>1553</v>
      </c>
      <c r="AH1128" s="39">
        <v>44575</v>
      </c>
      <c r="AI1128" s="53" t="s">
        <v>5851</v>
      </c>
      <c r="BC1128" s="2" t="s">
        <v>6059</v>
      </c>
    </row>
    <row r="1129" spans="1:55" ht="192">
      <c r="A1129" s="75" t="s">
        <v>5901</v>
      </c>
      <c r="B1129" s="23" t="s">
        <v>5902</v>
      </c>
      <c r="C1129" s="140">
        <v>44564</v>
      </c>
      <c r="D1129" s="23" t="s">
        <v>729</v>
      </c>
      <c r="E1129" s="23" t="s">
        <v>752</v>
      </c>
      <c r="F1129" s="23" t="s">
        <v>2200</v>
      </c>
      <c r="G1129" s="23" t="s">
        <v>301</v>
      </c>
      <c r="H1129" s="23">
        <v>20384126</v>
      </c>
      <c r="I1129" s="23">
        <v>20384126</v>
      </c>
      <c r="J1129" s="140">
        <v>44554</v>
      </c>
      <c r="K1129" s="23" t="s">
        <v>5903</v>
      </c>
      <c r="L1129" s="140">
        <v>44567</v>
      </c>
      <c r="T1129" s="23" t="s">
        <v>305</v>
      </c>
      <c r="U1129" s="23" t="s">
        <v>305</v>
      </c>
      <c r="V1129" s="23" t="s">
        <v>299</v>
      </c>
      <c r="W1129" s="23" t="s">
        <v>5900</v>
      </c>
      <c r="AB1129" s="19" t="s">
        <v>6058</v>
      </c>
      <c r="AC1129" s="59">
        <v>36</v>
      </c>
      <c r="AD1129" s="118">
        <v>0</v>
      </c>
      <c r="AE1129" s="118">
        <v>12</v>
      </c>
      <c r="AG1129" s="23" t="s">
        <v>1553</v>
      </c>
      <c r="AH1129" s="39">
        <v>44575</v>
      </c>
      <c r="AI1129" s="53" t="s">
        <v>5851</v>
      </c>
    </row>
    <row r="1130" spans="1:55">
      <c r="A1130" s="75" t="s">
        <v>5906</v>
      </c>
      <c r="B1130" s="23" t="s">
        <v>5908</v>
      </c>
      <c r="C1130" s="140">
        <v>44564</v>
      </c>
      <c r="D1130" s="23" t="s">
        <v>729</v>
      </c>
      <c r="E1130" s="23" t="s">
        <v>752</v>
      </c>
      <c r="F1130" s="23" t="s">
        <v>4899</v>
      </c>
      <c r="P1130" s="23" t="s">
        <v>5909</v>
      </c>
      <c r="Q1130" s="141" t="s">
        <v>5873</v>
      </c>
      <c r="T1130" s="23" t="s">
        <v>12031</v>
      </c>
      <c r="U1130" s="23" t="s">
        <v>12031</v>
      </c>
      <c r="V1130" s="23" t="s">
        <v>298</v>
      </c>
      <c r="W1130" s="23" t="s">
        <v>498</v>
      </c>
      <c r="Y1130" s="37">
        <v>13670.85</v>
      </c>
      <c r="Z1130" s="23">
        <v>50</v>
      </c>
      <c r="AB1130" s="23" t="s">
        <v>5910</v>
      </c>
      <c r="AC1130" s="23" t="s">
        <v>5911</v>
      </c>
      <c r="AD1130" s="118">
        <v>0</v>
      </c>
      <c r="AE1130" s="118">
        <v>1</v>
      </c>
      <c r="AF1130" s="23" t="s">
        <v>5478</v>
      </c>
      <c r="AG1130" s="23" t="s">
        <v>4534</v>
      </c>
      <c r="AH1130" s="39">
        <v>44575</v>
      </c>
    </row>
    <row r="1131" spans="1:55">
      <c r="A1131" s="75" t="s">
        <v>5912</v>
      </c>
      <c r="B1131" s="23" t="s">
        <v>5913</v>
      </c>
      <c r="C1131" s="140">
        <v>44573</v>
      </c>
      <c r="D1131" s="23" t="s">
        <v>729</v>
      </c>
      <c r="E1131" s="23" t="s">
        <v>2919</v>
      </c>
      <c r="F1131" s="23" t="s">
        <v>7082</v>
      </c>
      <c r="G1131" s="23" t="s">
        <v>1724</v>
      </c>
      <c r="Q1131" s="141" t="s">
        <v>5914</v>
      </c>
      <c r="T1131" s="23" t="s">
        <v>3715</v>
      </c>
      <c r="U1131" s="23" t="s">
        <v>3715</v>
      </c>
      <c r="V1131" s="23" t="s">
        <v>298</v>
      </c>
      <c r="W1131" s="23" t="s">
        <v>5834</v>
      </c>
      <c r="Y1131" s="37">
        <v>17760</v>
      </c>
      <c r="Z1131" s="23">
        <v>68</v>
      </c>
      <c r="AB1131" s="23" t="s">
        <v>5915</v>
      </c>
      <c r="AC1131" s="23" t="s">
        <v>366</v>
      </c>
      <c r="AD1131" s="118">
        <v>0</v>
      </c>
      <c r="AE1131" s="118">
        <v>3</v>
      </c>
      <c r="AF1131" s="23" t="s">
        <v>3297</v>
      </c>
      <c r="AG1131" s="23" t="s">
        <v>666</v>
      </c>
      <c r="AH1131" s="39">
        <v>44578</v>
      </c>
    </row>
    <row r="1132" spans="1:55" ht="64">
      <c r="A1132" s="75" t="s">
        <v>5916</v>
      </c>
      <c r="B1132" s="27" t="s">
        <v>5917</v>
      </c>
      <c r="C1132" s="140">
        <v>44564</v>
      </c>
      <c r="F1132" s="23" t="s">
        <v>7082</v>
      </c>
      <c r="G1132" s="23" t="s">
        <v>1724</v>
      </c>
      <c r="Q1132" s="141" t="s">
        <v>5914</v>
      </c>
      <c r="W1132" s="23" t="s">
        <v>5776</v>
      </c>
      <c r="Y1132" s="38">
        <v>35675</v>
      </c>
      <c r="Z1132" s="23">
        <v>120</v>
      </c>
      <c r="AB1132" s="19" t="s">
        <v>5918</v>
      </c>
      <c r="AC1132" s="23" t="s">
        <v>5919</v>
      </c>
      <c r="AD1132" s="118"/>
      <c r="AE1132" s="118"/>
      <c r="AF1132" s="19" t="s">
        <v>3214</v>
      </c>
      <c r="AG1132" s="23" t="s">
        <v>665</v>
      </c>
      <c r="AH1132" s="39">
        <v>44578</v>
      </c>
    </row>
    <row r="1133" spans="1:55" ht="16">
      <c r="A1133" s="75" t="s">
        <v>5926</v>
      </c>
      <c r="B1133" s="23" t="s">
        <v>5947</v>
      </c>
      <c r="C1133" s="140">
        <v>44565</v>
      </c>
      <c r="D1133" s="23" t="s">
        <v>729</v>
      </c>
      <c r="E1133" s="23" t="s">
        <v>752</v>
      </c>
      <c r="F1133" s="23" t="s">
        <v>2200</v>
      </c>
      <c r="G1133" s="23" t="s">
        <v>301</v>
      </c>
      <c r="H1133" s="23">
        <v>55007951</v>
      </c>
      <c r="I1133" s="23">
        <v>55007951</v>
      </c>
      <c r="J1133" s="140">
        <v>44553</v>
      </c>
      <c r="K1133" s="23" t="s">
        <v>5948</v>
      </c>
      <c r="L1133" s="140">
        <v>44566</v>
      </c>
      <c r="P1133" s="23" t="s">
        <v>6084</v>
      </c>
      <c r="Q1133" s="141" t="s">
        <v>6085</v>
      </c>
      <c r="T1133" s="23" t="s">
        <v>305</v>
      </c>
      <c r="U1133" s="23" t="s">
        <v>305</v>
      </c>
      <c r="V1133" s="23" t="s">
        <v>298</v>
      </c>
      <c r="W1133" s="23" t="s">
        <v>3141</v>
      </c>
      <c r="Y1133" s="23">
        <v>8036</v>
      </c>
      <c r="Z1133" s="23">
        <v>63.036000000000001</v>
      </c>
      <c r="AB1133" s="23" t="s">
        <v>5949</v>
      </c>
      <c r="AC1133" s="23" t="s">
        <v>3516</v>
      </c>
      <c r="AD1133" s="118">
        <v>0</v>
      </c>
      <c r="AE1133" s="118">
        <v>1</v>
      </c>
      <c r="AF1133" s="19" t="s">
        <v>3297</v>
      </c>
      <c r="AG1133" s="23" t="s">
        <v>5950</v>
      </c>
      <c r="AH1133" s="39">
        <v>44578</v>
      </c>
    </row>
    <row r="1134" spans="1:55" ht="48">
      <c r="A1134" s="104" t="s">
        <v>5927</v>
      </c>
      <c r="B1134" s="23" t="s">
        <v>6104</v>
      </c>
      <c r="C1134" s="140">
        <v>44590</v>
      </c>
      <c r="D1134" s="23" t="s">
        <v>729</v>
      </c>
      <c r="E1134" s="23" t="s">
        <v>752</v>
      </c>
      <c r="F1134" s="23" t="s">
        <v>57</v>
      </c>
      <c r="G1134" s="23" t="s">
        <v>57</v>
      </c>
      <c r="H1134" s="23" t="s">
        <v>6105</v>
      </c>
      <c r="I1134" s="23" t="s">
        <v>6105</v>
      </c>
      <c r="J1134" s="140">
        <v>44574</v>
      </c>
      <c r="K1134" s="23" t="s">
        <v>6162</v>
      </c>
      <c r="L1134" s="140">
        <v>44600</v>
      </c>
      <c r="P1134" s="23" t="s">
        <v>6106</v>
      </c>
      <c r="S1134" s="23" t="s">
        <v>184</v>
      </c>
      <c r="T1134" s="23" t="s">
        <v>302</v>
      </c>
      <c r="U1134" s="23" t="s">
        <v>302</v>
      </c>
      <c r="V1134" s="23" t="s">
        <v>233</v>
      </c>
      <c r="W1134" s="23" t="s">
        <v>77</v>
      </c>
      <c r="X1134" s="23">
        <v>31282.6</v>
      </c>
      <c r="Y1134" s="23">
        <v>31581</v>
      </c>
      <c r="Z1134" s="23">
        <v>38730.629999999997</v>
      </c>
      <c r="AA1134" s="23">
        <v>36653.760000000002</v>
      </c>
      <c r="AB1134" s="19" t="s">
        <v>6163</v>
      </c>
      <c r="AC1134" s="23" t="s">
        <v>6164</v>
      </c>
      <c r="AD1134" s="118">
        <v>0</v>
      </c>
      <c r="AE1134" s="118">
        <v>3</v>
      </c>
      <c r="AF1134" s="23" t="s">
        <v>3193</v>
      </c>
      <c r="AG1134" s="23" t="s">
        <v>787</v>
      </c>
      <c r="AH1134" s="39">
        <v>44600</v>
      </c>
    </row>
    <row r="1135" spans="1:55" ht="64">
      <c r="A1135" s="75" t="s">
        <v>5931</v>
      </c>
      <c r="B1135" s="23" t="s">
        <v>5930</v>
      </c>
      <c r="C1135" s="140">
        <v>44572</v>
      </c>
      <c r="D1135" s="23" t="s">
        <v>729</v>
      </c>
      <c r="E1135" s="23" t="s">
        <v>752</v>
      </c>
      <c r="F1135" s="23" t="s">
        <v>6113</v>
      </c>
      <c r="G1135" s="23" t="s">
        <v>5538</v>
      </c>
      <c r="H1135" s="23" t="s">
        <v>10054</v>
      </c>
      <c r="I1135" s="23" t="s">
        <v>10054</v>
      </c>
      <c r="J1135" s="140">
        <v>44922</v>
      </c>
      <c r="T1135" s="23" t="s">
        <v>12031</v>
      </c>
      <c r="U1135" s="23" t="s">
        <v>12031</v>
      </c>
      <c r="V1135" s="23" t="s">
        <v>299</v>
      </c>
      <c r="W1135" s="23" t="s">
        <v>5932</v>
      </c>
      <c r="AB1135" s="19" t="s">
        <v>6332</v>
      </c>
      <c r="AC1135" s="23">
        <v>12</v>
      </c>
      <c r="AD1135" s="118">
        <v>0</v>
      </c>
      <c r="AE1135" s="118">
        <v>4</v>
      </c>
      <c r="AG1135" s="23" t="s">
        <v>5879</v>
      </c>
      <c r="AH1135" s="39">
        <v>44579</v>
      </c>
      <c r="AI1135" s="53" t="s">
        <v>5027</v>
      </c>
      <c r="AJ1135" s="75" t="s">
        <v>8221</v>
      </c>
      <c r="AK1135" s="53">
        <v>44611</v>
      </c>
    </row>
    <row r="1136" spans="1:55">
      <c r="A1136" s="75" t="s">
        <v>5933</v>
      </c>
      <c r="B1136" s="23" t="s">
        <v>5938</v>
      </c>
      <c r="C1136" s="140">
        <v>44579</v>
      </c>
      <c r="D1136" s="23" t="s">
        <v>729</v>
      </c>
      <c r="E1136" s="23" t="s">
        <v>2919</v>
      </c>
      <c r="F1136" s="23" t="s">
        <v>7082</v>
      </c>
      <c r="G1136" s="23" t="s">
        <v>1724</v>
      </c>
      <c r="Q1136" s="141" t="s">
        <v>5939</v>
      </c>
      <c r="T1136" s="23" t="s">
        <v>3715</v>
      </c>
      <c r="U1136" s="23" t="s">
        <v>3715</v>
      </c>
      <c r="V1136" s="23" t="s">
        <v>298</v>
      </c>
      <c r="W1136" s="23" t="s">
        <v>5834</v>
      </c>
      <c r="Y1136" s="37">
        <v>21730</v>
      </c>
      <c r="Z1136" s="23">
        <v>68</v>
      </c>
      <c r="AB1136" s="23" t="s">
        <v>5940</v>
      </c>
      <c r="AC1136" s="23" t="s">
        <v>5941</v>
      </c>
      <c r="AD1136" s="118">
        <v>0</v>
      </c>
      <c r="AE1136" s="118">
        <v>1</v>
      </c>
      <c r="AF1136" s="23" t="s">
        <v>3297</v>
      </c>
      <c r="AG1136" s="23" t="s">
        <v>666</v>
      </c>
      <c r="AH1136" s="39">
        <v>44580</v>
      </c>
    </row>
    <row r="1137" spans="1:55">
      <c r="A1137" s="75" t="s">
        <v>5937</v>
      </c>
      <c r="B1137" s="23" t="s">
        <v>5942</v>
      </c>
      <c r="C1137" s="140">
        <v>44579</v>
      </c>
      <c r="D1137" s="23" t="s">
        <v>729</v>
      </c>
      <c r="E1137" s="23" t="s">
        <v>2919</v>
      </c>
      <c r="F1137" s="23" t="s">
        <v>7082</v>
      </c>
      <c r="G1137" s="23" t="s">
        <v>1724</v>
      </c>
      <c r="Q1137" s="141" t="s">
        <v>5943</v>
      </c>
      <c r="T1137" s="23" t="s">
        <v>3715</v>
      </c>
      <c r="U1137" s="23" t="s">
        <v>3715</v>
      </c>
      <c r="V1137" s="23" t="s">
        <v>298</v>
      </c>
      <c r="W1137" s="23" t="s">
        <v>5944</v>
      </c>
      <c r="Y1137" s="37">
        <v>17600</v>
      </c>
      <c r="Z1137" s="23">
        <v>70.599999999999994</v>
      </c>
      <c r="AB1137" s="23" t="s">
        <v>5945</v>
      </c>
      <c r="AC1137" s="23" t="s">
        <v>5946</v>
      </c>
      <c r="AD1137" s="118">
        <v>0</v>
      </c>
      <c r="AE1137" s="118">
        <v>1</v>
      </c>
      <c r="AF1137" s="23" t="s">
        <v>3181</v>
      </c>
      <c r="AG1137" s="23" t="s">
        <v>665</v>
      </c>
      <c r="AH1137" s="39">
        <v>44580</v>
      </c>
    </row>
    <row r="1138" spans="1:55" ht="48">
      <c r="A1138" s="75" t="s">
        <v>5952</v>
      </c>
      <c r="B1138" s="23" t="s">
        <v>5951</v>
      </c>
      <c r="C1138" s="140">
        <v>44568</v>
      </c>
      <c r="D1138" s="23" t="s">
        <v>729</v>
      </c>
      <c r="E1138" s="23" t="s">
        <v>752</v>
      </c>
      <c r="F1138" s="23" t="s">
        <v>2314</v>
      </c>
      <c r="G1138" s="23" t="s">
        <v>5538</v>
      </c>
      <c r="H1138" s="23" t="s">
        <v>5953</v>
      </c>
      <c r="I1138" s="23" t="s">
        <v>5953</v>
      </c>
      <c r="J1138" s="140">
        <v>44560</v>
      </c>
      <c r="T1138" s="23" t="s">
        <v>12031</v>
      </c>
      <c r="U1138" s="23" t="s">
        <v>12031</v>
      </c>
      <c r="V1138" s="23" t="s">
        <v>299</v>
      </c>
      <c r="W1138" s="23" t="s">
        <v>5954</v>
      </c>
      <c r="AB1138" s="60" t="s">
        <v>5955</v>
      </c>
      <c r="AC1138" s="23">
        <v>9</v>
      </c>
      <c r="AD1138" s="118">
        <v>0</v>
      </c>
      <c r="AE1138" s="118">
        <v>3</v>
      </c>
      <c r="AG1138" s="23" t="s">
        <v>2319</v>
      </c>
      <c r="AH1138" s="39">
        <v>44581</v>
      </c>
      <c r="AI1138" s="53" t="s">
        <v>5928</v>
      </c>
    </row>
    <row r="1139" spans="1:55" ht="112">
      <c r="A1139" s="75" t="s">
        <v>5960</v>
      </c>
      <c r="B1139" s="23" t="s">
        <v>5965</v>
      </c>
      <c r="C1139" s="140">
        <v>44573</v>
      </c>
      <c r="D1139" s="23" t="s">
        <v>729</v>
      </c>
      <c r="E1139" s="23" t="s">
        <v>752</v>
      </c>
      <c r="F1139" s="23" t="s">
        <v>2200</v>
      </c>
      <c r="G1139" s="23" t="s">
        <v>301</v>
      </c>
      <c r="H1139" s="23" t="s">
        <v>6004</v>
      </c>
      <c r="I1139" s="23" t="s">
        <v>6004</v>
      </c>
      <c r="J1139" s="140">
        <v>44570</v>
      </c>
      <c r="K1139" s="23" t="s">
        <v>6005</v>
      </c>
      <c r="L1139" s="140">
        <v>44581</v>
      </c>
      <c r="P1139" s="23" t="s">
        <v>5979</v>
      </c>
      <c r="Q1139" s="140">
        <v>44583</v>
      </c>
      <c r="T1139" s="23" t="s">
        <v>305</v>
      </c>
      <c r="U1139" s="23" t="s">
        <v>305</v>
      </c>
      <c r="V1139" s="23" t="s">
        <v>299</v>
      </c>
      <c r="W1139" s="23" t="s">
        <v>5966</v>
      </c>
      <c r="Y1139" s="37">
        <v>32550</v>
      </c>
      <c r="AB1139" s="19" t="s">
        <v>6178</v>
      </c>
      <c r="AC1139" s="59">
        <v>21</v>
      </c>
      <c r="AD1139" s="118">
        <v>0</v>
      </c>
      <c r="AE1139" s="118">
        <v>7</v>
      </c>
      <c r="AF1139" s="23" t="s">
        <v>3193</v>
      </c>
      <c r="AG1139" s="23" t="s">
        <v>659</v>
      </c>
      <c r="AH1139" s="39">
        <v>44584</v>
      </c>
      <c r="AI1139" s="53" t="s">
        <v>5851</v>
      </c>
      <c r="BC1139" s="2" t="s">
        <v>6183</v>
      </c>
    </row>
    <row r="1140" spans="1:55" ht="80">
      <c r="A1140" s="75" t="s">
        <v>5961</v>
      </c>
      <c r="B1140" s="23" t="s">
        <v>5967</v>
      </c>
      <c r="C1140" s="140">
        <v>44574</v>
      </c>
      <c r="D1140" s="23" t="s">
        <v>729</v>
      </c>
      <c r="E1140" s="23" t="s">
        <v>752</v>
      </c>
      <c r="F1140" s="23" t="s">
        <v>2200</v>
      </c>
      <c r="G1140" s="23" t="s">
        <v>301</v>
      </c>
      <c r="H1140" s="23" t="s">
        <v>6006</v>
      </c>
      <c r="I1140" s="23" t="s">
        <v>6006</v>
      </c>
      <c r="J1140" s="140">
        <v>44554</v>
      </c>
      <c r="K1140" s="23" t="s">
        <v>6007</v>
      </c>
      <c r="L1140" s="140">
        <v>44578</v>
      </c>
      <c r="P1140" s="23" t="s">
        <v>5968</v>
      </c>
      <c r="Q1140" s="140">
        <v>44584</v>
      </c>
      <c r="T1140" s="23" t="s">
        <v>305</v>
      </c>
      <c r="U1140" s="23" t="s">
        <v>305</v>
      </c>
      <c r="V1140" s="23" t="s">
        <v>299</v>
      </c>
      <c r="W1140" s="23" t="s">
        <v>5969</v>
      </c>
      <c r="Y1140" s="37">
        <v>13180</v>
      </c>
      <c r="AB1140" s="19" t="s">
        <v>6177</v>
      </c>
      <c r="AC1140" s="59">
        <v>10</v>
      </c>
      <c r="AD1140" s="118">
        <v>0</v>
      </c>
      <c r="AE1140" s="118">
        <v>3</v>
      </c>
      <c r="AF1140" s="23" t="s">
        <v>3193</v>
      </c>
      <c r="AG1140" s="23" t="s">
        <v>659</v>
      </c>
      <c r="AH1140" s="39">
        <v>44584</v>
      </c>
      <c r="AI1140" s="53" t="s">
        <v>5851</v>
      </c>
      <c r="BC1140" s="2" t="s">
        <v>6184</v>
      </c>
    </row>
    <row r="1141" spans="1:55" ht="48">
      <c r="A1141" s="75" t="s">
        <v>5962</v>
      </c>
      <c r="B1141" s="23" t="s">
        <v>5970</v>
      </c>
      <c r="C1141" s="140">
        <v>44574</v>
      </c>
      <c r="D1141" s="23" t="s">
        <v>729</v>
      </c>
      <c r="E1141" s="23" t="s">
        <v>752</v>
      </c>
      <c r="F1141" s="23" t="s">
        <v>2200</v>
      </c>
      <c r="G1141" s="23" t="s">
        <v>301</v>
      </c>
      <c r="H1141" s="23" t="s">
        <v>6008</v>
      </c>
      <c r="I1141" s="23" t="s">
        <v>6008</v>
      </c>
      <c r="J1141" s="140">
        <v>44554</v>
      </c>
      <c r="K1141" s="23" t="s">
        <v>6009</v>
      </c>
      <c r="L1141" s="140">
        <v>44578</v>
      </c>
      <c r="P1141" s="23" t="s">
        <v>5968</v>
      </c>
      <c r="Q1141" s="140">
        <v>44584</v>
      </c>
      <c r="T1141" s="23" t="s">
        <v>305</v>
      </c>
      <c r="U1141" s="23" t="s">
        <v>305</v>
      </c>
      <c r="V1141" s="23" t="s">
        <v>299</v>
      </c>
      <c r="W1141" s="23" t="s">
        <v>5969</v>
      </c>
      <c r="Y1141" s="37">
        <v>6590</v>
      </c>
      <c r="AB1141" s="19" t="s">
        <v>6176</v>
      </c>
      <c r="AC1141" s="59">
        <v>5</v>
      </c>
      <c r="AD1141" s="118">
        <v>0</v>
      </c>
      <c r="AE1141" s="118">
        <v>2</v>
      </c>
      <c r="AF1141" s="23" t="s">
        <v>3193</v>
      </c>
      <c r="AG1141" s="23" t="s">
        <v>659</v>
      </c>
      <c r="AH1141" s="39">
        <v>44584</v>
      </c>
      <c r="AI1141" s="53" t="s">
        <v>5851</v>
      </c>
      <c r="BC1141" s="2" t="s">
        <v>6185</v>
      </c>
    </row>
    <row r="1142" spans="1:55" ht="32">
      <c r="A1142" s="75" t="s">
        <v>5963</v>
      </c>
      <c r="B1142" s="59" t="s">
        <v>5971</v>
      </c>
      <c r="C1142" s="140">
        <v>44574</v>
      </c>
      <c r="D1142" s="23" t="s">
        <v>729</v>
      </c>
      <c r="E1142" s="23" t="s">
        <v>752</v>
      </c>
      <c r="F1142" s="23" t="s">
        <v>2200</v>
      </c>
      <c r="G1142" s="23" t="s">
        <v>301</v>
      </c>
      <c r="H1142" s="23">
        <v>20388312</v>
      </c>
      <c r="I1142" s="23">
        <v>20388312</v>
      </c>
      <c r="J1142" s="140">
        <v>44570</v>
      </c>
      <c r="K1142" s="23" t="s">
        <v>6010</v>
      </c>
      <c r="L1142" s="140">
        <v>44578</v>
      </c>
      <c r="P1142" s="23" t="s">
        <v>5968</v>
      </c>
      <c r="Q1142" s="140">
        <v>44584</v>
      </c>
      <c r="T1142" s="23" t="s">
        <v>305</v>
      </c>
      <c r="U1142" s="23" t="s">
        <v>305</v>
      </c>
      <c r="V1142" s="23" t="s">
        <v>299</v>
      </c>
      <c r="W1142" s="23" t="s">
        <v>5972</v>
      </c>
      <c r="Y1142" s="37">
        <v>9006</v>
      </c>
      <c r="AB1142" s="19" t="s">
        <v>6175</v>
      </c>
      <c r="AC1142" s="59">
        <v>6</v>
      </c>
      <c r="AD1142" s="118">
        <v>0</v>
      </c>
      <c r="AE1142" s="118">
        <v>2</v>
      </c>
      <c r="AF1142" s="23" t="s">
        <v>3193</v>
      </c>
      <c r="AG1142" s="23" t="s">
        <v>659</v>
      </c>
      <c r="AH1142" s="39">
        <v>44584</v>
      </c>
      <c r="AI1142" s="53" t="s">
        <v>5851</v>
      </c>
      <c r="BC1142" s="2" t="s">
        <v>6186</v>
      </c>
    </row>
    <row r="1143" spans="1:55">
      <c r="A1143" s="75" t="s">
        <v>5964</v>
      </c>
      <c r="B1143" s="23" t="s">
        <v>5978</v>
      </c>
      <c r="C1143" s="140">
        <v>44573</v>
      </c>
      <c r="D1143" s="23" t="s">
        <v>729</v>
      </c>
      <c r="E1143" s="23" t="s">
        <v>752</v>
      </c>
      <c r="F1143" s="23" t="s">
        <v>2200</v>
      </c>
      <c r="G1143" s="23" t="s">
        <v>301</v>
      </c>
      <c r="H1143" s="23">
        <v>20388347</v>
      </c>
      <c r="I1143" s="23">
        <v>20388347</v>
      </c>
      <c r="J1143" s="140">
        <v>44570</v>
      </c>
      <c r="K1143" s="23" t="s">
        <v>6011</v>
      </c>
      <c r="L1143" s="140">
        <v>44581</v>
      </c>
      <c r="P1143" s="23" t="s">
        <v>5979</v>
      </c>
      <c r="Q1143" s="141" t="s">
        <v>6056</v>
      </c>
      <c r="T1143" s="23" t="s">
        <v>305</v>
      </c>
      <c r="U1143" s="23" t="s">
        <v>305</v>
      </c>
      <c r="V1143" s="23" t="s">
        <v>298</v>
      </c>
      <c r="W1143" s="23" t="s">
        <v>5184</v>
      </c>
      <c r="Y1143" s="23">
        <v>1320</v>
      </c>
      <c r="Z1143" s="23">
        <v>12.69</v>
      </c>
      <c r="AB1143" s="59" t="s">
        <v>5984</v>
      </c>
      <c r="AC1143" s="59" t="s">
        <v>6035</v>
      </c>
      <c r="AD1143" s="118">
        <v>1</v>
      </c>
      <c r="AE1143" s="118">
        <v>0</v>
      </c>
      <c r="AF1143" s="23" t="s">
        <v>3451</v>
      </c>
      <c r="AG1143" s="23" t="s">
        <v>659</v>
      </c>
      <c r="AH1143" s="39">
        <v>44584</v>
      </c>
      <c r="AI1143" s="53" t="s">
        <v>5851</v>
      </c>
      <c r="BC1143" s="2" t="s">
        <v>6187</v>
      </c>
    </row>
    <row r="1144" spans="1:55" ht="48">
      <c r="A1144" s="75" t="s">
        <v>5973</v>
      </c>
      <c r="B1144" s="23" t="s">
        <v>5974</v>
      </c>
      <c r="C1144" s="140">
        <v>44570</v>
      </c>
      <c r="D1144" s="23" t="s">
        <v>729</v>
      </c>
      <c r="E1144" s="23" t="s">
        <v>752</v>
      </c>
      <c r="F1144" s="23" t="s">
        <v>5755</v>
      </c>
      <c r="G1144" s="23" t="s">
        <v>5538</v>
      </c>
      <c r="H1144" s="23" t="s">
        <v>5975</v>
      </c>
      <c r="I1144" s="23" t="s">
        <v>5975</v>
      </c>
      <c r="J1144" s="140">
        <v>44561</v>
      </c>
      <c r="P1144" s="23" t="s">
        <v>5976</v>
      </c>
      <c r="Q1144" s="140">
        <v>44574</v>
      </c>
      <c r="T1144" s="23" t="s">
        <v>12031</v>
      </c>
      <c r="U1144" s="23" t="s">
        <v>12031</v>
      </c>
      <c r="V1144" s="23" t="s">
        <v>299</v>
      </c>
      <c r="W1144" s="23" t="s">
        <v>5977</v>
      </c>
      <c r="Y1144" s="23">
        <v>13950</v>
      </c>
      <c r="AB1144" s="19" t="s">
        <v>6152</v>
      </c>
      <c r="AC1144" s="23">
        <v>9</v>
      </c>
      <c r="AD1144" s="118">
        <v>0</v>
      </c>
      <c r="AE1144" s="118">
        <v>3</v>
      </c>
      <c r="AF1144" s="23" t="s">
        <v>5478</v>
      </c>
      <c r="AG1144" s="23" t="s">
        <v>1916</v>
      </c>
      <c r="AH1144" s="39">
        <v>44584</v>
      </c>
      <c r="AI1144" s="53" t="s">
        <v>5757</v>
      </c>
    </row>
    <row r="1145" spans="1:55" ht="32">
      <c r="A1145" s="75" t="s">
        <v>5980</v>
      </c>
      <c r="B1145" s="23" t="s">
        <v>5983</v>
      </c>
      <c r="C1145" s="140">
        <v>44564</v>
      </c>
      <c r="D1145" s="23" t="s">
        <v>729</v>
      </c>
      <c r="E1145" s="23" t="s">
        <v>3773</v>
      </c>
      <c r="F1145" s="23" t="s">
        <v>3702</v>
      </c>
      <c r="G1145" s="23" t="s">
        <v>3711</v>
      </c>
      <c r="H1145" s="23" t="s">
        <v>5981</v>
      </c>
      <c r="I1145" s="23" t="s">
        <v>5981</v>
      </c>
      <c r="J1145" s="140">
        <v>44550</v>
      </c>
      <c r="K1145" s="23" t="s">
        <v>6036</v>
      </c>
      <c r="L1145" s="140">
        <v>44573</v>
      </c>
      <c r="T1145" s="23" t="s">
        <v>12031</v>
      </c>
      <c r="U1145" s="23" t="s">
        <v>12031</v>
      </c>
      <c r="V1145" s="23" t="s">
        <v>299</v>
      </c>
      <c r="W1145" s="19" t="s">
        <v>5982</v>
      </c>
      <c r="Y1145" s="23">
        <v>2170</v>
      </c>
      <c r="AB1145" s="23" t="s">
        <v>97</v>
      </c>
      <c r="AC1145" s="23">
        <v>1</v>
      </c>
      <c r="AD1145" s="118">
        <v>0</v>
      </c>
      <c r="AE1145" s="118">
        <v>0</v>
      </c>
      <c r="AF1145" s="23" t="s">
        <v>97</v>
      </c>
      <c r="AG1145" s="23" t="s">
        <v>3711</v>
      </c>
      <c r="AH1145" s="39">
        <v>44584</v>
      </c>
      <c r="AI1145" s="53" t="s">
        <v>3711</v>
      </c>
    </row>
    <row r="1146" spans="1:55" ht="48">
      <c r="A1146" s="75" t="s">
        <v>5985</v>
      </c>
      <c r="B1146" s="23" t="s">
        <v>5986</v>
      </c>
      <c r="C1146" s="140">
        <v>44550</v>
      </c>
      <c r="D1146" s="23" t="s">
        <v>729</v>
      </c>
      <c r="E1146" s="23" t="s">
        <v>752</v>
      </c>
      <c r="F1146" s="23" t="s">
        <v>5697</v>
      </c>
      <c r="G1146" s="23" t="s">
        <v>5698</v>
      </c>
      <c r="P1146" s="23" t="s">
        <v>5987</v>
      </c>
      <c r="Q1146" s="141" t="s">
        <v>5988</v>
      </c>
      <c r="T1146" s="23" t="s">
        <v>12031</v>
      </c>
      <c r="U1146" s="23" t="s">
        <v>12031</v>
      </c>
      <c r="V1146" s="23" t="s">
        <v>298</v>
      </c>
      <c r="W1146" s="19" t="s">
        <v>6002</v>
      </c>
      <c r="Y1146" s="23">
        <v>4066</v>
      </c>
      <c r="AB1146" s="23" t="s">
        <v>5989</v>
      </c>
      <c r="AC1146" s="23" t="s">
        <v>1493</v>
      </c>
      <c r="AD1146" s="118">
        <v>0</v>
      </c>
      <c r="AE1146" s="118">
        <v>1</v>
      </c>
      <c r="AF1146" s="23" t="s">
        <v>3193</v>
      </c>
      <c r="AG1146" s="23" t="s">
        <v>2823</v>
      </c>
      <c r="AH1146" s="39">
        <v>44585</v>
      </c>
    </row>
    <row r="1147" spans="1:55">
      <c r="A1147" s="75" t="s">
        <v>5990</v>
      </c>
      <c r="B1147" s="23" t="s">
        <v>5991</v>
      </c>
      <c r="C1147" s="140">
        <v>44583</v>
      </c>
      <c r="D1147" s="23" t="s">
        <v>729</v>
      </c>
      <c r="E1147" s="23" t="s">
        <v>2919</v>
      </c>
      <c r="F1147" s="23" t="s">
        <v>4899</v>
      </c>
      <c r="G1147" s="23" t="s">
        <v>1724</v>
      </c>
      <c r="Q1147" s="141" t="s">
        <v>5992</v>
      </c>
      <c r="T1147" s="23" t="s">
        <v>3715</v>
      </c>
      <c r="U1147" s="23" t="s">
        <v>3715</v>
      </c>
      <c r="V1147" s="23" t="s">
        <v>298</v>
      </c>
      <c r="W1147" s="23" t="s">
        <v>5742</v>
      </c>
      <c r="Y1147" s="37">
        <v>13500</v>
      </c>
      <c r="Z1147" s="23">
        <v>70.8</v>
      </c>
      <c r="AB1147" s="23" t="s">
        <v>5997</v>
      </c>
      <c r="AC1147" s="23" t="s">
        <v>573</v>
      </c>
      <c r="AD1147" s="118">
        <v>0</v>
      </c>
      <c r="AE1147" s="118">
        <v>2</v>
      </c>
      <c r="AF1147" s="23" t="s">
        <v>3181</v>
      </c>
      <c r="AG1147" s="23" t="s">
        <v>666</v>
      </c>
      <c r="AH1147" s="39">
        <v>44585</v>
      </c>
    </row>
    <row r="1148" spans="1:55">
      <c r="A1148" s="75" t="s">
        <v>5993</v>
      </c>
      <c r="B1148" s="23" t="s">
        <v>5994</v>
      </c>
      <c r="C1148" s="140">
        <v>44583</v>
      </c>
      <c r="D1148" s="23" t="s">
        <v>729</v>
      </c>
      <c r="E1148" s="23" t="s">
        <v>2919</v>
      </c>
      <c r="F1148" s="23" t="s">
        <v>4899</v>
      </c>
      <c r="G1148" s="23" t="s">
        <v>1724</v>
      </c>
      <c r="W1148" s="23" t="s">
        <v>5995</v>
      </c>
      <c r="Y1148" s="37">
        <v>18500</v>
      </c>
      <c r="Z1148" s="23">
        <v>72</v>
      </c>
      <c r="AB1148" s="23" t="s">
        <v>5996</v>
      </c>
      <c r="AC1148" s="23" t="s">
        <v>2191</v>
      </c>
      <c r="AD1148" s="118"/>
      <c r="AE1148" s="118"/>
      <c r="AF1148" s="23" t="s">
        <v>3181</v>
      </c>
      <c r="AG1148" s="23" t="s">
        <v>666</v>
      </c>
      <c r="AH1148" s="39">
        <v>44585</v>
      </c>
    </row>
    <row r="1149" spans="1:55" ht="16">
      <c r="A1149" s="75" t="s">
        <v>5998</v>
      </c>
      <c r="B1149" s="23" t="s">
        <v>5999</v>
      </c>
      <c r="C1149" s="140">
        <v>44568</v>
      </c>
      <c r="D1149" s="23" t="s">
        <v>729</v>
      </c>
      <c r="E1149" s="23" t="s">
        <v>752</v>
      </c>
      <c r="F1149" s="23" t="s">
        <v>5697</v>
      </c>
      <c r="G1149" s="23" t="s">
        <v>5698</v>
      </c>
      <c r="P1149" s="23" t="s">
        <v>6050</v>
      </c>
      <c r="Q1149" s="141" t="s">
        <v>6051</v>
      </c>
      <c r="T1149" s="23" t="s">
        <v>12031</v>
      </c>
      <c r="U1149" s="23" t="s">
        <v>12031</v>
      </c>
      <c r="V1149" s="23" t="s">
        <v>298</v>
      </c>
      <c r="W1149" s="19" t="s">
        <v>6000</v>
      </c>
      <c r="Y1149" s="38">
        <v>5300</v>
      </c>
      <c r="Z1149" s="23">
        <v>40</v>
      </c>
      <c r="AB1149" s="23" t="s">
        <v>6001</v>
      </c>
      <c r="AC1149" s="23" t="s">
        <v>123</v>
      </c>
      <c r="AD1149" s="118">
        <v>0</v>
      </c>
      <c r="AE1149" s="118">
        <v>1</v>
      </c>
      <c r="AF1149" s="23" t="s">
        <v>3297</v>
      </c>
      <c r="AG1149" s="23" t="s">
        <v>5196</v>
      </c>
      <c r="AH1149" s="39">
        <v>44585</v>
      </c>
    </row>
    <row r="1150" spans="1:55">
      <c r="A1150" s="75" t="s">
        <v>6012</v>
      </c>
      <c r="B1150" s="23" t="s">
        <v>6013</v>
      </c>
      <c r="C1150" s="140">
        <v>44583</v>
      </c>
      <c r="D1150" s="23" t="s">
        <v>729</v>
      </c>
      <c r="E1150" s="23" t="s">
        <v>2919</v>
      </c>
      <c r="F1150" s="23" t="s">
        <v>4899</v>
      </c>
      <c r="G1150" s="23" t="s">
        <v>1724</v>
      </c>
      <c r="Q1150" s="141" t="s">
        <v>6014</v>
      </c>
      <c r="T1150" s="23" t="s">
        <v>3715</v>
      </c>
      <c r="U1150" s="23" t="s">
        <v>3715</v>
      </c>
      <c r="V1150" s="23" t="s">
        <v>298</v>
      </c>
      <c r="W1150" s="23" t="s">
        <v>4947</v>
      </c>
      <c r="Y1150" s="37">
        <v>22590</v>
      </c>
      <c r="Z1150" s="23">
        <v>68</v>
      </c>
      <c r="AB1150" s="23" t="s">
        <v>6015</v>
      </c>
      <c r="AC1150" s="23" t="s">
        <v>6016</v>
      </c>
      <c r="AD1150" s="118">
        <v>0</v>
      </c>
      <c r="AE1150" s="118">
        <v>5</v>
      </c>
      <c r="AF1150" s="23" t="s">
        <v>3297</v>
      </c>
      <c r="AG1150" s="23" t="s">
        <v>666</v>
      </c>
      <c r="AH1150" s="39">
        <v>44586</v>
      </c>
    </row>
    <row r="1151" spans="1:55" ht="64">
      <c r="A1151" s="75" t="s">
        <v>6017</v>
      </c>
      <c r="B1151" s="23" t="s">
        <v>6018</v>
      </c>
      <c r="C1151" s="140">
        <v>44584</v>
      </c>
      <c r="F1151" s="23" t="s">
        <v>4899</v>
      </c>
      <c r="G1151" s="23" t="s">
        <v>1724</v>
      </c>
      <c r="Q1151" s="141" t="s">
        <v>6014</v>
      </c>
      <c r="W1151" s="23" t="s">
        <v>5725</v>
      </c>
      <c r="Y1151" s="37">
        <v>33460</v>
      </c>
      <c r="Z1151" s="23">
        <v>120</v>
      </c>
      <c r="AB1151" s="19" t="s">
        <v>6021</v>
      </c>
      <c r="AC1151" s="37" t="s">
        <v>6019</v>
      </c>
      <c r="AD1151" s="118"/>
      <c r="AE1151" s="118"/>
      <c r="AF1151" s="19" t="s">
        <v>3214</v>
      </c>
      <c r="AG1151" s="23" t="s">
        <v>666</v>
      </c>
      <c r="AH1151" s="39">
        <v>44586</v>
      </c>
    </row>
    <row r="1152" spans="1:55">
      <c r="A1152" s="75" t="s">
        <v>6020</v>
      </c>
      <c r="B1152" s="23" t="s">
        <v>6022</v>
      </c>
      <c r="C1152" s="140">
        <v>44585</v>
      </c>
      <c r="F1152" s="23" t="s">
        <v>4899</v>
      </c>
      <c r="G1152" s="23" t="s">
        <v>1724</v>
      </c>
      <c r="Q1152" s="141" t="s">
        <v>6014</v>
      </c>
      <c r="W1152" s="23" t="s">
        <v>6023</v>
      </c>
      <c r="Y1152" s="37">
        <v>11960</v>
      </c>
      <c r="Z1152" s="23">
        <v>71</v>
      </c>
      <c r="AB1152" s="23" t="s">
        <v>6024</v>
      </c>
      <c r="AC1152" s="23" t="s">
        <v>1672</v>
      </c>
      <c r="AD1152" s="118"/>
      <c r="AE1152" s="118"/>
      <c r="AF1152" s="23" t="s">
        <v>3181</v>
      </c>
      <c r="AG1152" s="23" t="s">
        <v>666</v>
      </c>
      <c r="AH1152" s="39">
        <v>44586</v>
      </c>
    </row>
    <row r="1153" spans="1:55">
      <c r="A1153" s="75" t="s">
        <v>6025</v>
      </c>
      <c r="B1153" s="23" t="s">
        <v>6026</v>
      </c>
      <c r="C1153" s="140">
        <v>44585</v>
      </c>
      <c r="F1153" s="23" t="s">
        <v>4899</v>
      </c>
      <c r="G1153" s="23" t="s">
        <v>1724</v>
      </c>
      <c r="Q1153" s="141" t="s">
        <v>6014</v>
      </c>
      <c r="W1153" s="23" t="s">
        <v>6027</v>
      </c>
      <c r="Y1153" s="37">
        <v>16820</v>
      </c>
      <c r="Z1153" s="23">
        <v>71.2</v>
      </c>
      <c r="AB1153" s="23" t="s">
        <v>6028</v>
      </c>
      <c r="AC1153" s="23" t="s">
        <v>6029</v>
      </c>
      <c r="AD1153" s="118"/>
      <c r="AE1153" s="118"/>
      <c r="AF1153" s="23" t="s">
        <v>3181</v>
      </c>
      <c r="AG1153" s="23" t="s">
        <v>666</v>
      </c>
      <c r="AH1153" s="39">
        <v>44586</v>
      </c>
    </row>
    <row r="1154" spans="1:55">
      <c r="A1154" s="75" t="s">
        <v>6030</v>
      </c>
      <c r="B1154" s="23" t="s">
        <v>6031</v>
      </c>
      <c r="C1154" s="140">
        <v>44577</v>
      </c>
      <c r="D1154" s="23" t="s">
        <v>729</v>
      </c>
      <c r="E1154" s="23" t="s">
        <v>3773</v>
      </c>
      <c r="F1154" s="23" t="s">
        <v>4674</v>
      </c>
      <c r="G1154" s="23" t="s">
        <v>3469</v>
      </c>
      <c r="H1154" s="23" t="s">
        <v>6032</v>
      </c>
      <c r="I1154" s="23" t="s">
        <v>6032</v>
      </c>
      <c r="J1154" s="140">
        <v>44559</v>
      </c>
      <c r="T1154" s="23" t="s">
        <v>12031</v>
      </c>
      <c r="U1154" s="23" t="s">
        <v>12031</v>
      </c>
      <c r="V1154" s="23" t="s">
        <v>299</v>
      </c>
      <c r="W1154" s="23" t="s">
        <v>6033</v>
      </c>
      <c r="AB1154" s="23" t="s">
        <v>97</v>
      </c>
      <c r="AC1154" s="23">
        <v>10</v>
      </c>
      <c r="AD1154" s="118">
        <v>0</v>
      </c>
      <c r="AE1154" s="118">
        <v>0</v>
      </c>
      <c r="AF1154" s="23" t="s">
        <v>97</v>
      </c>
      <c r="AG1154" s="23" t="s">
        <v>6034</v>
      </c>
      <c r="AH1154" s="39">
        <v>44585</v>
      </c>
      <c r="AI1154" s="53" t="s">
        <v>299</v>
      </c>
    </row>
    <row r="1155" spans="1:55">
      <c r="A1155" s="75" t="s">
        <v>6052</v>
      </c>
      <c r="B1155" s="23" t="s">
        <v>6053</v>
      </c>
      <c r="C1155" s="140">
        <v>44586</v>
      </c>
      <c r="D1155" s="23" t="s">
        <v>729</v>
      </c>
      <c r="E1155" s="23" t="s">
        <v>2919</v>
      </c>
      <c r="F1155" s="23" t="s">
        <v>4899</v>
      </c>
      <c r="G1155" s="23" t="s">
        <v>1724</v>
      </c>
      <c r="Q1155" s="141" t="s">
        <v>6054</v>
      </c>
      <c r="T1155" s="23" t="s">
        <v>3715</v>
      </c>
      <c r="U1155" s="23" t="s">
        <v>3715</v>
      </c>
      <c r="V1155" s="23" t="s">
        <v>298</v>
      </c>
      <c r="W1155" s="23" t="s">
        <v>5073</v>
      </c>
      <c r="Y1155" s="37">
        <v>12200</v>
      </c>
      <c r="Z1155" s="23">
        <v>72.2</v>
      </c>
      <c r="AB1155" s="23" t="s">
        <v>6055</v>
      </c>
      <c r="AC1155" s="23" t="s">
        <v>4704</v>
      </c>
      <c r="AD1155" s="118">
        <v>0</v>
      </c>
      <c r="AE1155" s="118">
        <v>1</v>
      </c>
      <c r="AF1155" s="23" t="s">
        <v>3181</v>
      </c>
      <c r="AG1155" s="23" t="s">
        <v>665</v>
      </c>
      <c r="AH1155" s="39">
        <v>44587</v>
      </c>
    </row>
    <row r="1156" spans="1:55" ht="32">
      <c r="A1156" s="75" t="s">
        <v>6063</v>
      </c>
      <c r="B1156" s="23" t="s">
        <v>6064</v>
      </c>
      <c r="C1156" s="140">
        <v>44569</v>
      </c>
      <c r="D1156" s="23" t="s">
        <v>729</v>
      </c>
      <c r="E1156" s="23" t="s">
        <v>752</v>
      </c>
      <c r="F1156" s="23" t="s">
        <v>4899</v>
      </c>
      <c r="G1156" s="23" t="s">
        <v>1724</v>
      </c>
      <c r="P1156" s="23" t="s">
        <v>6050</v>
      </c>
      <c r="Q1156" s="141" t="s">
        <v>6051</v>
      </c>
      <c r="T1156" s="23" t="s">
        <v>12031</v>
      </c>
      <c r="U1156" s="23" t="s">
        <v>12031</v>
      </c>
      <c r="V1156" s="23" t="s">
        <v>298</v>
      </c>
      <c r="W1156" s="19" t="s">
        <v>6065</v>
      </c>
      <c r="Y1156" s="23">
        <v>4000</v>
      </c>
      <c r="Z1156" s="23">
        <v>30</v>
      </c>
      <c r="AB1156" s="23" t="s">
        <v>6066</v>
      </c>
      <c r="AC1156" s="23" t="s">
        <v>123</v>
      </c>
      <c r="AD1156" s="118">
        <v>0</v>
      </c>
      <c r="AE1156" s="118">
        <v>1</v>
      </c>
      <c r="AF1156" s="23" t="s">
        <v>3193</v>
      </c>
      <c r="AG1156" s="23" t="s">
        <v>3930</v>
      </c>
      <c r="AH1156" s="39">
        <v>44588</v>
      </c>
    </row>
    <row r="1157" spans="1:55" ht="48">
      <c r="A1157" s="75" t="s">
        <v>6067</v>
      </c>
      <c r="B1157" s="23" t="s">
        <v>6068</v>
      </c>
      <c r="C1157" s="140">
        <v>44556</v>
      </c>
      <c r="D1157" s="23" t="s">
        <v>729</v>
      </c>
      <c r="E1157" s="23" t="s">
        <v>752</v>
      </c>
      <c r="F1157" s="23" t="s">
        <v>5697</v>
      </c>
      <c r="G1157" s="23" t="s">
        <v>1989</v>
      </c>
      <c r="H1157" s="23" t="s">
        <v>6069</v>
      </c>
      <c r="I1157" s="23" t="s">
        <v>6069</v>
      </c>
      <c r="J1157" s="140">
        <v>44552</v>
      </c>
      <c r="T1157" s="23" t="s">
        <v>12031</v>
      </c>
      <c r="U1157" s="23" t="s">
        <v>12031</v>
      </c>
      <c r="V1157" s="23" t="s">
        <v>299</v>
      </c>
      <c r="W1157" s="23" t="s">
        <v>6070</v>
      </c>
      <c r="AB1157" s="19" t="s">
        <v>6071</v>
      </c>
      <c r="AC1157" s="23">
        <v>3</v>
      </c>
      <c r="AD1157" s="118">
        <v>0</v>
      </c>
      <c r="AE1157" s="118">
        <v>2</v>
      </c>
      <c r="AF1157" s="23" t="s">
        <v>6083</v>
      </c>
      <c r="AG1157" s="23" t="s">
        <v>665</v>
      </c>
      <c r="AH1157" s="39">
        <v>44588</v>
      </c>
      <c r="AI1157" s="53" t="s">
        <v>299</v>
      </c>
    </row>
    <row r="1158" spans="1:55" ht="80">
      <c r="A1158" s="75" t="s">
        <v>6072</v>
      </c>
      <c r="B1158" s="23" t="s">
        <v>6073</v>
      </c>
      <c r="C1158" s="140">
        <v>44556</v>
      </c>
      <c r="D1158" s="23" t="s">
        <v>729</v>
      </c>
      <c r="E1158" s="23" t="s">
        <v>752</v>
      </c>
      <c r="F1158" s="23" t="s">
        <v>3456</v>
      </c>
      <c r="G1158" s="23" t="s">
        <v>1989</v>
      </c>
      <c r="H1158" s="23" t="s">
        <v>6074</v>
      </c>
      <c r="I1158" s="23" t="s">
        <v>6074</v>
      </c>
      <c r="J1158" s="140">
        <v>44552</v>
      </c>
      <c r="T1158" s="23" t="s">
        <v>12031</v>
      </c>
      <c r="U1158" s="23" t="s">
        <v>12031</v>
      </c>
      <c r="V1158" s="23" t="s">
        <v>299</v>
      </c>
      <c r="W1158" s="23" t="s">
        <v>6075</v>
      </c>
      <c r="AB1158" s="19" t="s">
        <v>6076</v>
      </c>
      <c r="AC1158" s="23">
        <v>7</v>
      </c>
      <c r="AD1158" s="118">
        <v>0</v>
      </c>
      <c r="AE1158" s="118">
        <v>3</v>
      </c>
      <c r="AF1158" s="23" t="s">
        <v>6083</v>
      </c>
      <c r="AG1158" s="23" t="s">
        <v>3856</v>
      </c>
      <c r="AH1158" s="39">
        <v>44588</v>
      </c>
      <c r="AI1158" s="53" t="s">
        <v>299</v>
      </c>
    </row>
    <row r="1159" spans="1:55" ht="32">
      <c r="A1159" s="75" t="s">
        <v>6087</v>
      </c>
      <c r="B1159" s="23" t="s">
        <v>6088</v>
      </c>
      <c r="C1159" s="140">
        <v>44544</v>
      </c>
      <c r="D1159" s="23" t="s">
        <v>729</v>
      </c>
      <c r="E1159" s="23" t="s">
        <v>752</v>
      </c>
      <c r="F1159" s="23" t="s">
        <v>4674</v>
      </c>
      <c r="G1159" s="23" t="s">
        <v>3469</v>
      </c>
      <c r="H1159" s="23" t="s">
        <v>6089</v>
      </c>
      <c r="I1159" s="23" t="s">
        <v>6089</v>
      </c>
      <c r="J1159" s="140">
        <v>44531</v>
      </c>
      <c r="T1159" s="23" t="s">
        <v>12031</v>
      </c>
      <c r="U1159" s="23" t="s">
        <v>12031</v>
      </c>
      <c r="V1159" s="23" t="s">
        <v>299</v>
      </c>
      <c r="W1159" s="23" t="s">
        <v>6090</v>
      </c>
      <c r="AB1159" s="19" t="s">
        <v>6151</v>
      </c>
      <c r="AC1159" s="23">
        <v>6</v>
      </c>
      <c r="AD1159" s="118">
        <v>0</v>
      </c>
      <c r="AE1159" s="118">
        <v>2</v>
      </c>
      <c r="AF1159" s="23" t="s">
        <v>3297</v>
      </c>
      <c r="AG1159" s="23" t="s">
        <v>5879</v>
      </c>
      <c r="AH1159" s="39">
        <v>44595</v>
      </c>
      <c r="AI1159" s="53" t="s">
        <v>3469</v>
      </c>
    </row>
    <row r="1160" spans="1:55" ht="160">
      <c r="A1160" s="75" t="s">
        <v>6100</v>
      </c>
      <c r="B1160" s="23" t="s">
        <v>6101</v>
      </c>
      <c r="C1160" s="140">
        <v>44578</v>
      </c>
      <c r="D1160" s="23" t="s">
        <v>729</v>
      </c>
      <c r="E1160" s="23" t="s">
        <v>752</v>
      </c>
      <c r="F1160" s="23" t="s">
        <v>2200</v>
      </c>
      <c r="G1160" s="23" t="s">
        <v>301</v>
      </c>
      <c r="H1160" s="23">
        <v>20389838</v>
      </c>
      <c r="I1160" s="23">
        <v>20389838</v>
      </c>
      <c r="J1160" s="140">
        <v>44577</v>
      </c>
      <c r="T1160" s="23" t="s">
        <v>305</v>
      </c>
      <c r="U1160" s="23" t="s">
        <v>305</v>
      </c>
      <c r="V1160" s="23" t="s">
        <v>299</v>
      </c>
      <c r="W1160" s="23" t="s">
        <v>6102</v>
      </c>
      <c r="X1160" s="23">
        <v>41360</v>
      </c>
      <c r="Y1160" s="23">
        <v>41360</v>
      </c>
      <c r="AA1160" s="23">
        <f>18000*10</f>
        <v>180000</v>
      </c>
      <c r="AB1160" s="19" t="s">
        <v>6174</v>
      </c>
      <c r="AC1160" s="59">
        <v>20</v>
      </c>
      <c r="AD1160" s="118">
        <v>0</v>
      </c>
      <c r="AE1160" s="118">
        <v>10</v>
      </c>
      <c r="AF1160" s="23" t="s">
        <v>3193</v>
      </c>
      <c r="AG1160" s="23" t="s">
        <v>659</v>
      </c>
      <c r="AH1160" s="39">
        <v>44595</v>
      </c>
      <c r="AI1160" s="53" t="s">
        <v>5851</v>
      </c>
      <c r="BC1160" s="2" t="s">
        <v>6188</v>
      </c>
    </row>
    <row r="1161" spans="1:55">
      <c r="A1161" s="75" t="s">
        <v>6103</v>
      </c>
      <c r="B1161" s="23" t="s">
        <v>6101</v>
      </c>
      <c r="C1161" s="140">
        <v>44578</v>
      </c>
      <c r="D1161" s="23" t="s">
        <v>729</v>
      </c>
      <c r="E1161" s="23" t="s">
        <v>752</v>
      </c>
      <c r="F1161" s="23" t="s">
        <v>2200</v>
      </c>
      <c r="G1161" s="23" t="s">
        <v>301</v>
      </c>
      <c r="H1161" s="23">
        <v>20389840</v>
      </c>
      <c r="I1161" s="23">
        <v>20389840</v>
      </c>
      <c r="J1161" s="140">
        <v>44577</v>
      </c>
      <c r="T1161" s="23" t="s">
        <v>305</v>
      </c>
      <c r="U1161" s="23" t="s">
        <v>305</v>
      </c>
      <c r="V1161" s="23" t="s">
        <v>299</v>
      </c>
      <c r="W1161" s="23" t="s">
        <v>6102</v>
      </c>
      <c r="X1161" s="23">
        <v>41360</v>
      </c>
      <c r="Y1161" s="23">
        <v>41360</v>
      </c>
      <c r="AA1161" s="23">
        <f>18000*10</f>
        <v>180000</v>
      </c>
      <c r="AB1161" s="23" t="s">
        <v>2131</v>
      </c>
      <c r="AC1161" s="59"/>
      <c r="AD1161" s="118"/>
      <c r="AE1161" s="118"/>
      <c r="AG1161" s="23" t="s">
        <v>659</v>
      </c>
      <c r="AH1161" s="39">
        <v>44595</v>
      </c>
      <c r="AI1161" s="53" t="s">
        <v>5851</v>
      </c>
    </row>
    <row r="1162" spans="1:55">
      <c r="A1162" s="75" t="s">
        <v>6107</v>
      </c>
      <c r="B1162" s="23" t="s">
        <v>6108</v>
      </c>
      <c r="C1162" s="140">
        <v>44585</v>
      </c>
      <c r="D1162" s="23" t="s">
        <v>729</v>
      </c>
      <c r="E1162" s="23" t="s">
        <v>752</v>
      </c>
      <c r="F1162" s="23" t="s">
        <v>4899</v>
      </c>
      <c r="G1162" s="23" t="s">
        <v>1724</v>
      </c>
      <c r="P1162" s="23" t="s">
        <v>6109</v>
      </c>
      <c r="Q1162" s="141" t="s">
        <v>6110</v>
      </c>
      <c r="T1162" s="23" t="s">
        <v>12031</v>
      </c>
      <c r="U1162" s="23" t="s">
        <v>12031</v>
      </c>
      <c r="V1162" s="23" t="s">
        <v>298</v>
      </c>
      <c r="W1162" s="23" t="s">
        <v>498</v>
      </c>
      <c r="X1162" s="37"/>
      <c r="Y1162" s="37">
        <v>12298.07</v>
      </c>
      <c r="Z1162" s="23">
        <v>51.872999999999998</v>
      </c>
      <c r="AB1162" s="23" t="s">
        <v>6111</v>
      </c>
      <c r="AC1162" s="23" t="s">
        <v>6112</v>
      </c>
      <c r="AD1162" s="118">
        <v>0</v>
      </c>
      <c r="AE1162" s="118">
        <v>1</v>
      </c>
      <c r="AF1162" s="23" t="s">
        <v>3297</v>
      </c>
      <c r="AG1162" s="23" t="s">
        <v>4534</v>
      </c>
      <c r="AH1162" s="39">
        <v>44596</v>
      </c>
    </row>
    <row r="1163" spans="1:55">
      <c r="A1163" s="75" t="s">
        <v>6116</v>
      </c>
      <c r="B1163" s="23" t="s">
        <v>6117</v>
      </c>
      <c r="C1163" s="140">
        <v>44595</v>
      </c>
      <c r="D1163" s="23" t="s">
        <v>729</v>
      </c>
      <c r="E1163" s="23" t="s">
        <v>752</v>
      </c>
      <c r="F1163" s="23" t="s">
        <v>5765</v>
      </c>
      <c r="G1163" s="23" t="s">
        <v>1724</v>
      </c>
      <c r="P1163" s="23" t="s">
        <v>6118</v>
      </c>
      <c r="Q1163" s="141" t="s">
        <v>6119</v>
      </c>
      <c r="T1163" s="23" t="s">
        <v>12031</v>
      </c>
      <c r="U1163" s="23" t="s">
        <v>12031</v>
      </c>
      <c r="V1163" s="23" t="s">
        <v>298</v>
      </c>
      <c r="W1163" s="23" t="s">
        <v>425</v>
      </c>
      <c r="Y1163" s="38">
        <v>23400</v>
      </c>
      <c r="Z1163" s="23">
        <v>68</v>
      </c>
      <c r="AB1163" s="23" t="s">
        <v>6121</v>
      </c>
      <c r="AC1163" s="23" t="s">
        <v>6120</v>
      </c>
      <c r="AD1163" s="118">
        <v>0</v>
      </c>
      <c r="AE1163" s="118">
        <v>1</v>
      </c>
      <c r="AF1163" s="23" t="s">
        <v>6122</v>
      </c>
      <c r="AG1163" s="23" t="s">
        <v>666</v>
      </c>
      <c r="AH1163" s="39">
        <v>44599</v>
      </c>
    </row>
    <row r="1164" spans="1:55">
      <c r="A1164" s="75" t="s">
        <v>6123</v>
      </c>
      <c r="B1164" s="23" t="s">
        <v>6124</v>
      </c>
      <c r="C1164" s="140">
        <v>44599</v>
      </c>
      <c r="D1164" s="23" t="s">
        <v>729</v>
      </c>
      <c r="E1164" s="23" t="s">
        <v>2919</v>
      </c>
      <c r="F1164" s="23" t="s">
        <v>4899</v>
      </c>
      <c r="G1164" s="23" t="s">
        <v>1724</v>
      </c>
      <c r="Q1164" s="141" t="s">
        <v>6125</v>
      </c>
      <c r="T1164" s="23" t="s">
        <v>3715</v>
      </c>
      <c r="U1164" s="23" t="s">
        <v>3715</v>
      </c>
      <c r="V1164" s="23" t="s">
        <v>298</v>
      </c>
      <c r="W1164" s="23" t="s">
        <v>6027</v>
      </c>
      <c r="Y1164" s="38">
        <v>16400</v>
      </c>
      <c r="Z1164" s="23">
        <v>71</v>
      </c>
      <c r="AB1164" s="23" t="s">
        <v>6126</v>
      </c>
      <c r="AC1164" s="23" t="s">
        <v>6127</v>
      </c>
      <c r="AD1164" s="118">
        <v>0</v>
      </c>
      <c r="AE1164" s="118">
        <v>1</v>
      </c>
      <c r="AF1164" s="23" t="s">
        <v>3181</v>
      </c>
      <c r="AG1164" s="23" t="s">
        <v>637</v>
      </c>
      <c r="AH1164" s="39">
        <v>44599</v>
      </c>
    </row>
    <row r="1165" spans="1:55" ht="48">
      <c r="A1165" s="75" t="s">
        <v>6128</v>
      </c>
      <c r="B1165" s="59" t="s">
        <v>6129</v>
      </c>
      <c r="C1165" s="140">
        <v>44585</v>
      </c>
      <c r="D1165" s="23" t="s">
        <v>729</v>
      </c>
      <c r="E1165" s="23" t="s">
        <v>752</v>
      </c>
      <c r="F1165" s="23" t="s">
        <v>2200</v>
      </c>
      <c r="G1165" s="23" t="s">
        <v>301</v>
      </c>
      <c r="H1165" s="23">
        <v>20390577</v>
      </c>
      <c r="I1165" s="23">
        <v>20390577</v>
      </c>
      <c r="J1165" s="140">
        <v>44581</v>
      </c>
      <c r="K1165" s="23" t="s">
        <v>6130</v>
      </c>
      <c r="L1165" s="140">
        <v>44587</v>
      </c>
      <c r="T1165" s="23" t="s">
        <v>305</v>
      </c>
      <c r="U1165" s="23" t="s">
        <v>305</v>
      </c>
      <c r="V1165" s="23" t="s">
        <v>299</v>
      </c>
      <c r="W1165" s="23" t="s">
        <v>5900</v>
      </c>
      <c r="AB1165" s="19" t="s">
        <v>6131</v>
      </c>
      <c r="AC1165" s="59">
        <v>7</v>
      </c>
      <c r="AD1165" s="118">
        <v>1</v>
      </c>
      <c r="AE1165" s="118">
        <v>2</v>
      </c>
      <c r="AG1165" s="23" t="s">
        <v>1553</v>
      </c>
      <c r="AH1165" s="39">
        <v>44599</v>
      </c>
      <c r="AI1165" s="53" t="s">
        <v>5851</v>
      </c>
    </row>
    <row r="1166" spans="1:55" ht="32">
      <c r="A1166" s="75" t="s">
        <v>6132</v>
      </c>
      <c r="B1166" s="23" t="s">
        <v>6133</v>
      </c>
      <c r="C1166" s="140">
        <v>44585</v>
      </c>
      <c r="D1166" s="23" t="s">
        <v>729</v>
      </c>
      <c r="E1166" s="23" t="s">
        <v>752</v>
      </c>
      <c r="F1166" s="23" t="s">
        <v>2200</v>
      </c>
      <c r="G1166" s="23" t="s">
        <v>301</v>
      </c>
      <c r="H1166" s="23">
        <v>20390576</v>
      </c>
      <c r="I1166" s="23">
        <v>20390576</v>
      </c>
      <c r="J1166" s="140">
        <v>44581</v>
      </c>
      <c r="K1166" s="23" t="s">
        <v>6134</v>
      </c>
      <c r="L1166" s="140">
        <v>44587</v>
      </c>
      <c r="T1166" s="23" t="s">
        <v>305</v>
      </c>
      <c r="U1166" s="23" t="s">
        <v>305</v>
      </c>
      <c r="V1166" s="23" t="s">
        <v>299</v>
      </c>
      <c r="W1166" s="19" t="s">
        <v>6135</v>
      </c>
      <c r="AB1166" s="23" t="s">
        <v>6136</v>
      </c>
      <c r="AC1166" s="59">
        <v>3</v>
      </c>
      <c r="AD1166" s="118">
        <v>0</v>
      </c>
      <c r="AE1166" s="118">
        <v>1</v>
      </c>
      <c r="AG1166" s="23" t="s">
        <v>1553</v>
      </c>
      <c r="AH1166" s="39">
        <v>44599</v>
      </c>
      <c r="AI1166" s="53" t="s">
        <v>5851</v>
      </c>
    </row>
    <row r="1167" spans="1:55" ht="160">
      <c r="A1167" s="75" t="s">
        <v>6137</v>
      </c>
      <c r="B1167" s="59" t="s">
        <v>6138</v>
      </c>
      <c r="C1167" s="140">
        <v>44585</v>
      </c>
      <c r="D1167" s="23" t="s">
        <v>729</v>
      </c>
      <c r="E1167" s="23" t="s">
        <v>752</v>
      </c>
      <c r="F1167" s="23" t="s">
        <v>2200</v>
      </c>
      <c r="G1167" s="23" t="s">
        <v>301</v>
      </c>
      <c r="H1167" s="23">
        <v>20389839</v>
      </c>
      <c r="I1167" s="23">
        <v>20389839</v>
      </c>
      <c r="J1167" s="140">
        <v>44581</v>
      </c>
      <c r="K1167" s="23" t="s">
        <v>6139</v>
      </c>
      <c r="L1167" s="140">
        <v>44587</v>
      </c>
      <c r="T1167" s="23" t="s">
        <v>305</v>
      </c>
      <c r="U1167" s="23" t="s">
        <v>305</v>
      </c>
      <c r="V1167" s="23" t="s">
        <v>299</v>
      </c>
      <c r="W1167" s="23" t="s">
        <v>6102</v>
      </c>
      <c r="AB1167" s="60" t="s">
        <v>6140</v>
      </c>
      <c r="AC1167" s="59">
        <v>20</v>
      </c>
      <c r="AD1167" s="118">
        <v>0</v>
      </c>
      <c r="AE1167" s="118">
        <v>10</v>
      </c>
      <c r="AG1167" s="23" t="s">
        <v>1553</v>
      </c>
      <c r="AH1167" s="39">
        <v>44599</v>
      </c>
      <c r="AI1167" s="53" t="s">
        <v>5851</v>
      </c>
      <c r="BC1167" s="2" t="s">
        <v>6247</v>
      </c>
    </row>
    <row r="1168" spans="1:55" ht="64">
      <c r="A1168" s="75" t="s">
        <v>6143</v>
      </c>
      <c r="B1168" s="23" t="s">
        <v>6144</v>
      </c>
      <c r="C1168" s="140">
        <v>44592</v>
      </c>
      <c r="D1168" s="23" t="s">
        <v>729</v>
      </c>
      <c r="E1168" s="23" t="s">
        <v>2919</v>
      </c>
      <c r="F1168" s="23" t="s">
        <v>4899</v>
      </c>
      <c r="G1168" s="23" t="s">
        <v>1724</v>
      </c>
      <c r="Q1168" s="141" t="s">
        <v>6125</v>
      </c>
      <c r="T1168" s="23" t="s">
        <v>3715</v>
      </c>
      <c r="U1168" s="23" t="s">
        <v>3715</v>
      </c>
      <c r="V1168" s="23" t="s">
        <v>298</v>
      </c>
      <c r="W1168" s="23" t="s">
        <v>4947</v>
      </c>
      <c r="Y1168" s="38">
        <v>43400</v>
      </c>
      <c r="Z1168" s="23">
        <v>120</v>
      </c>
      <c r="AB1168" s="19" t="s">
        <v>6150</v>
      </c>
      <c r="AC1168" s="23" t="s">
        <v>6145</v>
      </c>
      <c r="AD1168" s="118">
        <v>0</v>
      </c>
      <c r="AE1168" s="118">
        <v>3</v>
      </c>
      <c r="AF1168" s="19" t="s">
        <v>3214</v>
      </c>
      <c r="AG1168" s="23" t="s">
        <v>637</v>
      </c>
      <c r="AH1168" s="39">
        <v>44600</v>
      </c>
    </row>
    <row r="1169" spans="1:37">
      <c r="A1169" s="75" t="s">
        <v>6146</v>
      </c>
      <c r="B1169" s="23" t="s">
        <v>6147</v>
      </c>
      <c r="C1169" s="140">
        <v>44584</v>
      </c>
      <c r="F1169" s="23" t="s">
        <v>4899</v>
      </c>
      <c r="G1169" s="23" t="s">
        <v>1724</v>
      </c>
      <c r="Q1169" s="141" t="s">
        <v>6125</v>
      </c>
      <c r="W1169" s="23" t="s">
        <v>4947</v>
      </c>
      <c r="Y1169" s="37">
        <v>21700</v>
      </c>
      <c r="Z1169" s="23">
        <v>60</v>
      </c>
      <c r="AB1169" s="23" t="s">
        <v>6148</v>
      </c>
      <c r="AC1169" s="23" t="s">
        <v>6149</v>
      </c>
      <c r="AD1169" s="118"/>
      <c r="AE1169" s="118"/>
      <c r="AF1169" s="23" t="s">
        <v>3297</v>
      </c>
      <c r="AG1169" s="23" t="s">
        <v>666</v>
      </c>
      <c r="AH1169" s="39">
        <v>44600</v>
      </c>
    </row>
    <row r="1170" spans="1:37" ht="64">
      <c r="A1170" s="104" t="s">
        <v>6153</v>
      </c>
      <c r="B1170" s="23" t="s">
        <v>6165</v>
      </c>
      <c r="C1170" s="140">
        <v>44598</v>
      </c>
      <c r="D1170" s="23" t="s">
        <v>729</v>
      </c>
      <c r="E1170" s="23" t="s">
        <v>752</v>
      </c>
      <c r="F1170" s="23" t="s">
        <v>57</v>
      </c>
      <c r="G1170" s="23" t="s">
        <v>57</v>
      </c>
      <c r="H1170" s="23" t="s">
        <v>6166</v>
      </c>
      <c r="I1170" s="23" t="s">
        <v>6166</v>
      </c>
      <c r="J1170" s="140">
        <v>44594</v>
      </c>
      <c r="K1170" s="23" t="s">
        <v>6167</v>
      </c>
      <c r="L1170" s="140">
        <v>44600</v>
      </c>
      <c r="P1170" s="23" t="s">
        <v>6168</v>
      </c>
      <c r="S1170" s="23" t="s">
        <v>184</v>
      </c>
      <c r="T1170" s="23" t="s">
        <v>302</v>
      </c>
      <c r="U1170" s="23" t="s">
        <v>302</v>
      </c>
      <c r="V1170" s="23" t="s">
        <v>233</v>
      </c>
      <c r="W1170" s="23" t="s">
        <v>284</v>
      </c>
      <c r="X1170" s="23">
        <v>45633.68</v>
      </c>
      <c r="Y1170" s="23">
        <v>46326</v>
      </c>
      <c r="Z1170" s="23">
        <v>58124.84</v>
      </c>
      <c r="AA1170" s="23">
        <v>55001.279999999999</v>
      </c>
      <c r="AB1170" s="19" t="s">
        <v>6169</v>
      </c>
      <c r="AC1170" s="23" t="s">
        <v>6170</v>
      </c>
      <c r="AD1170" s="118">
        <v>0</v>
      </c>
      <c r="AE1170" s="118">
        <v>4</v>
      </c>
      <c r="AF1170" s="23" t="s">
        <v>3297</v>
      </c>
      <c r="AG1170" s="23" t="s">
        <v>787</v>
      </c>
      <c r="AH1170" s="39">
        <v>44600</v>
      </c>
    </row>
    <row r="1171" spans="1:37">
      <c r="A1171" s="104" t="s">
        <v>6154</v>
      </c>
      <c r="B1171" s="23" t="s">
        <v>6171</v>
      </c>
      <c r="C1171" s="140">
        <v>44598</v>
      </c>
      <c r="D1171" s="23" t="s">
        <v>729</v>
      </c>
      <c r="E1171" s="23" t="s">
        <v>752</v>
      </c>
      <c r="F1171" s="23" t="s">
        <v>57</v>
      </c>
      <c r="G1171" s="23" t="s">
        <v>57</v>
      </c>
      <c r="H1171" s="23" t="s">
        <v>6172</v>
      </c>
      <c r="I1171" s="23" t="s">
        <v>6172</v>
      </c>
      <c r="J1171" s="140">
        <v>44594</v>
      </c>
      <c r="P1171" s="23" t="s">
        <v>6168</v>
      </c>
      <c r="S1171" s="23" t="s">
        <v>184</v>
      </c>
      <c r="T1171" s="23" t="s">
        <v>302</v>
      </c>
      <c r="U1171" s="23" t="s">
        <v>302</v>
      </c>
      <c r="V1171" s="23" t="s">
        <v>233</v>
      </c>
      <c r="W1171" s="23" t="s">
        <v>6208</v>
      </c>
      <c r="X1171" s="37">
        <v>2443.58</v>
      </c>
      <c r="Y1171" s="38">
        <v>2506</v>
      </c>
      <c r="Z1171" s="23">
        <v>25</v>
      </c>
      <c r="AB1171" s="23" t="s">
        <v>6173</v>
      </c>
      <c r="AC1171" s="23" t="s">
        <v>4143</v>
      </c>
      <c r="AD1171" s="118">
        <v>1</v>
      </c>
      <c r="AE1171" s="118">
        <v>0</v>
      </c>
      <c r="AF1171" s="23" t="s">
        <v>3451</v>
      </c>
      <c r="AG1171" s="23" t="s">
        <v>787</v>
      </c>
      <c r="AH1171" s="39">
        <v>44600</v>
      </c>
    </row>
    <row r="1172" spans="1:37" ht="64">
      <c r="A1172" s="75" t="s">
        <v>6155</v>
      </c>
      <c r="B1172" s="23" t="s">
        <v>6156</v>
      </c>
      <c r="C1172" s="140">
        <v>44598</v>
      </c>
      <c r="D1172" s="23" t="s">
        <v>729</v>
      </c>
      <c r="E1172" s="23" t="s">
        <v>752</v>
      </c>
      <c r="F1172" s="23" t="s">
        <v>5765</v>
      </c>
      <c r="G1172" s="23" t="s">
        <v>1724</v>
      </c>
      <c r="P1172" s="23" t="s">
        <v>6157</v>
      </c>
      <c r="Q1172" s="141" t="s">
        <v>6161</v>
      </c>
      <c r="T1172" s="23" t="s">
        <v>12031</v>
      </c>
      <c r="U1172" s="23" t="s">
        <v>12031</v>
      </c>
      <c r="V1172" s="23" t="s">
        <v>298</v>
      </c>
      <c r="W1172" s="23" t="s">
        <v>425</v>
      </c>
      <c r="Y1172" s="38">
        <v>43500</v>
      </c>
      <c r="Z1172" s="23">
        <v>136</v>
      </c>
      <c r="AB1172" s="19" t="s">
        <v>6158</v>
      </c>
      <c r="AC1172" s="23" t="s">
        <v>6159</v>
      </c>
      <c r="AD1172" s="118">
        <v>0</v>
      </c>
      <c r="AE1172" s="118">
        <v>2</v>
      </c>
      <c r="AF1172" s="23" t="s">
        <v>6160</v>
      </c>
      <c r="AG1172" s="23" t="s">
        <v>666</v>
      </c>
      <c r="AH1172" s="39">
        <v>44601</v>
      </c>
    </row>
    <row r="1173" spans="1:37">
      <c r="A1173" s="75" t="s">
        <v>6179</v>
      </c>
      <c r="B1173" s="23" t="s">
        <v>6180</v>
      </c>
      <c r="C1173" s="140">
        <v>44592</v>
      </c>
      <c r="D1173" s="23" t="s">
        <v>729</v>
      </c>
      <c r="E1173" s="23" t="s">
        <v>3773</v>
      </c>
      <c r="F1173" s="23" t="s">
        <v>4674</v>
      </c>
      <c r="G1173" s="23" t="s">
        <v>3469</v>
      </c>
      <c r="H1173" s="23" t="s">
        <v>6181</v>
      </c>
      <c r="I1173" s="23" t="s">
        <v>6181</v>
      </c>
      <c r="J1173" s="140">
        <v>44541</v>
      </c>
      <c r="T1173" s="23" t="s">
        <v>12031</v>
      </c>
      <c r="U1173" s="23" t="s">
        <v>12031</v>
      </c>
      <c r="V1173" s="23" t="s">
        <v>299</v>
      </c>
      <c r="W1173" s="23" t="s">
        <v>6182</v>
      </c>
      <c r="AB1173" s="23" t="s">
        <v>97</v>
      </c>
      <c r="AC1173" s="23">
        <v>10</v>
      </c>
      <c r="AD1173" s="118">
        <v>0</v>
      </c>
      <c r="AE1173" s="118">
        <v>0</v>
      </c>
      <c r="AF1173" s="23" t="s">
        <v>97</v>
      </c>
      <c r="AG1173" s="23" t="s">
        <v>5111</v>
      </c>
      <c r="AH1173" s="39">
        <v>44602</v>
      </c>
      <c r="AI1173" s="53" t="s">
        <v>3469</v>
      </c>
      <c r="AJ1173" s="75" t="s">
        <v>8219</v>
      </c>
      <c r="AK1173" s="53">
        <v>44604</v>
      </c>
    </row>
    <row r="1174" spans="1:37">
      <c r="A1174" s="75" t="s">
        <v>6189</v>
      </c>
      <c r="B1174" s="23" t="s">
        <v>6190</v>
      </c>
      <c r="C1174" s="140">
        <v>44572</v>
      </c>
      <c r="D1174" s="23" t="s">
        <v>729</v>
      </c>
      <c r="E1174" s="23" t="s">
        <v>752</v>
      </c>
      <c r="F1174" s="23" t="s">
        <v>5697</v>
      </c>
      <c r="G1174" s="23" t="s">
        <v>5698</v>
      </c>
      <c r="P1174" s="23" t="s">
        <v>6191</v>
      </c>
      <c r="Q1174" s="141" t="s">
        <v>6161</v>
      </c>
      <c r="T1174" s="23" t="s">
        <v>12031</v>
      </c>
      <c r="U1174" s="23" t="s">
        <v>12031</v>
      </c>
      <c r="V1174" s="23" t="s">
        <v>298</v>
      </c>
      <c r="W1174" s="23" t="s">
        <v>6243</v>
      </c>
      <c r="Y1174" s="23">
        <v>5300</v>
      </c>
      <c r="Z1174" s="23">
        <v>40</v>
      </c>
      <c r="AB1174" s="23" t="s">
        <v>6192</v>
      </c>
      <c r="AC1174" s="23" t="s">
        <v>123</v>
      </c>
      <c r="AD1174" s="118">
        <v>0</v>
      </c>
      <c r="AE1174" s="118">
        <v>1</v>
      </c>
      <c r="AF1174" s="23" t="s">
        <v>3297</v>
      </c>
      <c r="AG1174" s="23" t="s">
        <v>5196</v>
      </c>
      <c r="AH1174" s="39">
        <v>44602</v>
      </c>
    </row>
    <row r="1175" spans="1:37">
      <c r="A1175" s="75" t="s">
        <v>6193</v>
      </c>
      <c r="B1175" s="23" t="s">
        <v>6195</v>
      </c>
      <c r="C1175" s="140">
        <v>44592</v>
      </c>
      <c r="D1175" s="23" t="s">
        <v>729</v>
      </c>
      <c r="E1175" s="23" t="s">
        <v>3773</v>
      </c>
      <c r="F1175" s="23" t="s">
        <v>4674</v>
      </c>
      <c r="G1175" s="23" t="s">
        <v>3469</v>
      </c>
      <c r="H1175" s="23" t="s">
        <v>6196</v>
      </c>
      <c r="I1175" s="23" t="s">
        <v>6196</v>
      </c>
      <c r="J1175" s="140">
        <v>44582</v>
      </c>
      <c r="T1175" s="23" t="s">
        <v>12031</v>
      </c>
      <c r="U1175" s="23" t="s">
        <v>12031</v>
      </c>
      <c r="V1175" s="23" t="s">
        <v>299</v>
      </c>
      <c r="W1175" s="23" t="s">
        <v>6197</v>
      </c>
      <c r="Y1175" s="23">
        <v>94575</v>
      </c>
      <c r="AB1175" s="23" t="s">
        <v>97</v>
      </c>
      <c r="AC1175" s="23">
        <v>3</v>
      </c>
      <c r="AD1175" s="118">
        <v>0</v>
      </c>
      <c r="AE1175" s="118">
        <v>0</v>
      </c>
      <c r="AF1175" s="23" t="s">
        <v>97</v>
      </c>
      <c r="AG1175" s="23" t="s">
        <v>6198</v>
      </c>
      <c r="AH1175" s="39">
        <v>44602</v>
      </c>
      <c r="AI1175" s="53" t="s">
        <v>5706</v>
      </c>
      <c r="AJ1175" s="75" t="s">
        <v>8218</v>
      </c>
      <c r="AK1175" s="53">
        <v>44604</v>
      </c>
    </row>
    <row r="1176" spans="1:37">
      <c r="A1176" s="75" t="s">
        <v>6194</v>
      </c>
      <c r="B1176" s="23" t="s">
        <v>6199</v>
      </c>
      <c r="C1176" s="140">
        <v>44592</v>
      </c>
      <c r="D1176" s="23" t="s">
        <v>729</v>
      </c>
      <c r="E1176" s="23" t="s">
        <v>3773</v>
      </c>
      <c r="F1176" s="23" t="s">
        <v>4674</v>
      </c>
      <c r="G1176" s="23" t="s">
        <v>3469</v>
      </c>
      <c r="H1176" s="23" t="s">
        <v>6201</v>
      </c>
      <c r="I1176" s="23" t="s">
        <v>6201</v>
      </c>
      <c r="J1176" s="140">
        <v>44582</v>
      </c>
      <c r="T1176" s="23" t="s">
        <v>12031</v>
      </c>
      <c r="U1176" s="23" t="s">
        <v>12031</v>
      </c>
      <c r="V1176" s="23" t="s">
        <v>299</v>
      </c>
      <c r="W1176" s="23" t="s">
        <v>6200</v>
      </c>
      <c r="Y1176" s="23">
        <v>80620</v>
      </c>
      <c r="AB1176" s="23" t="s">
        <v>97</v>
      </c>
      <c r="AC1176" s="23">
        <v>4</v>
      </c>
      <c r="AD1176" s="118">
        <v>0</v>
      </c>
      <c r="AE1176" s="118">
        <v>0</v>
      </c>
      <c r="AF1176" s="23" t="s">
        <v>97</v>
      </c>
      <c r="AG1176" s="23" t="s">
        <v>6198</v>
      </c>
      <c r="AH1176" s="39">
        <v>44602</v>
      </c>
      <c r="AI1176" s="53" t="s">
        <v>5706</v>
      </c>
      <c r="AJ1176" s="75" t="s">
        <v>8214</v>
      </c>
      <c r="AK1176" s="53">
        <v>44604</v>
      </c>
    </row>
    <row r="1177" spans="1:37" ht="96">
      <c r="A1177" s="75" t="s">
        <v>6202</v>
      </c>
      <c r="B1177" s="23" t="s">
        <v>6203</v>
      </c>
      <c r="C1177" s="140">
        <v>44592</v>
      </c>
      <c r="D1177" s="23" t="s">
        <v>729</v>
      </c>
      <c r="E1177" s="23" t="s">
        <v>752</v>
      </c>
      <c r="F1177" s="23" t="s">
        <v>4899</v>
      </c>
      <c r="G1177" s="23" t="s">
        <v>1724</v>
      </c>
      <c r="Q1177" s="141" t="s">
        <v>6204</v>
      </c>
      <c r="T1177" s="23" t="s">
        <v>3715</v>
      </c>
      <c r="U1177" s="23" t="s">
        <v>3715</v>
      </c>
      <c r="V1177" s="23" t="s">
        <v>298</v>
      </c>
      <c r="W1177" s="23" t="s">
        <v>5100</v>
      </c>
      <c r="Y1177" s="38">
        <v>39780</v>
      </c>
      <c r="Z1177" s="23">
        <v>168</v>
      </c>
      <c r="AB1177" s="19" t="s">
        <v>6205</v>
      </c>
      <c r="AC1177" s="23" t="s">
        <v>6207</v>
      </c>
      <c r="AD1177" s="118">
        <v>0</v>
      </c>
      <c r="AE1177" s="118">
        <v>3</v>
      </c>
      <c r="AF1177" s="19" t="s">
        <v>6206</v>
      </c>
      <c r="AG1177" s="23" t="s">
        <v>666</v>
      </c>
      <c r="AH1177" s="39">
        <v>44603</v>
      </c>
      <c r="AJ1177" s="75" t="s">
        <v>8215</v>
      </c>
      <c r="AK1177" s="53">
        <v>44604</v>
      </c>
    </row>
    <row r="1178" spans="1:37" ht="80">
      <c r="A1178" s="75" t="s">
        <v>6209</v>
      </c>
      <c r="B1178" s="23" t="s">
        <v>6210</v>
      </c>
      <c r="C1178" s="140">
        <v>44569</v>
      </c>
      <c r="D1178" s="23" t="s">
        <v>729</v>
      </c>
      <c r="E1178" s="23" t="s">
        <v>752</v>
      </c>
      <c r="F1178" s="23" t="s">
        <v>3456</v>
      </c>
      <c r="G1178" s="23" t="s">
        <v>1989</v>
      </c>
      <c r="H1178" s="23" t="s">
        <v>6211</v>
      </c>
      <c r="I1178" s="23" t="s">
        <v>6211</v>
      </c>
      <c r="J1178" s="140">
        <v>44569</v>
      </c>
      <c r="T1178" s="23" t="s">
        <v>12031</v>
      </c>
      <c r="U1178" s="23" t="s">
        <v>12031</v>
      </c>
      <c r="V1178" s="23" t="s">
        <v>299</v>
      </c>
      <c r="W1178" s="23" t="s">
        <v>6212</v>
      </c>
      <c r="AB1178" s="19" t="s">
        <v>6213</v>
      </c>
      <c r="AC1178" s="23">
        <v>12</v>
      </c>
      <c r="AD1178" s="118">
        <v>0</v>
      </c>
      <c r="AE1178" s="118">
        <v>5</v>
      </c>
      <c r="AG1178" s="23" t="s">
        <v>665</v>
      </c>
      <c r="AH1178" s="39">
        <v>44607</v>
      </c>
      <c r="AI1178" s="53" t="s">
        <v>3857</v>
      </c>
      <c r="AJ1178" s="75" t="s">
        <v>8318</v>
      </c>
      <c r="AK1178" s="53">
        <v>44609</v>
      </c>
    </row>
    <row r="1179" spans="1:37" ht="64">
      <c r="A1179" s="75" t="s">
        <v>6216</v>
      </c>
      <c r="B1179" s="23" t="s">
        <v>6217</v>
      </c>
      <c r="C1179" s="140">
        <v>44607</v>
      </c>
      <c r="D1179" s="23" t="s">
        <v>729</v>
      </c>
      <c r="E1179" s="23" t="s">
        <v>2919</v>
      </c>
      <c r="F1179" s="23" t="s">
        <v>4899</v>
      </c>
      <c r="G1179" s="23" t="s">
        <v>1724</v>
      </c>
      <c r="T1179" s="23" t="s">
        <v>3715</v>
      </c>
      <c r="U1179" s="23" t="s">
        <v>3715</v>
      </c>
      <c r="V1179" s="23" t="s">
        <v>298</v>
      </c>
      <c r="W1179" s="23" t="s">
        <v>6218</v>
      </c>
      <c r="Y1179" s="37">
        <v>37675</v>
      </c>
      <c r="Z1179" s="23">
        <v>136.5</v>
      </c>
      <c r="AB1179" s="19" t="s">
        <v>6221</v>
      </c>
      <c r="AC1179" s="23" t="s">
        <v>6219</v>
      </c>
      <c r="AD1179" s="118">
        <v>0</v>
      </c>
      <c r="AE1179" s="118">
        <v>4</v>
      </c>
      <c r="AF1179" s="19" t="s">
        <v>6222</v>
      </c>
      <c r="AG1179" s="23" t="s">
        <v>665</v>
      </c>
      <c r="AH1179" s="39">
        <v>44577</v>
      </c>
      <c r="AJ1179" s="75" t="s">
        <v>8216</v>
      </c>
      <c r="AK1179" s="53">
        <v>44604</v>
      </c>
    </row>
    <row r="1180" spans="1:37" ht="64">
      <c r="A1180" s="75" t="s">
        <v>6220</v>
      </c>
      <c r="B1180" s="23" t="s">
        <v>6223</v>
      </c>
      <c r="C1180" s="140">
        <v>44607</v>
      </c>
      <c r="F1180" s="23" t="s">
        <v>4899</v>
      </c>
      <c r="G1180" s="23" t="s">
        <v>1724</v>
      </c>
      <c r="W1180" s="23" t="s">
        <v>6027</v>
      </c>
      <c r="Y1180" s="37">
        <v>35400</v>
      </c>
      <c r="Z1180" s="23">
        <v>142</v>
      </c>
      <c r="AB1180" s="19" t="s">
        <v>6235</v>
      </c>
      <c r="AC1180" s="23" t="s">
        <v>1509</v>
      </c>
      <c r="AD1180" s="118"/>
      <c r="AE1180" s="118"/>
      <c r="AF1180" s="19" t="s">
        <v>6222</v>
      </c>
      <c r="AG1180" s="23" t="s">
        <v>665</v>
      </c>
      <c r="AH1180" s="39">
        <v>44577</v>
      </c>
    </row>
    <row r="1181" spans="1:37" ht="16">
      <c r="A1181" s="75" t="s">
        <v>6224</v>
      </c>
      <c r="B1181" s="23" t="s">
        <v>6225</v>
      </c>
      <c r="C1181" s="140">
        <v>44607</v>
      </c>
      <c r="D1181" s="23" t="s">
        <v>729</v>
      </c>
      <c r="E1181" s="23" t="s">
        <v>2919</v>
      </c>
      <c r="F1181" s="23" t="s">
        <v>4899</v>
      </c>
      <c r="G1181" s="23" t="s">
        <v>1724</v>
      </c>
      <c r="T1181" s="23" t="s">
        <v>3715</v>
      </c>
      <c r="U1181" s="23" t="s">
        <v>3715</v>
      </c>
      <c r="V1181" s="23" t="s">
        <v>298</v>
      </c>
      <c r="W1181" s="23" t="s">
        <v>5077</v>
      </c>
      <c r="Y1181" s="37">
        <v>12025</v>
      </c>
      <c r="Z1181" s="23">
        <v>72.2</v>
      </c>
      <c r="AB1181" s="23" t="s">
        <v>6228</v>
      </c>
      <c r="AC1181" s="23" t="s">
        <v>6229</v>
      </c>
      <c r="AD1181" s="118">
        <v>0</v>
      </c>
      <c r="AE1181" s="118">
        <v>4</v>
      </c>
      <c r="AF1181" s="19" t="s">
        <v>3181</v>
      </c>
      <c r="AG1181" s="23" t="s">
        <v>666</v>
      </c>
      <c r="AH1181" s="39">
        <v>44577</v>
      </c>
      <c r="AJ1181" s="75" t="s">
        <v>8217</v>
      </c>
      <c r="AK1181" s="53">
        <v>44604</v>
      </c>
    </row>
    <row r="1182" spans="1:37" ht="16">
      <c r="A1182" s="75" t="s">
        <v>6226</v>
      </c>
      <c r="B1182" s="23" t="s">
        <v>6230</v>
      </c>
      <c r="C1182" s="140">
        <v>44607</v>
      </c>
      <c r="F1182" s="23" t="s">
        <v>4899</v>
      </c>
      <c r="G1182" s="23" t="s">
        <v>1724</v>
      </c>
      <c r="W1182" s="23" t="s">
        <v>5443</v>
      </c>
      <c r="Y1182" s="37">
        <v>14780</v>
      </c>
      <c r="Z1182" s="23">
        <v>72.400000000000006</v>
      </c>
      <c r="AB1182" s="23" t="s">
        <v>6231</v>
      </c>
      <c r="AC1182" s="23" t="s">
        <v>5445</v>
      </c>
      <c r="AD1182" s="118"/>
      <c r="AE1182" s="118"/>
      <c r="AF1182" s="19" t="s">
        <v>3181</v>
      </c>
      <c r="AG1182" s="23" t="s">
        <v>1640</v>
      </c>
      <c r="AH1182" s="39">
        <v>44577</v>
      </c>
    </row>
    <row r="1183" spans="1:37" ht="64">
      <c r="A1183" s="75" t="s">
        <v>6227</v>
      </c>
      <c r="B1183" s="23" t="s">
        <v>6232</v>
      </c>
      <c r="C1183" s="140">
        <v>44607</v>
      </c>
      <c r="F1183" s="23" t="s">
        <v>4899</v>
      </c>
      <c r="G1183" s="23" t="s">
        <v>1724</v>
      </c>
      <c r="W1183" s="23" t="s">
        <v>5073</v>
      </c>
      <c r="Y1183" s="37">
        <v>24400</v>
      </c>
      <c r="Z1183" s="23">
        <v>144</v>
      </c>
      <c r="AB1183" s="19" t="s">
        <v>6233</v>
      </c>
      <c r="AC1183" s="23" t="s">
        <v>6234</v>
      </c>
      <c r="AD1183" s="118"/>
      <c r="AE1183" s="118"/>
      <c r="AF1183" s="19" t="s">
        <v>6222</v>
      </c>
      <c r="AG1183" s="23" t="s">
        <v>665</v>
      </c>
      <c r="AH1183" s="39">
        <v>44577</v>
      </c>
    </row>
    <row r="1184" spans="1:37">
      <c r="A1184" s="75" t="s">
        <v>6236</v>
      </c>
      <c r="B1184" s="23" t="s">
        <v>6237</v>
      </c>
      <c r="C1184" s="140">
        <v>44608</v>
      </c>
      <c r="D1184" s="23" t="s">
        <v>729</v>
      </c>
      <c r="E1184" s="23" t="s">
        <v>2919</v>
      </c>
      <c r="F1184" s="23" t="s">
        <v>4899</v>
      </c>
      <c r="G1184" s="23" t="s">
        <v>1724</v>
      </c>
      <c r="Q1184" s="141" t="s">
        <v>6238</v>
      </c>
      <c r="T1184" s="23" t="s">
        <v>3715</v>
      </c>
      <c r="U1184" s="23" t="s">
        <v>3715</v>
      </c>
      <c r="V1184" s="23" t="s">
        <v>298</v>
      </c>
      <c r="W1184" s="23" t="s">
        <v>5073</v>
      </c>
      <c r="Y1184" s="38">
        <v>12200</v>
      </c>
      <c r="Z1184" s="23">
        <v>72</v>
      </c>
      <c r="AB1184" s="23" t="s">
        <v>6239</v>
      </c>
      <c r="AC1184" s="23" t="s">
        <v>4704</v>
      </c>
      <c r="AD1184" s="118">
        <v>0</v>
      </c>
      <c r="AE1184" s="118">
        <v>1</v>
      </c>
      <c r="AF1184" s="23" t="s">
        <v>3181</v>
      </c>
      <c r="AG1184" s="23" t="s">
        <v>665</v>
      </c>
      <c r="AH1184" s="39">
        <v>44609</v>
      </c>
    </row>
    <row r="1185" spans="1:37">
      <c r="A1185" s="75" t="s">
        <v>6240</v>
      </c>
      <c r="B1185" s="23" t="s">
        <v>6241</v>
      </c>
      <c r="C1185" s="140">
        <v>44593</v>
      </c>
      <c r="D1185" s="23" t="s">
        <v>729</v>
      </c>
      <c r="E1185" s="23" t="s">
        <v>752</v>
      </c>
      <c r="F1185" s="23" t="s">
        <v>5697</v>
      </c>
      <c r="G1185" s="23" t="s">
        <v>5698</v>
      </c>
      <c r="P1185" s="23" t="s">
        <v>6242</v>
      </c>
      <c r="Q1185" s="141" t="s">
        <v>6238</v>
      </c>
      <c r="T1185" s="23" t="s">
        <v>12031</v>
      </c>
      <c r="U1185" s="23" t="s">
        <v>12031</v>
      </c>
      <c r="V1185" s="23" t="s">
        <v>298</v>
      </c>
      <c r="W1185" s="23" t="s">
        <v>6243</v>
      </c>
      <c r="Y1185" s="23">
        <v>5300</v>
      </c>
      <c r="Z1185" s="23">
        <v>40</v>
      </c>
      <c r="AB1185" s="23" t="s">
        <v>6244</v>
      </c>
      <c r="AC1185" s="23" t="s">
        <v>123</v>
      </c>
      <c r="AD1185" s="118">
        <v>0</v>
      </c>
      <c r="AE1185" s="118">
        <v>1</v>
      </c>
      <c r="AF1185" s="23" t="s">
        <v>3193</v>
      </c>
      <c r="AG1185" s="23" t="s">
        <v>5196</v>
      </c>
      <c r="AH1185" s="39">
        <v>44609</v>
      </c>
    </row>
    <row r="1186" spans="1:37" ht="32">
      <c r="A1186" s="75" t="s">
        <v>6248</v>
      </c>
      <c r="B1186" s="23" t="s">
        <v>6249</v>
      </c>
      <c r="C1186" s="140">
        <v>44596</v>
      </c>
      <c r="D1186" s="23" t="s">
        <v>729</v>
      </c>
      <c r="E1186" s="23" t="s">
        <v>752</v>
      </c>
      <c r="F1186" s="23" t="s">
        <v>6250</v>
      </c>
      <c r="G1186" s="23" t="s">
        <v>5538</v>
      </c>
      <c r="H1186" s="23" t="s">
        <v>6251</v>
      </c>
      <c r="I1186" s="23" t="s">
        <v>6251</v>
      </c>
      <c r="J1186" s="140">
        <v>44579</v>
      </c>
      <c r="T1186" s="23" t="s">
        <v>12031</v>
      </c>
      <c r="U1186" s="23" t="s">
        <v>12031</v>
      </c>
      <c r="V1186" s="23" t="s">
        <v>299</v>
      </c>
      <c r="W1186" s="23" t="s">
        <v>6252</v>
      </c>
      <c r="Y1186" s="23">
        <v>9258</v>
      </c>
      <c r="AB1186" s="19" t="s">
        <v>6331</v>
      </c>
      <c r="AC1186" s="23">
        <v>6</v>
      </c>
      <c r="AD1186" s="118">
        <v>0</v>
      </c>
      <c r="AE1186" s="118">
        <v>2</v>
      </c>
      <c r="AF1186" s="23" t="s">
        <v>3297</v>
      </c>
      <c r="AG1186" s="23" t="s">
        <v>4893</v>
      </c>
      <c r="AH1186" s="39">
        <v>44610</v>
      </c>
      <c r="AI1186" s="53" t="s">
        <v>5929</v>
      </c>
      <c r="AJ1186" s="75" t="s">
        <v>8220</v>
      </c>
      <c r="AK1186" s="53">
        <v>44611</v>
      </c>
    </row>
    <row r="1187" spans="1:37" ht="64">
      <c r="A1187" s="75" t="s">
        <v>6257</v>
      </c>
      <c r="B1187" s="23" t="s">
        <v>6258</v>
      </c>
      <c r="C1187" s="140">
        <v>44608</v>
      </c>
      <c r="D1187" s="23" t="s">
        <v>729</v>
      </c>
      <c r="E1187" s="23" t="s">
        <v>752</v>
      </c>
      <c r="F1187" s="23" t="s">
        <v>5765</v>
      </c>
      <c r="G1187" s="23" t="s">
        <v>1724</v>
      </c>
      <c r="P1187" s="23" t="s">
        <v>6259</v>
      </c>
      <c r="Q1187" s="141" t="s">
        <v>6260</v>
      </c>
      <c r="T1187" s="23" t="s">
        <v>12031</v>
      </c>
      <c r="U1187" s="23" t="s">
        <v>12031</v>
      </c>
      <c r="V1187" s="23" t="s">
        <v>298</v>
      </c>
      <c r="W1187" s="23" t="s">
        <v>425</v>
      </c>
      <c r="Y1187" s="38">
        <v>42810</v>
      </c>
      <c r="Z1187" s="23">
        <v>136</v>
      </c>
      <c r="AB1187" s="19" t="s">
        <v>6262</v>
      </c>
      <c r="AC1187" s="23" t="s">
        <v>6261</v>
      </c>
      <c r="AD1187" s="118">
        <v>0</v>
      </c>
      <c r="AE1187" s="118">
        <v>3</v>
      </c>
      <c r="AF1187" s="19" t="s">
        <v>6263</v>
      </c>
      <c r="AG1187" s="23" t="s">
        <v>666</v>
      </c>
      <c r="AH1187" s="39">
        <v>44613</v>
      </c>
    </row>
    <row r="1188" spans="1:37" ht="16">
      <c r="A1188" s="75" t="s">
        <v>6264</v>
      </c>
      <c r="B1188" s="23" t="s">
        <v>6265</v>
      </c>
      <c r="C1188" s="140">
        <v>44608</v>
      </c>
      <c r="F1188" s="23" t="s">
        <v>4899</v>
      </c>
      <c r="G1188" s="23" t="s">
        <v>1724</v>
      </c>
      <c r="P1188" s="23" t="s">
        <v>6259</v>
      </c>
      <c r="Q1188" s="141" t="s">
        <v>6260</v>
      </c>
      <c r="W1188" s="23" t="s">
        <v>425</v>
      </c>
      <c r="Y1188" s="38">
        <v>23980</v>
      </c>
      <c r="Z1188" s="23">
        <v>66</v>
      </c>
      <c r="AB1188" s="23" t="s">
        <v>6267</v>
      </c>
      <c r="AC1188" s="23" t="s">
        <v>6266</v>
      </c>
      <c r="AD1188" s="118"/>
      <c r="AE1188" s="118"/>
      <c r="AF1188" s="19" t="s">
        <v>6122</v>
      </c>
      <c r="AG1188" s="23" t="s">
        <v>666</v>
      </c>
      <c r="AH1188" s="39">
        <v>44613</v>
      </c>
    </row>
    <row r="1189" spans="1:37">
      <c r="A1189" s="75" t="s">
        <v>6268</v>
      </c>
      <c r="B1189" s="23" t="s">
        <v>6284</v>
      </c>
      <c r="C1189" s="140">
        <v>44611</v>
      </c>
      <c r="D1189" s="23" t="s">
        <v>729</v>
      </c>
      <c r="E1189" s="23" t="s">
        <v>2919</v>
      </c>
      <c r="F1189" s="23" t="s">
        <v>4899</v>
      </c>
      <c r="G1189" s="23" t="s">
        <v>1724</v>
      </c>
      <c r="Q1189" s="141" t="s">
        <v>6260</v>
      </c>
      <c r="T1189" s="23" t="s">
        <v>3715</v>
      </c>
      <c r="U1189" s="23" t="s">
        <v>3715</v>
      </c>
      <c r="V1189" s="23" t="s">
        <v>298</v>
      </c>
      <c r="W1189" s="23" t="s">
        <v>5073</v>
      </c>
      <c r="Y1189" s="38">
        <v>12150</v>
      </c>
      <c r="Z1189" s="23">
        <v>71.599999999999994</v>
      </c>
      <c r="AB1189" s="23" t="s">
        <v>6269</v>
      </c>
      <c r="AC1189" s="23" t="s">
        <v>6270</v>
      </c>
      <c r="AD1189" s="118">
        <v>0</v>
      </c>
      <c r="AE1189" s="118">
        <v>1</v>
      </c>
      <c r="AF1189" s="23" t="s">
        <v>3181</v>
      </c>
      <c r="AG1189" s="23" t="s">
        <v>1640</v>
      </c>
      <c r="AH1189" s="39">
        <v>44613</v>
      </c>
    </row>
    <row r="1190" spans="1:37">
      <c r="A1190" s="75" t="s">
        <v>6271</v>
      </c>
      <c r="B1190" s="59" t="s">
        <v>6272</v>
      </c>
      <c r="C1190" s="140">
        <v>44599</v>
      </c>
      <c r="D1190" s="23" t="s">
        <v>729</v>
      </c>
      <c r="E1190" s="23" t="s">
        <v>752</v>
      </c>
      <c r="F1190" s="23" t="s">
        <v>2200</v>
      </c>
      <c r="G1190" s="23" t="s">
        <v>301</v>
      </c>
      <c r="H1190" s="23">
        <v>20394758</v>
      </c>
      <c r="I1190" s="23">
        <v>20394758</v>
      </c>
      <c r="J1190" s="140">
        <v>44597</v>
      </c>
      <c r="K1190" s="23" t="s">
        <v>6274</v>
      </c>
      <c r="L1190" s="140">
        <v>44606</v>
      </c>
      <c r="P1190" s="23" t="s">
        <v>6285</v>
      </c>
      <c r="T1190" s="23" t="s">
        <v>305</v>
      </c>
      <c r="U1190" s="23" t="s">
        <v>305</v>
      </c>
      <c r="V1190" s="23" t="s">
        <v>299</v>
      </c>
      <c r="W1190" s="23" t="s">
        <v>6273</v>
      </c>
      <c r="AB1190" s="59" t="s">
        <v>6275</v>
      </c>
      <c r="AC1190" s="59">
        <v>2</v>
      </c>
      <c r="AD1190" s="118">
        <v>0</v>
      </c>
      <c r="AE1190" s="118">
        <v>1</v>
      </c>
      <c r="AG1190" s="23" t="s">
        <v>1553</v>
      </c>
      <c r="AH1190" s="39">
        <v>44613</v>
      </c>
      <c r="AI1190" s="53" t="s">
        <v>5852</v>
      </c>
    </row>
    <row r="1191" spans="1:37" ht="112">
      <c r="A1191" s="75" t="s">
        <v>6276</v>
      </c>
      <c r="B1191" s="59" t="s">
        <v>6277</v>
      </c>
      <c r="C1191" s="140">
        <v>44599</v>
      </c>
      <c r="D1191" s="23" t="s">
        <v>729</v>
      </c>
      <c r="E1191" s="23" t="s">
        <v>752</v>
      </c>
      <c r="F1191" s="23" t="s">
        <v>2200</v>
      </c>
      <c r="G1191" s="23" t="s">
        <v>301</v>
      </c>
      <c r="H1191" s="23">
        <v>20394757</v>
      </c>
      <c r="I1191" s="23">
        <v>20394757</v>
      </c>
      <c r="J1191" s="140">
        <v>44597</v>
      </c>
      <c r="K1191" s="23" t="s">
        <v>6278</v>
      </c>
      <c r="L1191" s="140">
        <v>44606</v>
      </c>
      <c r="T1191" s="23" t="s">
        <v>305</v>
      </c>
      <c r="U1191" s="23" t="s">
        <v>305</v>
      </c>
      <c r="V1191" s="23" t="s">
        <v>299</v>
      </c>
      <c r="W1191" s="23" t="s">
        <v>6279</v>
      </c>
      <c r="AB1191" s="19" t="s">
        <v>6333</v>
      </c>
      <c r="AC1191" s="59">
        <v>13</v>
      </c>
      <c r="AD1191" s="118">
        <v>0</v>
      </c>
      <c r="AE1191" s="118">
        <v>7</v>
      </c>
      <c r="AG1191" s="23" t="s">
        <v>1553</v>
      </c>
      <c r="AH1191" s="39">
        <v>44613</v>
      </c>
      <c r="AI1191" s="53" t="s">
        <v>5852</v>
      </c>
      <c r="AJ1191" s="75" t="s">
        <v>8222</v>
      </c>
      <c r="AK1191" s="53">
        <v>44615</v>
      </c>
    </row>
    <row r="1192" spans="1:37">
      <c r="A1192" s="75" t="s">
        <v>6280</v>
      </c>
      <c r="B1192" s="59" t="s">
        <v>6281</v>
      </c>
      <c r="C1192" s="140">
        <v>44599</v>
      </c>
      <c r="D1192" s="23" t="s">
        <v>729</v>
      </c>
      <c r="E1192" s="23" t="s">
        <v>752</v>
      </c>
      <c r="F1192" s="23" t="s">
        <v>2200</v>
      </c>
      <c r="G1192" s="23" t="s">
        <v>301</v>
      </c>
      <c r="H1192" s="23">
        <v>20394756</v>
      </c>
      <c r="I1192" s="23">
        <v>20394756</v>
      </c>
      <c r="J1192" s="140">
        <v>44597</v>
      </c>
      <c r="K1192" s="23" t="s">
        <v>6282</v>
      </c>
      <c r="L1192" s="140">
        <v>44606</v>
      </c>
      <c r="T1192" s="23" t="s">
        <v>305</v>
      </c>
      <c r="U1192" s="23" t="s">
        <v>305</v>
      </c>
      <c r="V1192" s="23" t="s">
        <v>299</v>
      </c>
      <c r="W1192" s="23" t="s">
        <v>6279</v>
      </c>
      <c r="AB1192" s="23" t="s">
        <v>6283</v>
      </c>
      <c r="AC1192" s="59">
        <v>1</v>
      </c>
      <c r="AD1192" s="118">
        <v>0</v>
      </c>
      <c r="AE1192" s="118">
        <v>1</v>
      </c>
      <c r="AG1192" s="23" t="s">
        <v>1553</v>
      </c>
      <c r="AH1192" s="39">
        <v>44613</v>
      </c>
      <c r="AI1192" s="53" t="s">
        <v>5852</v>
      </c>
      <c r="AJ1192" s="75" t="s">
        <v>8319</v>
      </c>
      <c r="AK1192" s="53">
        <v>44615</v>
      </c>
    </row>
    <row r="1193" spans="1:37">
      <c r="A1193" s="75" t="s">
        <v>6286</v>
      </c>
      <c r="B1193" s="59" t="s">
        <v>6287</v>
      </c>
      <c r="C1193" s="140">
        <v>44587</v>
      </c>
      <c r="D1193" s="23" t="s">
        <v>729</v>
      </c>
      <c r="E1193" s="23" t="s">
        <v>752</v>
      </c>
      <c r="F1193" s="23" t="s">
        <v>2200</v>
      </c>
      <c r="G1193" s="23" t="s">
        <v>301</v>
      </c>
      <c r="H1193" s="23">
        <v>55008334</v>
      </c>
      <c r="I1193" s="23">
        <v>55008334</v>
      </c>
      <c r="J1193" s="140">
        <v>44581</v>
      </c>
      <c r="K1193" s="23" t="s">
        <v>6288</v>
      </c>
      <c r="L1193" s="140">
        <v>44594</v>
      </c>
      <c r="P1193" s="23" t="s">
        <v>6289</v>
      </c>
      <c r="Q1193" s="141" t="s">
        <v>6238</v>
      </c>
      <c r="T1193" s="23" t="s">
        <v>305</v>
      </c>
      <c r="U1193" s="23" t="s">
        <v>305</v>
      </c>
      <c r="V1193" s="23" t="s">
        <v>298</v>
      </c>
      <c r="W1193" s="23" t="s">
        <v>3141</v>
      </c>
      <c r="Y1193" s="38">
        <v>8008</v>
      </c>
      <c r="Z1193" s="23">
        <v>63.9</v>
      </c>
      <c r="AB1193" s="23" t="s">
        <v>6290</v>
      </c>
      <c r="AC1193" s="23" t="s">
        <v>3516</v>
      </c>
      <c r="AD1193" s="118">
        <v>0</v>
      </c>
      <c r="AE1193" s="118">
        <v>1</v>
      </c>
      <c r="AF1193" s="23" t="s">
        <v>3297</v>
      </c>
      <c r="AG1193" s="23" t="s">
        <v>5950</v>
      </c>
      <c r="AH1193" s="39">
        <v>44613</v>
      </c>
      <c r="AJ1193" s="75" t="s">
        <v>8320</v>
      </c>
      <c r="AK1193" s="53">
        <v>44618</v>
      </c>
    </row>
    <row r="1194" spans="1:37">
      <c r="A1194" s="75" t="s">
        <v>6291</v>
      </c>
      <c r="B1194" s="23" t="s">
        <v>6292</v>
      </c>
      <c r="C1194" s="140">
        <v>44614</v>
      </c>
      <c r="D1194" s="23" t="s">
        <v>729</v>
      </c>
      <c r="E1194" s="23" t="s">
        <v>2919</v>
      </c>
      <c r="F1194" s="23" t="s">
        <v>4899</v>
      </c>
      <c r="G1194" s="23" t="s">
        <v>1724</v>
      </c>
      <c r="Q1194" s="141" t="s">
        <v>6293</v>
      </c>
      <c r="T1194" s="23" t="s">
        <v>3715</v>
      </c>
      <c r="U1194" s="23" t="s">
        <v>3715</v>
      </c>
      <c r="V1194" s="23" t="s">
        <v>298</v>
      </c>
      <c r="W1194" s="23" t="s">
        <v>6294</v>
      </c>
      <c r="Y1194" s="37">
        <v>19137.5</v>
      </c>
      <c r="Z1194" s="23">
        <v>68.5</v>
      </c>
      <c r="AB1194" s="23" t="s">
        <v>6295</v>
      </c>
      <c r="AC1194" s="23" t="s">
        <v>6296</v>
      </c>
      <c r="AD1194" s="118">
        <v>0</v>
      </c>
      <c r="AE1194" s="118">
        <v>1</v>
      </c>
      <c r="AF1194" s="23" t="s">
        <v>3181</v>
      </c>
      <c r="AG1194" s="23" t="s">
        <v>665</v>
      </c>
      <c r="AH1194" s="39">
        <v>44615</v>
      </c>
    </row>
    <row r="1195" spans="1:37">
      <c r="A1195" s="75" t="s">
        <v>6297</v>
      </c>
      <c r="B1195" s="23" t="s">
        <v>6298</v>
      </c>
      <c r="C1195" s="140">
        <v>44604</v>
      </c>
      <c r="D1195" s="23" t="s">
        <v>729</v>
      </c>
      <c r="E1195" s="23" t="s">
        <v>752</v>
      </c>
      <c r="F1195" s="23" t="s">
        <v>4899</v>
      </c>
      <c r="G1195" s="23" t="s">
        <v>1724</v>
      </c>
      <c r="P1195" s="23" t="s">
        <v>6299</v>
      </c>
      <c r="Q1195" s="141" t="s">
        <v>6300</v>
      </c>
      <c r="T1195" s="23" t="s">
        <v>12031</v>
      </c>
      <c r="U1195" s="23" t="s">
        <v>12031</v>
      </c>
      <c r="V1195" s="23" t="s">
        <v>298</v>
      </c>
      <c r="W1195" s="23" t="s">
        <v>498</v>
      </c>
      <c r="Y1195" s="37">
        <v>14054.4</v>
      </c>
      <c r="Z1195" s="23">
        <v>47.758000000000003</v>
      </c>
      <c r="AB1195" s="23" t="s">
        <v>6301</v>
      </c>
      <c r="AC1195" s="23" t="s">
        <v>6302</v>
      </c>
      <c r="AD1195" s="118">
        <v>0</v>
      </c>
      <c r="AE1195" s="118">
        <v>1</v>
      </c>
      <c r="AF1195" s="23" t="s">
        <v>3297</v>
      </c>
      <c r="AG1195" s="23" t="s">
        <v>5518</v>
      </c>
      <c r="AH1195" s="39">
        <v>44616</v>
      </c>
    </row>
    <row r="1196" spans="1:37">
      <c r="A1196" s="75" t="s">
        <v>6303</v>
      </c>
      <c r="B1196" s="23" t="s">
        <v>6304</v>
      </c>
      <c r="C1196" s="140">
        <v>44612</v>
      </c>
      <c r="D1196" s="23" t="s">
        <v>729</v>
      </c>
      <c r="E1196" s="23" t="s">
        <v>752</v>
      </c>
      <c r="F1196" s="23" t="s">
        <v>4899</v>
      </c>
      <c r="G1196" s="23" t="s">
        <v>1724</v>
      </c>
      <c r="P1196" s="23" t="s">
        <v>6305</v>
      </c>
      <c r="Q1196" s="141" t="s">
        <v>6306</v>
      </c>
      <c r="T1196" s="23" t="s">
        <v>12031</v>
      </c>
      <c r="U1196" s="23" t="s">
        <v>12031</v>
      </c>
      <c r="V1196" s="23" t="s">
        <v>298</v>
      </c>
      <c r="W1196" s="23" t="s">
        <v>425</v>
      </c>
      <c r="Y1196" s="23">
        <v>23990</v>
      </c>
      <c r="Z1196" s="23">
        <v>66</v>
      </c>
      <c r="AB1196" s="23" t="s">
        <v>6307</v>
      </c>
      <c r="AC1196" s="23" t="s">
        <v>6308</v>
      </c>
      <c r="AD1196" s="118">
        <v>0</v>
      </c>
      <c r="AE1196" s="118">
        <v>1</v>
      </c>
      <c r="AF1196" s="23" t="s">
        <v>3297</v>
      </c>
      <c r="AG1196" s="23" t="s">
        <v>666</v>
      </c>
      <c r="AH1196" s="39">
        <v>44618</v>
      </c>
    </row>
    <row r="1197" spans="1:37">
      <c r="A1197" s="75" t="s">
        <v>6309</v>
      </c>
      <c r="B1197" s="23" t="s">
        <v>6310</v>
      </c>
      <c r="C1197" s="140">
        <v>44617</v>
      </c>
      <c r="D1197" s="23" t="s">
        <v>729</v>
      </c>
      <c r="E1197" s="23" t="s">
        <v>2919</v>
      </c>
      <c r="F1197" s="23" t="s">
        <v>4899</v>
      </c>
      <c r="G1197" s="23" t="s">
        <v>1724</v>
      </c>
      <c r="Q1197" s="141" t="s">
        <v>6311</v>
      </c>
      <c r="T1197" s="23" t="s">
        <v>3715</v>
      </c>
      <c r="U1197" s="23" t="s">
        <v>3715</v>
      </c>
      <c r="V1197" s="23" t="s">
        <v>298</v>
      </c>
      <c r="W1197" s="23" t="s">
        <v>6027</v>
      </c>
      <c r="Y1197" s="38">
        <v>19000</v>
      </c>
      <c r="Z1197" s="23">
        <v>71</v>
      </c>
      <c r="AB1197" s="23" t="s">
        <v>6312</v>
      </c>
      <c r="AC1197" s="23" t="s">
        <v>6296</v>
      </c>
      <c r="AD1197" s="118">
        <v>0</v>
      </c>
      <c r="AE1197" s="118">
        <v>1</v>
      </c>
      <c r="AF1197" s="23" t="s">
        <v>3181</v>
      </c>
      <c r="AG1197" s="23" t="s">
        <v>637</v>
      </c>
      <c r="AH1197" s="39">
        <v>44620</v>
      </c>
    </row>
    <row r="1198" spans="1:37" ht="80">
      <c r="A1198" s="75" t="s">
        <v>6313</v>
      </c>
      <c r="B1198" s="23" t="s">
        <v>6314</v>
      </c>
      <c r="C1198" s="140">
        <v>44577</v>
      </c>
      <c r="D1198" s="23" t="s">
        <v>729</v>
      </c>
      <c r="E1198" s="23" t="s">
        <v>752</v>
      </c>
      <c r="F1198" s="23" t="s">
        <v>4899</v>
      </c>
      <c r="G1198" s="23" t="s">
        <v>1724</v>
      </c>
      <c r="P1198" s="23" t="s">
        <v>6315</v>
      </c>
      <c r="Q1198" s="141" t="s">
        <v>6316</v>
      </c>
      <c r="T1198" s="23" t="s">
        <v>12031</v>
      </c>
      <c r="U1198" s="23" t="s">
        <v>12031</v>
      </c>
      <c r="V1198" s="23" t="s">
        <v>298</v>
      </c>
      <c r="W1198" s="19" t="s">
        <v>6317</v>
      </c>
      <c r="Y1198" s="23">
        <v>5983</v>
      </c>
      <c r="AB1198" s="23" t="s">
        <v>6318</v>
      </c>
      <c r="AC1198" s="23" t="s">
        <v>2730</v>
      </c>
      <c r="AD1198" s="118">
        <v>0</v>
      </c>
      <c r="AE1198" s="118">
        <v>1</v>
      </c>
      <c r="AF1198" s="23" t="s">
        <v>3297</v>
      </c>
      <c r="AG1198" s="23" t="s">
        <v>2365</v>
      </c>
      <c r="AH1198" s="39">
        <v>44620</v>
      </c>
    </row>
    <row r="1199" spans="1:37" ht="32">
      <c r="A1199" s="75" t="s">
        <v>6319</v>
      </c>
      <c r="B1199" s="23" t="s">
        <v>6320</v>
      </c>
      <c r="C1199" s="140">
        <v>44564</v>
      </c>
      <c r="D1199" s="23" t="s">
        <v>729</v>
      </c>
      <c r="E1199" s="23" t="s">
        <v>752</v>
      </c>
      <c r="F1199" s="23" t="s">
        <v>5581</v>
      </c>
      <c r="G1199" s="23" t="s">
        <v>5698</v>
      </c>
      <c r="P1199" s="23" t="s">
        <v>6242</v>
      </c>
      <c r="Q1199" s="141" t="s">
        <v>6238</v>
      </c>
      <c r="T1199" s="23" t="s">
        <v>12031</v>
      </c>
      <c r="U1199" s="23" t="s">
        <v>12031</v>
      </c>
      <c r="V1199" s="23" t="s">
        <v>298</v>
      </c>
      <c r="W1199" s="19" t="s">
        <v>6330</v>
      </c>
      <c r="Y1199" s="23">
        <v>6000</v>
      </c>
      <c r="Z1199" s="23">
        <v>40</v>
      </c>
      <c r="AB1199" s="23" t="s">
        <v>6321</v>
      </c>
      <c r="AC1199" s="23" t="s">
        <v>123</v>
      </c>
      <c r="AD1199" s="118">
        <v>0</v>
      </c>
      <c r="AE1199" s="118">
        <v>1</v>
      </c>
      <c r="AF1199" s="23" t="s">
        <v>3297</v>
      </c>
      <c r="AG1199" s="23" t="s">
        <v>2178</v>
      </c>
      <c r="AH1199" s="39">
        <v>44620</v>
      </c>
    </row>
    <row r="1200" spans="1:37">
      <c r="A1200" s="75" t="s">
        <v>6322</v>
      </c>
      <c r="B1200" s="23" t="s">
        <v>6323</v>
      </c>
      <c r="C1200" s="140">
        <v>44593</v>
      </c>
      <c r="D1200" s="23" t="s">
        <v>729</v>
      </c>
      <c r="E1200" s="23" t="s">
        <v>752</v>
      </c>
      <c r="F1200" s="23" t="s">
        <v>5697</v>
      </c>
      <c r="G1200" s="23" t="s">
        <v>5698</v>
      </c>
      <c r="P1200" s="23" t="s">
        <v>6324</v>
      </c>
      <c r="Q1200" s="141" t="s">
        <v>6293</v>
      </c>
      <c r="T1200" s="23" t="s">
        <v>12031</v>
      </c>
      <c r="U1200" s="23" t="s">
        <v>12031</v>
      </c>
      <c r="V1200" s="23" t="s">
        <v>298</v>
      </c>
      <c r="W1200" s="23" t="s">
        <v>6325</v>
      </c>
      <c r="Y1200" s="23">
        <v>2000</v>
      </c>
      <c r="Z1200" s="23">
        <v>40</v>
      </c>
      <c r="AB1200" s="23" t="s">
        <v>6326</v>
      </c>
      <c r="AC1200" s="23" t="s">
        <v>131</v>
      </c>
      <c r="AD1200" s="118">
        <v>0</v>
      </c>
      <c r="AE1200" s="118">
        <v>1</v>
      </c>
      <c r="AF1200" s="23" t="s">
        <v>3297</v>
      </c>
      <c r="AG1200" s="23" t="s">
        <v>2928</v>
      </c>
      <c r="AH1200" s="39">
        <v>44620</v>
      </c>
    </row>
    <row r="1201" spans="1:37">
      <c r="A1201" s="104" t="s">
        <v>6334</v>
      </c>
      <c r="B1201" s="23" t="s">
        <v>6335</v>
      </c>
      <c r="C1201" s="140">
        <v>44617</v>
      </c>
      <c r="D1201" s="23" t="s">
        <v>729</v>
      </c>
      <c r="E1201" s="23" t="s">
        <v>752</v>
      </c>
      <c r="F1201" s="23" t="s">
        <v>57</v>
      </c>
      <c r="G1201" s="23" t="s">
        <v>57</v>
      </c>
      <c r="H1201" s="23" t="s">
        <v>6336</v>
      </c>
      <c r="I1201" s="23" t="s">
        <v>6336</v>
      </c>
      <c r="J1201" s="140">
        <v>44615</v>
      </c>
      <c r="P1201" s="23" t="s">
        <v>6337</v>
      </c>
      <c r="Q1201" s="141" t="s">
        <v>6338</v>
      </c>
      <c r="S1201" s="23" t="s">
        <v>184</v>
      </c>
      <c r="T1201" s="23" t="s">
        <v>302</v>
      </c>
      <c r="U1201" s="23" t="s">
        <v>302</v>
      </c>
      <c r="V1201" s="23" t="s">
        <v>233</v>
      </c>
      <c r="W1201" s="23" t="s">
        <v>284</v>
      </c>
      <c r="X1201" s="23">
        <v>46163.6</v>
      </c>
      <c r="Y1201" s="37">
        <v>49962</v>
      </c>
      <c r="Z1201" s="23">
        <v>55994.82</v>
      </c>
      <c r="AA1201" s="23">
        <v>50518.39</v>
      </c>
      <c r="AB1201" s="23" t="s">
        <v>6339</v>
      </c>
      <c r="AC1201" s="23" t="s">
        <v>6340</v>
      </c>
      <c r="AD1201" s="118">
        <v>0</v>
      </c>
      <c r="AE1201" s="118">
        <v>4</v>
      </c>
      <c r="AF1201" s="23" t="s">
        <v>3297</v>
      </c>
      <c r="AG1201" s="23" t="s">
        <v>787</v>
      </c>
      <c r="AH1201" s="39">
        <v>44622</v>
      </c>
    </row>
    <row r="1202" spans="1:37" ht="32">
      <c r="A1202" s="75" t="s">
        <v>6342</v>
      </c>
      <c r="B1202" s="23" t="s">
        <v>6343</v>
      </c>
      <c r="C1202" s="140">
        <v>44620</v>
      </c>
      <c r="D1202" s="23" t="s">
        <v>729</v>
      </c>
      <c r="E1202" s="23" t="s">
        <v>752</v>
      </c>
      <c r="F1202" s="23" t="s">
        <v>5755</v>
      </c>
      <c r="G1202" s="23" t="s">
        <v>5538</v>
      </c>
      <c r="H1202" s="23" t="s">
        <v>6344</v>
      </c>
      <c r="I1202" s="23" t="s">
        <v>6344</v>
      </c>
      <c r="J1202" s="140">
        <v>44604</v>
      </c>
      <c r="T1202" s="23" t="s">
        <v>12031</v>
      </c>
      <c r="U1202" s="23" t="s">
        <v>12031</v>
      </c>
      <c r="V1202" s="23" t="s">
        <v>299</v>
      </c>
      <c r="W1202" s="23" t="s">
        <v>6348</v>
      </c>
      <c r="AB1202" s="60" t="s">
        <v>6349</v>
      </c>
      <c r="AC1202" s="23">
        <v>6</v>
      </c>
      <c r="AD1202" s="118">
        <v>0</v>
      </c>
      <c r="AE1202" s="118">
        <v>2</v>
      </c>
      <c r="AG1202" s="23" t="s">
        <v>1916</v>
      </c>
      <c r="AH1202" s="39">
        <v>44622</v>
      </c>
      <c r="AI1202" s="53" t="s">
        <v>5757</v>
      </c>
    </row>
    <row r="1203" spans="1:37" ht="80">
      <c r="A1203" s="75" t="s">
        <v>6345</v>
      </c>
      <c r="B1203" s="23" t="s">
        <v>6346</v>
      </c>
      <c r="C1203" s="140">
        <v>44620</v>
      </c>
      <c r="D1203" s="23" t="s">
        <v>729</v>
      </c>
      <c r="E1203" s="23" t="s">
        <v>752</v>
      </c>
      <c r="F1203" s="23" t="s">
        <v>5755</v>
      </c>
      <c r="G1203" s="23" t="s">
        <v>5538</v>
      </c>
      <c r="H1203" s="23" t="s">
        <v>6347</v>
      </c>
      <c r="I1203" s="23" t="s">
        <v>6347</v>
      </c>
      <c r="J1203" s="140">
        <v>44608</v>
      </c>
      <c r="T1203" s="23" t="s">
        <v>12031</v>
      </c>
      <c r="U1203" s="23" t="s">
        <v>12031</v>
      </c>
      <c r="V1203" s="23" t="s">
        <v>299</v>
      </c>
      <c r="W1203" s="23" t="s">
        <v>6348</v>
      </c>
      <c r="AB1203" s="60" t="s">
        <v>6350</v>
      </c>
      <c r="AC1203" s="23">
        <v>15</v>
      </c>
      <c r="AD1203" s="118">
        <v>0</v>
      </c>
      <c r="AE1203" s="118">
        <v>5</v>
      </c>
      <c r="AG1203" s="23" t="s">
        <v>1916</v>
      </c>
      <c r="AH1203" s="39">
        <v>44622</v>
      </c>
      <c r="AI1203" s="53" t="s">
        <v>5757</v>
      </c>
    </row>
    <row r="1204" spans="1:37">
      <c r="A1204" s="75" t="s">
        <v>6355</v>
      </c>
      <c r="B1204" s="23" t="s">
        <v>6356</v>
      </c>
      <c r="C1204" s="140">
        <v>44620</v>
      </c>
      <c r="D1204" s="23" t="s">
        <v>729</v>
      </c>
      <c r="E1204" s="23" t="s">
        <v>752</v>
      </c>
      <c r="F1204" s="23" t="s">
        <v>5765</v>
      </c>
      <c r="G1204" s="23" t="s">
        <v>1724</v>
      </c>
      <c r="P1204" s="23" t="s">
        <v>6357</v>
      </c>
      <c r="Q1204" s="141" t="s">
        <v>6358</v>
      </c>
      <c r="T1204" s="23" t="s">
        <v>12031</v>
      </c>
      <c r="U1204" s="23" t="s">
        <v>12031</v>
      </c>
      <c r="V1204" s="23" t="s">
        <v>298</v>
      </c>
      <c r="W1204" s="23" t="s">
        <v>6359</v>
      </c>
      <c r="Y1204" s="38">
        <v>23800</v>
      </c>
      <c r="Z1204" s="23">
        <v>68</v>
      </c>
      <c r="AB1204" s="23" t="s">
        <v>6360</v>
      </c>
      <c r="AC1204" s="23" t="s">
        <v>6361</v>
      </c>
      <c r="AD1204" s="118">
        <v>0</v>
      </c>
      <c r="AE1204" s="118">
        <v>1</v>
      </c>
      <c r="AF1204" s="23" t="s">
        <v>6122</v>
      </c>
      <c r="AG1204" s="23" t="s">
        <v>666</v>
      </c>
      <c r="AH1204" s="39">
        <v>44623</v>
      </c>
    </row>
    <row r="1205" spans="1:37" ht="48">
      <c r="A1205" s="75" t="s">
        <v>6362</v>
      </c>
      <c r="B1205" s="23" t="s">
        <v>6363</v>
      </c>
      <c r="C1205" s="140">
        <v>44621</v>
      </c>
      <c r="D1205" s="23" t="s">
        <v>729</v>
      </c>
      <c r="E1205" s="23" t="s">
        <v>752</v>
      </c>
      <c r="F1205" s="23" t="s">
        <v>4899</v>
      </c>
      <c r="G1205" s="23" t="s">
        <v>1724</v>
      </c>
      <c r="P1205" s="23" t="s">
        <v>6364</v>
      </c>
      <c r="Q1205" s="141" t="s">
        <v>6365</v>
      </c>
      <c r="W1205" s="23" t="s">
        <v>425</v>
      </c>
      <c r="Y1205" s="23">
        <v>46780</v>
      </c>
      <c r="Z1205" s="23">
        <v>128</v>
      </c>
      <c r="AB1205" s="19" t="s">
        <v>6367</v>
      </c>
      <c r="AC1205" s="23" t="s">
        <v>6366</v>
      </c>
      <c r="AD1205" s="118">
        <v>0</v>
      </c>
      <c r="AE1205" s="118">
        <v>2</v>
      </c>
      <c r="AF1205" s="19" t="s">
        <v>3214</v>
      </c>
      <c r="AG1205" s="23" t="s">
        <v>665</v>
      </c>
      <c r="AH1205" s="39">
        <v>44623</v>
      </c>
    </row>
    <row r="1206" spans="1:37" ht="64">
      <c r="A1206" s="75" t="s">
        <v>6368</v>
      </c>
      <c r="B1206" s="23" t="s">
        <v>6369</v>
      </c>
      <c r="C1206" s="140">
        <v>44619</v>
      </c>
      <c r="D1206" s="23" t="s">
        <v>729</v>
      </c>
      <c r="E1206" s="23" t="s">
        <v>752</v>
      </c>
      <c r="F1206" s="23" t="s">
        <v>5765</v>
      </c>
      <c r="G1206" s="23" t="s">
        <v>1724</v>
      </c>
      <c r="P1206" s="23" t="s">
        <v>6370</v>
      </c>
      <c r="Q1206" s="141" t="s">
        <v>6371</v>
      </c>
      <c r="T1206" s="23" t="s">
        <v>12031</v>
      </c>
      <c r="U1206" s="23" t="s">
        <v>12031</v>
      </c>
      <c r="V1206" s="23" t="s">
        <v>298</v>
      </c>
      <c r="W1206" s="23" t="s">
        <v>6359</v>
      </c>
      <c r="Y1206" s="38">
        <v>47500</v>
      </c>
      <c r="Z1206" s="23">
        <v>136</v>
      </c>
      <c r="AB1206" s="19" t="s">
        <v>6372</v>
      </c>
      <c r="AC1206" s="23" t="s">
        <v>6373</v>
      </c>
      <c r="AD1206" s="118">
        <v>0</v>
      </c>
      <c r="AE1206" s="118">
        <v>2</v>
      </c>
      <c r="AF1206" s="19" t="s">
        <v>6263</v>
      </c>
      <c r="AG1206" s="23" t="s">
        <v>666</v>
      </c>
      <c r="AH1206" s="39">
        <v>44624</v>
      </c>
    </row>
    <row r="1207" spans="1:37" ht="64">
      <c r="A1207" s="75" t="s">
        <v>6374</v>
      </c>
      <c r="B1207" s="23" t="s">
        <v>6375</v>
      </c>
      <c r="C1207" s="140">
        <v>44622</v>
      </c>
      <c r="D1207" s="23" t="s">
        <v>729</v>
      </c>
      <c r="E1207" s="23" t="s">
        <v>2919</v>
      </c>
      <c r="F1207" s="23" t="s">
        <v>4899</v>
      </c>
      <c r="G1207" s="23" t="s">
        <v>1724</v>
      </c>
      <c r="Q1207" s="141" t="s">
        <v>6376</v>
      </c>
      <c r="T1207" s="23" t="s">
        <v>3715</v>
      </c>
      <c r="U1207" s="23" t="s">
        <v>3715</v>
      </c>
      <c r="V1207" s="23" t="s">
        <v>298</v>
      </c>
      <c r="W1207" s="19" t="s">
        <v>6377</v>
      </c>
      <c r="Y1207" s="38">
        <v>45180</v>
      </c>
      <c r="Z1207" s="23">
        <v>136</v>
      </c>
      <c r="AB1207" s="19" t="s">
        <v>6378</v>
      </c>
      <c r="AC1207" s="23" t="s">
        <v>6380</v>
      </c>
      <c r="AD1207" s="118">
        <v>0</v>
      </c>
      <c r="AE1207" s="118">
        <v>2</v>
      </c>
      <c r="AF1207" s="19" t="s">
        <v>6379</v>
      </c>
      <c r="AG1207" s="23" t="s">
        <v>666</v>
      </c>
      <c r="AH1207" s="39">
        <v>44627</v>
      </c>
    </row>
    <row r="1208" spans="1:37" ht="32">
      <c r="A1208" s="75" t="s">
        <v>6381</v>
      </c>
      <c r="B1208" s="23">
        <v>216552108</v>
      </c>
      <c r="C1208" s="140">
        <v>44610</v>
      </c>
      <c r="D1208" s="23" t="s">
        <v>729</v>
      </c>
      <c r="E1208" s="23" t="s">
        <v>752</v>
      </c>
      <c r="F1208" s="23" t="s">
        <v>4674</v>
      </c>
      <c r="G1208" s="23" t="s">
        <v>3469</v>
      </c>
      <c r="H1208" s="23" t="s">
        <v>6382</v>
      </c>
      <c r="I1208" s="23" t="s">
        <v>6382</v>
      </c>
      <c r="J1208" s="140">
        <v>44609</v>
      </c>
      <c r="T1208" s="23" t="s">
        <v>12031</v>
      </c>
      <c r="U1208" s="23" t="s">
        <v>12031</v>
      </c>
      <c r="V1208" s="23" t="s">
        <v>299</v>
      </c>
      <c r="W1208" s="23" t="s">
        <v>6383</v>
      </c>
      <c r="AB1208" s="19" t="s">
        <v>6384</v>
      </c>
      <c r="AC1208" s="23">
        <v>5</v>
      </c>
      <c r="AD1208" s="118">
        <v>0</v>
      </c>
      <c r="AE1208" s="118">
        <v>2</v>
      </c>
      <c r="AF1208" s="23" t="s">
        <v>3297</v>
      </c>
      <c r="AG1208" s="23" t="s">
        <v>3973</v>
      </c>
      <c r="AH1208" s="39">
        <v>44627</v>
      </c>
      <c r="AI1208" s="53" t="s">
        <v>3469</v>
      </c>
      <c r="AJ1208" s="75" t="s">
        <v>8322</v>
      </c>
      <c r="AK1208" s="53">
        <v>44630</v>
      </c>
    </row>
    <row r="1209" spans="1:37" ht="80">
      <c r="A1209" s="75" t="s">
        <v>6385</v>
      </c>
      <c r="B1209" s="23" t="s">
        <v>6386</v>
      </c>
      <c r="C1209" s="140">
        <v>44612</v>
      </c>
      <c r="D1209" s="23" t="s">
        <v>729</v>
      </c>
      <c r="E1209" s="23" t="s">
        <v>752</v>
      </c>
      <c r="F1209" s="23" t="s">
        <v>2200</v>
      </c>
      <c r="G1209" s="23" t="s">
        <v>301</v>
      </c>
      <c r="H1209" s="23">
        <v>20395524</v>
      </c>
      <c r="I1209" s="23">
        <v>20395524</v>
      </c>
      <c r="J1209" s="140">
        <v>44610</v>
      </c>
      <c r="K1209" s="23" t="s">
        <v>6387</v>
      </c>
      <c r="L1209" s="140">
        <v>44616</v>
      </c>
      <c r="T1209" s="23" t="s">
        <v>305</v>
      </c>
      <c r="U1209" s="23" t="s">
        <v>305</v>
      </c>
      <c r="V1209" s="23" t="s">
        <v>299</v>
      </c>
      <c r="W1209" s="23" t="s">
        <v>5795</v>
      </c>
      <c r="AB1209" s="19" t="s">
        <v>6388</v>
      </c>
      <c r="AC1209" s="59">
        <v>15</v>
      </c>
      <c r="AD1209" s="118">
        <v>0</v>
      </c>
      <c r="AE1209" s="118">
        <v>5</v>
      </c>
      <c r="AG1209" s="23" t="s">
        <v>1553</v>
      </c>
      <c r="AH1209" s="39">
        <v>44627</v>
      </c>
      <c r="AI1209" s="53" t="s">
        <v>5851</v>
      </c>
    </row>
    <row r="1210" spans="1:37" ht="80">
      <c r="A1210" s="75" t="s">
        <v>6389</v>
      </c>
      <c r="B1210" s="59" t="s">
        <v>6391</v>
      </c>
      <c r="C1210" s="140">
        <v>44612</v>
      </c>
      <c r="D1210" s="23" t="s">
        <v>729</v>
      </c>
      <c r="E1210" s="23" t="s">
        <v>752</v>
      </c>
      <c r="F1210" s="23" t="s">
        <v>2200</v>
      </c>
      <c r="G1210" s="23" t="s">
        <v>301</v>
      </c>
      <c r="H1210" s="23">
        <v>20395520</v>
      </c>
      <c r="I1210" s="23">
        <v>20395520</v>
      </c>
      <c r="J1210" s="140">
        <v>44610</v>
      </c>
      <c r="K1210" s="23" t="s">
        <v>6390</v>
      </c>
      <c r="L1210" s="140">
        <v>44616</v>
      </c>
      <c r="T1210" s="23" t="s">
        <v>305</v>
      </c>
      <c r="U1210" s="23" t="s">
        <v>305</v>
      </c>
      <c r="V1210" s="23" t="s">
        <v>299</v>
      </c>
      <c r="W1210" s="23" t="s">
        <v>5795</v>
      </c>
      <c r="AB1210" s="19" t="s">
        <v>6392</v>
      </c>
      <c r="AC1210" s="59">
        <v>15</v>
      </c>
      <c r="AD1210" s="118">
        <v>0</v>
      </c>
      <c r="AE1210" s="118">
        <v>5</v>
      </c>
      <c r="AG1210" s="23" t="s">
        <v>1553</v>
      </c>
      <c r="AH1210" s="39">
        <v>44627</v>
      </c>
      <c r="AI1210" s="53" t="s">
        <v>5851</v>
      </c>
    </row>
    <row r="1211" spans="1:37" ht="160">
      <c r="A1211" s="75" t="s">
        <v>6393</v>
      </c>
      <c r="B1211" s="59" t="s">
        <v>6394</v>
      </c>
      <c r="C1211" s="140">
        <v>44612</v>
      </c>
      <c r="D1211" s="23" t="s">
        <v>729</v>
      </c>
      <c r="E1211" s="23" t="s">
        <v>752</v>
      </c>
      <c r="F1211" s="23" t="s">
        <v>2200</v>
      </c>
      <c r="G1211" s="23" t="s">
        <v>301</v>
      </c>
      <c r="H1211" s="23">
        <v>20397214</v>
      </c>
      <c r="I1211" s="23">
        <v>20397214</v>
      </c>
      <c r="J1211" s="140">
        <v>44610</v>
      </c>
      <c r="K1211" s="23" t="s">
        <v>6395</v>
      </c>
      <c r="L1211" s="140">
        <v>44620</v>
      </c>
      <c r="T1211" s="23" t="s">
        <v>305</v>
      </c>
      <c r="U1211" s="23" t="s">
        <v>305</v>
      </c>
      <c r="V1211" s="23" t="s">
        <v>299</v>
      </c>
      <c r="W1211" s="23" t="s">
        <v>6396</v>
      </c>
      <c r="AB1211" s="60" t="s">
        <v>6397</v>
      </c>
      <c r="AC1211" s="59">
        <v>20</v>
      </c>
      <c r="AD1211" s="118">
        <v>0</v>
      </c>
      <c r="AE1211" s="118">
        <v>10</v>
      </c>
      <c r="AG1211" s="23" t="s">
        <v>1553</v>
      </c>
      <c r="AH1211" s="39">
        <v>44627</v>
      </c>
      <c r="AI1211" s="53" t="s">
        <v>5852</v>
      </c>
      <c r="AJ1211" s="75" t="s">
        <v>8321</v>
      </c>
      <c r="AK1211" s="53">
        <v>44630</v>
      </c>
    </row>
    <row r="1212" spans="1:37" ht="96">
      <c r="A1212" s="75" t="s">
        <v>6406</v>
      </c>
      <c r="B1212" s="23" t="s">
        <v>6407</v>
      </c>
      <c r="C1212" s="140">
        <v>44625</v>
      </c>
      <c r="D1212" s="23" t="s">
        <v>729</v>
      </c>
      <c r="E1212" s="23" t="s">
        <v>752</v>
      </c>
      <c r="F1212" s="23" t="s">
        <v>4899</v>
      </c>
      <c r="G1212" s="23" t="s">
        <v>1724</v>
      </c>
      <c r="P1212" s="23" t="s">
        <v>6408</v>
      </c>
      <c r="Q1212" s="141" t="s">
        <v>6409</v>
      </c>
      <c r="T1212" s="23" t="s">
        <v>12031</v>
      </c>
      <c r="U1212" s="23" t="s">
        <v>12031</v>
      </c>
      <c r="V1212" s="23" t="s">
        <v>298</v>
      </c>
      <c r="W1212" s="23" t="s">
        <v>6359</v>
      </c>
      <c r="Y1212" s="23">
        <v>68500</v>
      </c>
      <c r="Z1212" s="23">
        <v>204</v>
      </c>
      <c r="AB1212" s="19" t="s">
        <v>6410</v>
      </c>
      <c r="AC1212" s="23" t="s">
        <v>6411</v>
      </c>
      <c r="AD1212" s="118">
        <v>0</v>
      </c>
      <c r="AE1212" s="118">
        <v>4</v>
      </c>
      <c r="AF1212" s="19" t="s">
        <v>6206</v>
      </c>
      <c r="AG1212" s="23" t="s">
        <v>666</v>
      </c>
      <c r="AH1212" s="39">
        <v>44629</v>
      </c>
    </row>
    <row r="1213" spans="1:37">
      <c r="A1213" s="75" t="s">
        <v>6412</v>
      </c>
      <c r="B1213" s="23" t="s">
        <v>6413</v>
      </c>
      <c r="C1213" s="140">
        <v>44620</v>
      </c>
      <c r="F1213" s="23" t="s">
        <v>4899</v>
      </c>
      <c r="G1213" s="23" t="s">
        <v>1724</v>
      </c>
      <c r="P1213" s="23" t="s">
        <v>6414</v>
      </c>
      <c r="Q1213" s="141" t="s">
        <v>6409</v>
      </c>
      <c r="W1213" s="23" t="s">
        <v>498</v>
      </c>
      <c r="Y1213" s="37">
        <v>13677.1</v>
      </c>
      <c r="Z1213" s="23">
        <v>41.91</v>
      </c>
      <c r="AB1213" s="23" t="s">
        <v>6415</v>
      </c>
      <c r="AC1213" s="23" t="s">
        <v>6416</v>
      </c>
      <c r="AD1213" s="118"/>
      <c r="AE1213" s="118"/>
      <c r="AF1213" s="23" t="s">
        <v>3297</v>
      </c>
      <c r="AG1213" s="23" t="s">
        <v>5518</v>
      </c>
      <c r="AH1213" s="39">
        <v>44629</v>
      </c>
    </row>
    <row r="1214" spans="1:37">
      <c r="A1214" s="75" t="s">
        <v>6417</v>
      </c>
      <c r="B1214" s="23" t="s">
        <v>6418</v>
      </c>
      <c r="C1214" s="140">
        <v>44612</v>
      </c>
      <c r="D1214" s="23" t="s">
        <v>729</v>
      </c>
      <c r="E1214" s="23" t="s">
        <v>2919</v>
      </c>
      <c r="F1214" s="23" t="s">
        <v>4899</v>
      </c>
      <c r="G1214" s="23" t="s">
        <v>1724</v>
      </c>
      <c r="Q1214" s="141" t="s">
        <v>6419</v>
      </c>
      <c r="T1214" s="23" t="s">
        <v>3715</v>
      </c>
      <c r="U1214" s="23" t="s">
        <v>3715</v>
      </c>
      <c r="V1214" s="23" t="s">
        <v>298</v>
      </c>
      <c r="W1214" s="23" t="s">
        <v>4947</v>
      </c>
      <c r="Y1214" s="38">
        <v>14730</v>
      </c>
      <c r="Z1214" s="23">
        <v>25.38</v>
      </c>
      <c r="AB1214" s="23" t="s">
        <v>6420</v>
      </c>
      <c r="AC1214" s="23" t="s">
        <v>6421</v>
      </c>
      <c r="AD1214" s="118">
        <v>0</v>
      </c>
      <c r="AE1214" s="118">
        <v>1</v>
      </c>
      <c r="AF1214" s="23" t="s">
        <v>3451</v>
      </c>
      <c r="AG1214" s="23" t="s">
        <v>666</v>
      </c>
      <c r="AH1214" s="39">
        <v>44630</v>
      </c>
    </row>
    <row r="1215" spans="1:37">
      <c r="A1215" s="75" t="s">
        <v>6422</v>
      </c>
      <c r="B1215" s="23" t="s">
        <v>6423</v>
      </c>
      <c r="C1215" s="140">
        <v>44612</v>
      </c>
      <c r="D1215" s="23" t="s">
        <v>729</v>
      </c>
      <c r="E1215" s="23" t="s">
        <v>752</v>
      </c>
      <c r="F1215" s="23" t="s">
        <v>2200</v>
      </c>
      <c r="G1215" s="23" t="s">
        <v>301</v>
      </c>
      <c r="H1215" s="23">
        <v>20395516</v>
      </c>
      <c r="I1215" s="23">
        <v>20395516</v>
      </c>
      <c r="J1215" s="140">
        <v>44610</v>
      </c>
      <c r="K1215" s="117" t="s">
        <v>6424</v>
      </c>
      <c r="L1215" s="140">
        <v>44630</v>
      </c>
      <c r="T1215" s="23" t="s">
        <v>305</v>
      </c>
      <c r="U1215" s="23" t="s">
        <v>305</v>
      </c>
      <c r="V1215" s="23" t="s">
        <v>299</v>
      </c>
      <c r="W1215" s="23" t="s">
        <v>6425</v>
      </c>
      <c r="Y1215" s="23">
        <v>2636</v>
      </c>
      <c r="AB1215" s="59" t="s">
        <v>6426</v>
      </c>
      <c r="AC1215" s="59">
        <v>2</v>
      </c>
      <c r="AD1215" s="118">
        <v>0</v>
      </c>
      <c r="AE1215" s="118">
        <v>1</v>
      </c>
      <c r="AF1215" s="23" t="s">
        <v>3193</v>
      </c>
      <c r="AG1215" s="23" t="s">
        <v>1553</v>
      </c>
      <c r="AH1215" s="39">
        <v>44630</v>
      </c>
      <c r="AI1215" s="53" t="s">
        <v>5851</v>
      </c>
    </row>
    <row r="1216" spans="1:37">
      <c r="A1216" s="75" t="s">
        <v>6427</v>
      </c>
      <c r="B1216" s="23" t="s">
        <v>6428</v>
      </c>
      <c r="C1216" s="140">
        <v>44626</v>
      </c>
      <c r="D1216" s="23" t="s">
        <v>729</v>
      </c>
      <c r="E1216" s="23" t="s">
        <v>752</v>
      </c>
      <c r="F1216" s="23" t="s">
        <v>4899</v>
      </c>
      <c r="G1216" s="23" t="s">
        <v>1724</v>
      </c>
      <c r="P1216" s="23" t="s">
        <v>6429</v>
      </c>
      <c r="Q1216" s="141" t="s">
        <v>6430</v>
      </c>
      <c r="T1216" s="23" t="s">
        <v>12031</v>
      </c>
      <c r="U1216" s="23" t="s">
        <v>12031</v>
      </c>
      <c r="V1216" s="23" t="s">
        <v>298</v>
      </c>
      <c r="W1216" s="23" t="s">
        <v>6431</v>
      </c>
      <c r="Y1216" s="23">
        <v>22300</v>
      </c>
      <c r="AB1216" s="23" t="s">
        <v>6432</v>
      </c>
      <c r="AC1216" s="23" t="s">
        <v>6433</v>
      </c>
      <c r="AD1216" s="118">
        <v>0</v>
      </c>
      <c r="AE1216" s="118">
        <v>3</v>
      </c>
      <c r="AF1216" s="23" t="s">
        <v>6434</v>
      </c>
      <c r="AH1216" s="39">
        <v>44633</v>
      </c>
    </row>
    <row r="1217" spans="1:35" ht="64">
      <c r="A1217" s="75" t="s">
        <v>6435</v>
      </c>
      <c r="B1217" s="23" t="s">
        <v>6436</v>
      </c>
      <c r="C1217" s="140">
        <v>44629</v>
      </c>
      <c r="F1217" s="23" t="s">
        <v>5765</v>
      </c>
      <c r="G1217" s="23" t="s">
        <v>1724</v>
      </c>
      <c r="Q1217" s="141"/>
      <c r="W1217" s="23" t="s">
        <v>6359</v>
      </c>
      <c r="Y1217" s="23">
        <v>49670</v>
      </c>
      <c r="AB1217" s="19" t="s">
        <v>6437</v>
      </c>
      <c r="AC1217" s="23" t="s">
        <v>6438</v>
      </c>
      <c r="AD1217" s="118"/>
      <c r="AE1217" s="118"/>
      <c r="AF1217" s="19" t="s">
        <v>6439</v>
      </c>
      <c r="AH1217" s="39">
        <v>44633</v>
      </c>
    </row>
    <row r="1218" spans="1:35">
      <c r="A1218" s="75" t="s">
        <v>6440</v>
      </c>
      <c r="B1218" s="23" t="s">
        <v>6441</v>
      </c>
      <c r="C1218" s="140">
        <v>44610</v>
      </c>
      <c r="D1218" s="23" t="s">
        <v>729</v>
      </c>
      <c r="E1218" s="23" t="s">
        <v>752</v>
      </c>
      <c r="F1218" s="23" t="s">
        <v>5697</v>
      </c>
      <c r="G1218" s="23" t="s">
        <v>5698</v>
      </c>
      <c r="P1218" s="23" t="s">
        <v>6442</v>
      </c>
      <c r="Q1218" s="141" t="s">
        <v>6450</v>
      </c>
      <c r="T1218" s="23" t="s">
        <v>12031</v>
      </c>
      <c r="U1218" s="23" t="s">
        <v>12031</v>
      </c>
      <c r="V1218" s="23" t="s">
        <v>298</v>
      </c>
      <c r="W1218" s="23" t="s">
        <v>6443</v>
      </c>
      <c r="Y1218" s="23">
        <v>4416</v>
      </c>
      <c r="AB1218" s="23" t="s">
        <v>6444</v>
      </c>
      <c r="AC1218" s="23" t="s">
        <v>123</v>
      </c>
      <c r="AD1218" s="118">
        <v>0</v>
      </c>
      <c r="AE1218" s="118">
        <v>1</v>
      </c>
      <c r="AF1218" s="23" t="s">
        <v>3297</v>
      </c>
      <c r="AG1218" s="23" t="s">
        <v>6445</v>
      </c>
      <c r="AH1218" s="39">
        <v>44633</v>
      </c>
    </row>
    <row r="1219" spans="1:35" ht="48">
      <c r="A1219" s="75" t="s">
        <v>6446</v>
      </c>
      <c r="B1219" s="23" t="s">
        <v>6447</v>
      </c>
      <c r="C1219" s="140">
        <v>44625</v>
      </c>
      <c r="D1219" s="23" t="s">
        <v>729</v>
      </c>
      <c r="E1219" s="23" t="s">
        <v>752</v>
      </c>
      <c r="F1219" s="23" t="s">
        <v>6113</v>
      </c>
      <c r="G1219" s="23" t="s">
        <v>5538</v>
      </c>
      <c r="H1219" s="23" t="s">
        <v>6448</v>
      </c>
      <c r="I1219" s="23" t="s">
        <v>6448</v>
      </c>
      <c r="J1219" s="140">
        <v>44613</v>
      </c>
      <c r="P1219" s="19" t="s">
        <v>6449</v>
      </c>
      <c r="Q1219" s="141" t="s">
        <v>6451</v>
      </c>
      <c r="T1219" s="23" t="s">
        <v>12031</v>
      </c>
      <c r="U1219" s="23" t="s">
        <v>12031</v>
      </c>
      <c r="V1219" s="23" t="s">
        <v>299</v>
      </c>
      <c r="W1219" s="23" t="s">
        <v>6452</v>
      </c>
      <c r="Y1219" s="23">
        <v>12690</v>
      </c>
      <c r="AB1219" s="19" t="s">
        <v>6453</v>
      </c>
      <c r="AC1219" s="23">
        <v>9</v>
      </c>
      <c r="AD1219" s="118">
        <v>0</v>
      </c>
      <c r="AE1219" s="118">
        <v>3</v>
      </c>
      <c r="AF1219" s="23" t="s">
        <v>3297</v>
      </c>
      <c r="AG1219" s="23" t="s">
        <v>5388</v>
      </c>
      <c r="AH1219" s="39">
        <v>44633</v>
      </c>
      <c r="AI1219" s="53" t="s">
        <v>5027</v>
      </c>
    </row>
    <row r="1220" spans="1:35" ht="128">
      <c r="A1220" s="75" t="s">
        <v>6454</v>
      </c>
      <c r="B1220" s="23" t="s">
        <v>6455</v>
      </c>
      <c r="C1220" s="140">
        <v>44632</v>
      </c>
      <c r="D1220" s="23" t="s">
        <v>729</v>
      </c>
      <c r="E1220" s="23" t="s">
        <v>752</v>
      </c>
      <c r="F1220" s="23" t="s">
        <v>4899</v>
      </c>
      <c r="G1220" s="23" t="s">
        <v>1724</v>
      </c>
      <c r="P1220" s="23" t="s">
        <v>6456</v>
      </c>
      <c r="Q1220" s="141" t="s">
        <v>6465</v>
      </c>
      <c r="T1220" s="23" t="s">
        <v>12031</v>
      </c>
      <c r="U1220" s="23" t="s">
        <v>12031</v>
      </c>
      <c r="V1220" s="23" t="s">
        <v>298</v>
      </c>
      <c r="W1220" s="23" t="s">
        <v>6457</v>
      </c>
      <c r="Y1220" s="23">
        <v>80248.5</v>
      </c>
      <c r="Z1220" s="23">
        <v>302.31</v>
      </c>
      <c r="AB1220" s="19" t="s">
        <v>6458</v>
      </c>
      <c r="AC1220" s="23" t="s">
        <v>6459</v>
      </c>
      <c r="AD1220" s="118">
        <v>0</v>
      </c>
      <c r="AE1220" s="118">
        <v>5</v>
      </c>
      <c r="AF1220" s="19" t="s">
        <v>6460</v>
      </c>
      <c r="AG1220" s="23" t="s">
        <v>637</v>
      </c>
      <c r="AH1220" s="39">
        <v>44635</v>
      </c>
    </row>
    <row r="1221" spans="1:35" ht="16">
      <c r="A1221" s="75" t="s">
        <v>6461</v>
      </c>
      <c r="B1221" s="23" t="s">
        <v>6462</v>
      </c>
      <c r="C1221" s="140">
        <v>44632</v>
      </c>
      <c r="F1221" s="23" t="s">
        <v>4899</v>
      </c>
      <c r="G1221" s="23" t="s">
        <v>1724</v>
      </c>
      <c r="W1221" s="23" t="s">
        <v>6457</v>
      </c>
      <c r="Y1221" s="23">
        <v>19399</v>
      </c>
      <c r="Z1221" s="23">
        <v>62.3</v>
      </c>
      <c r="AB1221" s="23" t="s">
        <v>6463</v>
      </c>
      <c r="AC1221" s="23" t="s">
        <v>6464</v>
      </c>
      <c r="AD1221" s="118"/>
      <c r="AE1221" s="118"/>
      <c r="AF1221" s="19" t="s">
        <v>5478</v>
      </c>
      <c r="AG1221" s="23" t="s">
        <v>637</v>
      </c>
      <c r="AH1221" s="39">
        <v>44635</v>
      </c>
    </row>
    <row r="1222" spans="1:35">
      <c r="A1222" s="75" t="s">
        <v>6466</v>
      </c>
      <c r="B1222" s="23" t="s">
        <v>6467</v>
      </c>
      <c r="C1222" s="140">
        <v>44619</v>
      </c>
      <c r="D1222" s="23" t="s">
        <v>729</v>
      </c>
      <c r="E1222" s="23" t="s">
        <v>752</v>
      </c>
      <c r="F1222" s="23" t="s">
        <v>2200</v>
      </c>
      <c r="G1222" s="23" t="s">
        <v>301</v>
      </c>
      <c r="H1222" s="23">
        <v>20395983</v>
      </c>
      <c r="I1222" s="23">
        <v>20395983</v>
      </c>
      <c r="J1222" s="140">
        <v>44616</v>
      </c>
      <c r="K1222" s="23" t="s">
        <v>6468</v>
      </c>
      <c r="L1222" s="140">
        <v>44623</v>
      </c>
      <c r="P1222" s="23" t="s">
        <v>6542</v>
      </c>
      <c r="Q1222" s="140" t="s">
        <v>6430</v>
      </c>
      <c r="T1222" s="23" t="s">
        <v>305</v>
      </c>
      <c r="U1222" s="23" t="s">
        <v>305</v>
      </c>
      <c r="V1222" s="23" t="s">
        <v>298</v>
      </c>
      <c r="W1222" s="23" t="s">
        <v>6469</v>
      </c>
      <c r="Y1222" s="38">
        <v>1318</v>
      </c>
      <c r="Z1222" s="23">
        <v>12.93</v>
      </c>
      <c r="AB1222" s="23" t="s">
        <v>6543</v>
      </c>
      <c r="AC1222" s="59" t="s">
        <v>2519</v>
      </c>
      <c r="AD1222" s="118">
        <v>1</v>
      </c>
      <c r="AE1222" s="118">
        <v>0</v>
      </c>
      <c r="AF1222" s="23" t="s">
        <v>3451</v>
      </c>
      <c r="AG1222" s="23" t="s">
        <v>1553</v>
      </c>
      <c r="AH1222" s="39">
        <v>44635</v>
      </c>
    </row>
    <row r="1223" spans="1:35">
      <c r="A1223" s="75" t="s">
        <v>6470</v>
      </c>
      <c r="B1223" s="23" t="s">
        <v>6471</v>
      </c>
      <c r="C1223" s="140">
        <v>44619</v>
      </c>
      <c r="D1223" s="23" t="s">
        <v>729</v>
      </c>
      <c r="E1223" s="23" t="s">
        <v>752</v>
      </c>
      <c r="F1223" s="23" t="s">
        <v>2200</v>
      </c>
      <c r="G1223" s="23" t="s">
        <v>301</v>
      </c>
      <c r="H1223" s="23">
        <v>20396016</v>
      </c>
      <c r="I1223" s="23">
        <v>20396016</v>
      </c>
      <c r="J1223" s="140">
        <v>44616</v>
      </c>
      <c r="K1223" s="23" t="s">
        <v>6472</v>
      </c>
      <c r="L1223" s="140">
        <v>44624</v>
      </c>
      <c r="P1223" s="23" t="s">
        <v>6525</v>
      </c>
      <c r="Q1223" s="140">
        <v>44634</v>
      </c>
      <c r="T1223" s="23" t="s">
        <v>305</v>
      </c>
      <c r="U1223" s="23" t="s">
        <v>305</v>
      </c>
      <c r="V1223" s="23" t="s">
        <v>299</v>
      </c>
      <c r="W1223" s="23" t="s">
        <v>5795</v>
      </c>
      <c r="AB1223" s="23" t="s">
        <v>6516</v>
      </c>
      <c r="AC1223" s="59">
        <v>2</v>
      </c>
      <c r="AD1223" s="118">
        <v>0</v>
      </c>
      <c r="AE1223" s="118">
        <v>1</v>
      </c>
      <c r="AG1223" s="23" t="s">
        <v>1553</v>
      </c>
      <c r="AH1223" s="39">
        <v>44635</v>
      </c>
      <c r="AI1223" s="53" t="s">
        <v>5851</v>
      </c>
    </row>
    <row r="1224" spans="1:35">
      <c r="A1224" s="75" t="s">
        <v>6474</v>
      </c>
      <c r="B1224" s="23" t="s">
        <v>6475</v>
      </c>
      <c r="C1224" s="140">
        <v>44619</v>
      </c>
      <c r="D1224" s="23" t="s">
        <v>729</v>
      </c>
      <c r="E1224" s="23" t="s">
        <v>752</v>
      </c>
      <c r="F1224" s="23" t="s">
        <v>2200</v>
      </c>
      <c r="G1224" s="23" t="s">
        <v>301</v>
      </c>
      <c r="H1224" s="23">
        <v>20395978</v>
      </c>
      <c r="I1224" s="23">
        <v>20395978</v>
      </c>
      <c r="J1224" s="140">
        <v>44616</v>
      </c>
      <c r="K1224" s="23" t="s">
        <v>6476</v>
      </c>
      <c r="L1224" s="140">
        <v>44624</v>
      </c>
      <c r="P1224" s="23" t="s">
        <v>6525</v>
      </c>
      <c r="Q1224" s="140">
        <v>44634</v>
      </c>
      <c r="T1224" s="23" t="s">
        <v>305</v>
      </c>
      <c r="U1224" s="23" t="s">
        <v>305</v>
      </c>
      <c r="V1224" s="23" t="s">
        <v>299</v>
      </c>
      <c r="W1224" s="23" t="s">
        <v>5795</v>
      </c>
      <c r="AB1224" s="23" t="s">
        <v>6473</v>
      </c>
      <c r="AC1224" s="59">
        <v>1</v>
      </c>
      <c r="AD1224" s="118">
        <v>0</v>
      </c>
      <c r="AE1224" s="118">
        <v>0</v>
      </c>
      <c r="AG1224" s="23" t="s">
        <v>1553</v>
      </c>
      <c r="AH1224" s="39">
        <v>44635</v>
      </c>
      <c r="AI1224" s="53" t="s">
        <v>5851</v>
      </c>
    </row>
    <row r="1225" spans="1:35" ht="144">
      <c r="A1225" s="75" t="s">
        <v>6477</v>
      </c>
      <c r="B1225" s="23" t="s">
        <v>6478</v>
      </c>
      <c r="C1225" s="140">
        <v>44619</v>
      </c>
      <c r="D1225" s="23" t="s">
        <v>729</v>
      </c>
      <c r="E1225" s="23" t="s">
        <v>752</v>
      </c>
      <c r="F1225" s="23" t="s">
        <v>2200</v>
      </c>
      <c r="G1225" s="23" t="s">
        <v>301</v>
      </c>
      <c r="H1225" s="23">
        <v>20396012</v>
      </c>
      <c r="I1225" s="23">
        <v>20396012</v>
      </c>
      <c r="J1225" s="140">
        <v>44616</v>
      </c>
      <c r="K1225" s="23" t="s">
        <v>6479</v>
      </c>
      <c r="L1225" s="140">
        <v>44624</v>
      </c>
      <c r="P1225" s="23" t="s">
        <v>6525</v>
      </c>
      <c r="Q1225" s="140">
        <v>44634</v>
      </c>
      <c r="T1225" s="23" t="s">
        <v>305</v>
      </c>
      <c r="U1225" s="23" t="s">
        <v>305</v>
      </c>
      <c r="V1225" s="23" t="s">
        <v>299</v>
      </c>
      <c r="W1225" s="23" t="s">
        <v>5795</v>
      </c>
      <c r="AB1225" s="19" t="s">
        <v>6480</v>
      </c>
      <c r="AC1225" s="59">
        <v>27</v>
      </c>
      <c r="AD1225" s="118">
        <v>0</v>
      </c>
      <c r="AE1225" s="118">
        <v>9</v>
      </c>
      <c r="AG1225" s="23" t="s">
        <v>1553</v>
      </c>
      <c r="AH1225" s="39">
        <v>44635</v>
      </c>
      <c r="AI1225" s="53" t="s">
        <v>5851</v>
      </c>
    </row>
    <row r="1226" spans="1:35" ht="80">
      <c r="A1226" s="75" t="s">
        <v>6481</v>
      </c>
      <c r="B1226" s="23" t="s">
        <v>6482</v>
      </c>
      <c r="C1226" s="140">
        <v>44619</v>
      </c>
      <c r="D1226" s="23" t="s">
        <v>729</v>
      </c>
      <c r="E1226" s="23" t="s">
        <v>752</v>
      </c>
      <c r="F1226" s="23" t="s">
        <v>2200</v>
      </c>
      <c r="G1226" s="23" t="s">
        <v>301</v>
      </c>
      <c r="H1226" s="23" t="s">
        <v>6483</v>
      </c>
      <c r="I1226" s="23" t="s">
        <v>6483</v>
      </c>
      <c r="J1226" s="140">
        <v>44616</v>
      </c>
      <c r="K1226" s="23" t="s">
        <v>6484</v>
      </c>
      <c r="L1226" s="140">
        <v>44623</v>
      </c>
      <c r="P1226" s="23" t="s">
        <v>6525</v>
      </c>
      <c r="Q1226" s="140">
        <v>44634</v>
      </c>
      <c r="T1226" s="23" t="s">
        <v>305</v>
      </c>
      <c r="U1226" s="23" t="s">
        <v>305</v>
      </c>
      <c r="V1226" s="23" t="s">
        <v>299</v>
      </c>
      <c r="W1226" s="23" t="s">
        <v>5795</v>
      </c>
      <c r="AB1226" s="19" t="s">
        <v>6517</v>
      </c>
      <c r="AC1226" s="59">
        <v>11</v>
      </c>
      <c r="AD1226" s="118">
        <v>0</v>
      </c>
      <c r="AE1226" s="118">
        <v>5</v>
      </c>
      <c r="AG1226" s="23" t="s">
        <v>1553</v>
      </c>
      <c r="AH1226" s="39">
        <v>44635</v>
      </c>
      <c r="AI1226" s="53" t="s">
        <v>5851</v>
      </c>
    </row>
    <row r="1227" spans="1:35" ht="64">
      <c r="A1227" s="75" t="s">
        <v>6492</v>
      </c>
      <c r="B1227" s="23" t="s">
        <v>6486</v>
      </c>
      <c r="C1227" s="140">
        <v>44619</v>
      </c>
      <c r="D1227" s="23" t="s">
        <v>729</v>
      </c>
      <c r="E1227" s="23" t="s">
        <v>752</v>
      </c>
      <c r="F1227" s="23" t="s">
        <v>2200</v>
      </c>
      <c r="G1227" s="23" t="s">
        <v>301</v>
      </c>
      <c r="H1227" s="23" t="s">
        <v>6487</v>
      </c>
      <c r="I1227" s="23" t="s">
        <v>6487</v>
      </c>
      <c r="J1227" s="140">
        <v>44616</v>
      </c>
      <c r="K1227" s="23" t="s">
        <v>6488</v>
      </c>
      <c r="L1227" s="140">
        <v>44624</v>
      </c>
      <c r="P1227" s="23" t="s">
        <v>6525</v>
      </c>
      <c r="Q1227" s="140">
        <v>44634</v>
      </c>
      <c r="T1227" s="23" t="s">
        <v>305</v>
      </c>
      <c r="U1227" s="23" t="s">
        <v>305</v>
      </c>
      <c r="V1227" s="23" t="s">
        <v>299</v>
      </c>
      <c r="W1227" s="19" t="s">
        <v>6514</v>
      </c>
      <c r="AB1227" s="19" t="s">
        <v>6518</v>
      </c>
      <c r="AC1227" s="59">
        <v>3</v>
      </c>
      <c r="AD1227" s="118">
        <v>0</v>
      </c>
      <c r="AE1227" s="118">
        <v>1</v>
      </c>
      <c r="AG1227" s="23" t="s">
        <v>1553</v>
      </c>
      <c r="AH1227" s="39">
        <v>44635</v>
      </c>
      <c r="AI1227" s="53" t="s">
        <v>5851</v>
      </c>
    </row>
    <row r="1228" spans="1:35">
      <c r="A1228" s="75" t="s">
        <v>6485</v>
      </c>
      <c r="B1228" s="23" t="s">
        <v>6490</v>
      </c>
      <c r="C1228" s="140">
        <v>44619</v>
      </c>
      <c r="D1228" s="23" t="s">
        <v>729</v>
      </c>
      <c r="E1228" s="23" t="s">
        <v>752</v>
      </c>
      <c r="F1228" s="23" t="s">
        <v>2200</v>
      </c>
      <c r="G1228" s="23" t="s">
        <v>301</v>
      </c>
      <c r="H1228" s="23">
        <v>20396010</v>
      </c>
      <c r="I1228" s="23">
        <v>20396010</v>
      </c>
      <c r="J1228" s="140">
        <v>44616</v>
      </c>
      <c r="K1228" s="23" t="s">
        <v>6491</v>
      </c>
      <c r="L1228" s="140">
        <v>44623</v>
      </c>
      <c r="P1228" s="23" t="s">
        <v>6525</v>
      </c>
      <c r="Q1228" s="140">
        <v>44634</v>
      </c>
      <c r="T1228" s="23" t="s">
        <v>305</v>
      </c>
      <c r="U1228" s="23" t="s">
        <v>305</v>
      </c>
      <c r="V1228" s="23" t="s">
        <v>299</v>
      </c>
      <c r="W1228" s="23" t="s">
        <v>5795</v>
      </c>
      <c r="AB1228" s="23" t="s">
        <v>6511</v>
      </c>
      <c r="AC1228" s="59">
        <v>2</v>
      </c>
      <c r="AD1228" s="118">
        <v>0</v>
      </c>
      <c r="AE1228" s="118">
        <v>0</v>
      </c>
      <c r="AG1228" s="23" t="s">
        <v>1553</v>
      </c>
      <c r="AH1228" s="39">
        <v>44635</v>
      </c>
      <c r="AI1228" s="53" t="s">
        <v>5851</v>
      </c>
    </row>
    <row r="1229" spans="1:35">
      <c r="A1229" s="75" t="s">
        <v>6489</v>
      </c>
      <c r="B1229" s="23" t="s">
        <v>6512</v>
      </c>
      <c r="C1229" s="140">
        <v>44619</v>
      </c>
      <c r="D1229" s="23" t="s">
        <v>729</v>
      </c>
      <c r="E1229" s="23" t="s">
        <v>752</v>
      </c>
      <c r="F1229" s="23" t="s">
        <v>2200</v>
      </c>
      <c r="G1229" s="23" t="s">
        <v>301</v>
      </c>
      <c r="H1229" s="23">
        <v>20396004</v>
      </c>
      <c r="I1229" s="23">
        <v>20396004</v>
      </c>
      <c r="J1229" s="140">
        <v>44616</v>
      </c>
      <c r="K1229" s="23" t="s">
        <v>6513</v>
      </c>
      <c r="L1229" s="140">
        <v>44630</v>
      </c>
      <c r="P1229" s="23" t="s">
        <v>6525</v>
      </c>
      <c r="Q1229" s="140">
        <v>44634</v>
      </c>
      <c r="T1229" s="23" t="s">
        <v>305</v>
      </c>
      <c r="U1229" s="23" t="s">
        <v>305</v>
      </c>
      <c r="V1229" s="23" t="s">
        <v>299</v>
      </c>
      <c r="W1229" s="23" t="s">
        <v>5190</v>
      </c>
      <c r="AB1229" s="23" t="s">
        <v>6515</v>
      </c>
      <c r="AC1229" s="59">
        <v>1</v>
      </c>
      <c r="AD1229" s="118">
        <v>0</v>
      </c>
      <c r="AE1229" s="118">
        <v>0</v>
      </c>
      <c r="AG1229" s="23" t="s">
        <v>1553</v>
      </c>
      <c r="AH1229" s="39">
        <v>44635</v>
      </c>
      <c r="AI1229" s="53" t="s">
        <v>5851</v>
      </c>
    </row>
    <row r="1230" spans="1:35">
      <c r="A1230" s="75" t="s">
        <v>6493</v>
      </c>
      <c r="B1230" s="23" t="s">
        <v>6494</v>
      </c>
      <c r="C1230" s="140">
        <v>44632</v>
      </c>
      <c r="D1230" s="23" t="s">
        <v>729</v>
      </c>
      <c r="E1230" s="23" t="s">
        <v>752</v>
      </c>
      <c r="F1230" s="23" t="s">
        <v>4899</v>
      </c>
      <c r="G1230" s="23" t="s">
        <v>1724</v>
      </c>
      <c r="P1230" s="23" t="s">
        <v>6456</v>
      </c>
      <c r="Q1230" s="141" t="s">
        <v>6465</v>
      </c>
      <c r="T1230" s="23" t="s">
        <v>12031</v>
      </c>
      <c r="U1230" s="23" t="s">
        <v>12031</v>
      </c>
      <c r="V1230" s="23" t="s">
        <v>298</v>
      </c>
      <c r="W1230" s="23" t="s">
        <v>6495</v>
      </c>
      <c r="Y1230" s="23">
        <v>23200</v>
      </c>
      <c r="Z1230" s="23">
        <v>68</v>
      </c>
      <c r="AB1230" s="23" t="s">
        <v>6496</v>
      </c>
      <c r="AC1230" s="23" t="s">
        <v>6497</v>
      </c>
      <c r="AD1230" s="118">
        <v>0</v>
      </c>
      <c r="AE1230" s="118">
        <v>2</v>
      </c>
      <c r="AF1230" s="23" t="s">
        <v>3297</v>
      </c>
      <c r="AG1230" s="23" t="s">
        <v>665</v>
      </c>
      <c r="AH1230" s="39">
        <v>44635</v>
      </c>
    </row>
    <row r="1231" spans="1:35">
      <c r="A1231" s="75" t="s">
        <v>6498</v>
      </c>
      <c r="B1231" s="23" t="s">
        <v>6499</v>
      </c>
      <c r="C1231" s="140">
        <v>44632</v>
      </c>
      <c r="F1231" s="23" t="s">
        <v>4899</v>
      </c>
      <c r="G1231" s="23" t="s">
        <v>1724</v>
      </c>
      <c r="P1231" s="23" t="s">
        <v>6456</v>
      </c>
      <c r="Q1231" s="141" t="s">
        <v>6465</v>
      </c>
      <c r="W1231" s="23" t="s">
        <v>6431</v>
      </c>
      <c r="Y1231" s="23">
        <v>23500</v>
      </c>
      <c r="Z1231" s="23">
        <v>68</v>
      </c>
      <c r="AB1231" s="23" t="s">
        <v>6503</v>
      </c>
      <c r="AC1231" s="23" t="s">
        <v>6500</v>
      </c>
      <c r="AD1231" s="118"/>
      <c r="AE1231" s="118"/>
      <c r="AF1231" s="23" t="s">
        <v>3297</v>
      </c>
      <c r="AG1231" s="23" t="s">
        <v>666</v>
      </c>
      <c r="AH1231" s="39">
        <v>44635</v>
      </c>
    </row>
    <row r="1232" spans="1:35">
      <c r="A1232" s="75" t="s">
        <v>6501</v>
      </c>
      <c r="B1232" s="23" t="s">
        <v>6502</v>
      </c>
      <c r="C1232" s="140">
        <v>44632</v>
      </c>
      <c r="D1232" s="23" t="s">
        <v>729</v>
      </c>
      <c r="E1232" s="23" t="s">
        <v>752</v>
      </c>
      <c r="F1232" s="23" t="s">
        <v>5765</v>
      </c>
      <c r="G1232" s="23" t="s">
        <v>1724</v>
      </c>
      <c r="P1232" s="23" t="s">
        <v>6456</v>
      </c>
      <c r="Q1232" s="141" t="s">
        <v>6465</v>
      </c>
      <c r="T1232" s="23" t="s">
        <v>12031</v>
      </c>
      <c r="U1232" s="23" t="s">
        <v>12031</v>
      </c>
      <c r="V1232" s="23" t="s">
        <v>298</v>
      </c>
      <c r="W1232" s="23" t="s">
        <v>6359</v>
      </c>
      <c r="Y1232" s="23">
        <v>22300</v>
      </c>
      <c r="Z1232" s="23">
        <v>68</v>
      </c>
      <c r="AB1232" s="23" t="s">
        <v>6504</v>
      </c>
      <c r="AC1232" s="23" t="s">
        <v>6505</v>
      </c>
      <c r="AD1232" s="118">
        <v>0</v>
      </c>
      <c r="AE1232" s="118">
        <v>2</v>
      </c>
      <c r="AF1232" s="23" t="s">
        <v>3297</v>
      </c>
      <c r="AG1232" s="23" t="s">
        <v>666</v>
      </c>
      <c r="AH1232" s="39">
        <v>44635</v>
      </c>
    </row>
    <row r="1233" spans="1:37">
      <c r="A1233" s="75" t="s">
        <v>6506</v>
      </c>
      <c r="B1233" s="23" t="s">
        <v>6507</v>
      </c>
      <c r="C1233" s="140">
        <v>44632</v>
      </c>
      <c r="F1233" s="23" t="s">
        <v>5765</v>
      </c>
      <c r="G1233" s="23" t="s">
        <v>1724</v>
      </c>
      <c r="P1233" s="23" t="s">
        <v>6456</v>
      </c>
      <c r="Q1233" s="141" t="s">
        <v>6465</v>
      </c>
      <c r="W1233" s="23" t="s">
        <v>6359</v>
      </c>
      <c r="Y1233" s="23">
        <v>22300</v>
      </c>
      <c r="Z1233" s="23">
        <v>68</v>
      </c>
      <c r="AB1233" s="23" t="s">
        <v>6508</v>
      </c>
      <c r="AC1233" s="23" t="s">
        <v>6509</v>
      </c>
      <c r="AD1233" s="118"/>
      <c r="AE1233" s="118"/>
      <c r="AF1233" s="23" t="s">
        <v>3297</v>
      </c>
      <c r="AG1233" s="23" t="s">
        <v>6510</v>
      </c>
      <c r="AH1233" s="39">
        <v>44635</v>
      </c>
    </row>
    <row r="1234" spans="1:37">
      <c r="A1234" s="104" t="s">
        <v>6519</v>
      </c>
      <c r="B1234" s="23" t="s">
        <v>6520</v>
      </c>
      <c r="C1234" s="140">
        <v>44642</v>
      </c>
      <c r="D1234" s="23" t="s">
        <v>729</v>
      </c>
      <c r="E1234" s="23" t="s">
        <v>752</v>
      </c>
      <c r="F1234" s="23" t="s">
        <v>57</v>
      </c>
      <c r="G1234" s="23" t="s">
        <v>57</v>
      </c>
      <c r="H1234" s="23" t="s">
        <v>6521</v>
      </c>
      <c r="I1234" s="23" t="s">
        <v>6521</v>
      </c>
      <c r="J1234" s="140">
        <v>44635</v>
      </c>
      <c r="K1234" s="23" t="s">
        <v>6743</v>
      </c>
      <c r="L1234" s="140">
        <v>44644</v>
      </c>
      <c r="P1234" s="23" t="s">
        <v>6522</v>
      </c>
      <c r="S1234" s="23" t="s">
        <v>184</v>
      </c>
      <c r="T1234" s="23" t="s">
        <v>302</v>
      </c>
      <c r="U1234" s="23" t="s">
        <v>302</v>
      </c>
      <c r="V1234" s="23" t="s">
        <v>233</v>
      </c>
      <c r="W1234" s="23" t="s">
        <v>284</v>
      </c>
      <c r="X1234" s="23">
        <v>8882</v>
      </c>
      <c r="Y1234" s="38">
        <v>9182</v>
      </c>
      <c r="Z1234" s="23">
        <v>9365.64</v>
      </c>
      <c r="AA1234" s="23">
        <v>8011.61</v>
      </c>
      <c r="AB1234" s="23" t="s">
        <v>6523</v>
      </c>
      <c r="AC1234" s="23" t="s">
        <v>286</v>
      </c>
      <c r="AD1234" s="118">
        <v>0</v>
      </c>
      <c r="AE1234" s="118">
        <v>1</v>
      </c>
      <c r="AF1234" s="23" t="s">
        <v>3297</v>
      </c>
      <c r="AG1234" s="23" t="s">
        <v>787</v>
      </c>
      <c r="AH1234" s="39">
        <v>44637</v>
      </c>
    </row>
    <row r="1235" spans="1:37" ht="64">
      <c r="A1235" s="75" t="s">
        <v>6526</v>
      </c>
      <c r="B1235" s="23" t="s">
        <v>6527</v>
      </c>
      <c r="C1235" s="140">
        <v>44637</v>
      </c>
      <c r="D1235" s="23" t="s">
        <v>729</v>
      </c>
      <c r="E1235" s="23" t="s">
        <v>752</v>
      </c>
      <c r="F1235" s="23" t="s">
        <v>4899</v>
      </c>
      <c r="G1235" s="23" t="s">
        <v>1724</v>
      </c>
      <c r="P1235" s="23" t="s">
        <v>6528</v>
      </c>
      <c r="Q1235" s="141" t="s">
        <v>6529</v>
      </c>
      <c r="T1235" s="23" t="s">
        <v>12031</v>
      </c>
      <c r="U1235" s="23" t="s">
        <v>12031</v>
      </c>
      <c r="V1235" s="23" t="s">
        <v>298</v>
      </c>
      <c r="W1235" s="23" t="s">
        <v>6431</v>
      </c>
      <c r="Y1235" s="23">
        <v>45600</v>
      </c>
      <c r="Z1235" s="23">
        <v>136</v>
      </c>
      <c r="AB1235" s="19" t="s">
        <v>6531</v>
      </c>
      <c r="AC1235" s="23" t="s">
        <v>6530</v>
      </c>
      <c r="AD1235" s="118">
        <v>0</v>
      </c>
      <c r="AE1235" s="118">
        <v>4</v>
      </c>
      <c r="AF1235" s="19" t="s">
        <v>6263</v>
      </c>
      <c r="AG1235" s="23" t="s">
        <v>666</v>
      </c>
      <c r="AH1235" s="39">
        <v>44639</v>
      </c>
    </row>
    <row r="1236" spans="1:37" ht="16">
      <c r="A1236" s="75" t="s">
        <v>6532</v>
      </c>
      <c r="B1236" s="23" t="s">
        <v>6533</v>
      </c>
      <c r="C1236" s="140">
        <v>44637</v>
      </c>
      <c r="F1236" s="23" t="s">
        <v>4899</v>
      </c>
      <c r="G1236" s="23" t="s">
        <v>1724</v>
      </c>
      <c r="P1236" s="23" t="s">
        <v>6528</v>
      </c>
      <c r="Q1236" s="141" t="s">
        <v>6529</v>
      </c>
      <c r="W1236" s="23" t="s">
        <v>6359</v>
      </c>
      <c r="Y1236" s="23">
        <v>22800</v>
      </c>
      <c r="Z1236" s="23">
        <v>68</v>
      </c>
      <c r="AB1236" s="23" t="s">
        <v>6534</v>
      </c>
      <c r="AC1236" s="23" t="s">
        <v>6535</v>
      </c>
      <c r="AD1236" s="118"/>
      <c r="AE1236" s="118"/>
      <c r="AF1236" s="19" t="s">
        <v>6122</v>
      </c>
      <c r="AG1236" s="23" t="s">
        <v>666</v>
      </c>
      <c r="AH1236" s="39">
        <v>44639</v>
      </c>
    </row>
    <row r="1237" spans="1:37">
      <c r="A1237" s="75" t="s">
        <v>6536</v>
      </c>
      <c r="B1237" s="23" t="s">
        <v>6537</v>
      </c>
      <c r="C1237" s="140">
        <v>44635</v>
      </c>
      <c r="D1237" s="23" t="s">
        <v>729</v>
      </c>
      <c r="E1237" s="23" t="s">
        <v>752</v>
      </c>
      <c r="F1237" s="23" t="s">
        <v>4899</v>
      </c>
      <c r="G1237" s="23" t="s">
        <v>1724</v>
      </c>
      <c r="P1237" s="23" t="s">
        <v>6538</v>
      </c>
      <c r="Q1237" s="140" t="s">
        <v>6539</v>
      </c>
      <c r="W1237" s="38" t="s">
        <v>425</v>
      </c>
      <c r="Y1237" s="23">
        <v>23490</v>
      </c>
      <c r="Z1237" s="23">
        <v>68</v>
      </c>
      <c r="AB1237" s="23" t="s">
        <v>6540</v>
      </c>
      <c r="AC1237" s="23" t="s">
        <v>6541</v>
      </c>
      <c r="AD1237" s="118"/>
      <c r="AE1237" s="118"/>
      <c r="AF1237" s="23" t="s">
        <v>6160</v>
      </c>
      <c r="AG1237" s="23" t="s">
        <v>665</v>
      </c>
      <c r="AH1237" s="39">
        <v>44639</v>
      </c>
    </row>
    <row r="1238" spans="1:37" ht="32">
      <c r="A1238" s="75" t="s">
        <v>6544</v>
      </c>
      <c r="B1238" s="23" t="s">
        <v>6545</v>
      </c>
      <c r="C1238" s="140">
        <v>44627</v>
      </c>
      <c r="D1238" s="23" t="s">
        <v>729</v>
      </c>
      <c r="E1238" s="23" t="s">
        <v>752</v>
      </c>
      <c r="F1238" s="23" t="s">
        <v>2200</v>
      </c>
      <c r="G1238" s="23" t="s">
        <v>301</v>
      </c>
      <c r="H1238" s="23">
        <v>20398237</v>
      </c>
      <c r="I1238" s="23">
        <v>20398237</v>
      </c>
      <c r="J1238" s="140">
        <v>44624</v>
      </c>
      <c r="K1238" s="23" t="s">
        <v>6546</v>
      </c>
      <c r="L1238" s="140">
        <v>44631</v>
      </c>
      <c r="T1238" s="23" t="s">
        <v>305</v>
      </c>
      <c r="U1238" s="23" t="s">
        <v>305</v>
      </c>
      <c r="V1238" s="23" t="s">
        <v>299</v>
      </c>
      <c r="W1238" s="23" t="s">
        <v>6547</v>
      </c>
      <c r="AB1238" s="60" t="s">
        <v>6548</v>
      </c>
      <c r="AC1238" s="59">
        <v>6</v>
      </c>
      <c r="AD1238" s="118">
        <v>0</v>
      </c>
      <c r="AE1238" s="118">
        <v>2</v>
      </c>
      <c r="AG1238" s="23" t="s">
        <v>1553</v>
      </c>
      <c r="AH1238" s="39">
        <v>44641</v>
      </c>
      <c r="AI1238" s="53" t="s">
        <v>5851</v>
      </c>
    </row>
    <row r="1239" spans="1:37" ht="32">
      <c r="A1239" s="75" t="s">
        <v>6549</v>
      </c>
      <c r="B1239" s="23" t="s">
        <v>6550</v>
      </c>
      <c r="C1239" s="140">
        <v>44627</v>
      </c>
      <c r="D1239" s="23" t="s">
        <v>729</v>
      </c>
      <c r="E1239" s="23" t="s">
        <v>752</v>
      </c>
      <c r="F1239" s="23" t="s">
        <v>2200</v>
      </c>
      <c r="G1239" s="23" t="s">
        <v>301</v>
      </c>
      <c r="H1239" s="23">
        <v>20398242</v>
      </c>
      <c r="I1239" s="23">
        <v>20398242</v>
      </c>
      <c r="J1239" s="140">
        <v>44624</v>
      </c>
      <c r="K1239" s="23" t="s">
        <v>6551</v>
      </c>
      <c r="L1239" s="140">
        <v>44631</v>
      </c>
      <c r="T1239" s="23" t="s">
        <v>305</v>
      </c>
      <c r="U1239" s="23" t="s">
        <v>305</v>
      </c>
      <c r="V1239" s="23" t="s">
        <v>299</v>
      </c>
      <c r="W1239" s="23" t="s">
        <v>6552</v>
      </c>
      <c r="AB1239" s="60" t="s">
        <v>6553</v>
      </c>
      <c r="AC1239" s="59">
        <v>6</v>
      </c>
      <c r="AD1239" s="118">
        <v>0</v>
      </c>
      <c r="AE1239" s="118">
        <v>2</v>
      </c>
      <c r="AG1239" s="23" t="s">
        <v>1553</v>
      </c>
      <c r="AH1239" s="39">
        <v>44641</v>
      </c>
      <c r="AI1239" s="53" t="s">
        <v>5851</v>
      </c>
    </row>
    <row r="1240" spans="1:37" ht="48">
      <c r="A1240" s="75" t="s">
        <v>6554</v>
      </c>
      <c r="B1240" s="23" t="s">
        <v>6555</v>
      </c>
      <c r="C1240" s="140">
        <v>44627</v>
      </c>
      <c r="D1240" s="23" t="s">
        <v>729</v>
      </c>
      <c r="E1240" s="23" t="s">
        <v>752</v>
      </c>
      <c r="F1240" s="23" t="s">
        <v>2200</v>
      </c>
      <c r="G1240" s="23" t="s">
        <v>301</v>
      </c>
      <c r="H1240" s="23">
        <v>20398239</v>
      </c>
      <c r="I1240" s="23">
        <v>20398239</v>
      </c>
      <c r="J1240" s="140">
        <v>44624</v>
      </c>
      <c r="K1240" s="23" t="s">
        <v>6556</v>
      </c>
      <c r="L1240" s="140">
        <v>44631</v>
      </c>
      <c r="T1240" s="23" t="s">
        <v>305</v>
      </c>
      <c r="U1240" s="23" t="s">
        <v>305</v>
      </c>
      <c r="V1240" s="23" t="s">
        <v>299</v>
      </c>
      <c r="W1240" s="23" t="s">
        <v>6557</v>
      </c>
      <c r="AB1240" s="60" t="s">
        <v>6558</v>
      </c>
      <c r="AC1240" s="59">
        <v>9</v>
      </c>
      <c r="AD1240" s="118">
        <v>0</v>
      </c>
      <c r="AE1240" s="118">
        <v>3</v>
      </c>
      <c r="AG1240" s="23" t="s">
        <v>1553</v>
      </c>
      <c r="AH1240" s="39">
        <v>44641</v>
      </c>
      <c r="AI1240" s="53" t="s">
        <v>5851</v>
      </c>
    </row>
    <row r="1241" spans="1:37" ht="48">
      <c r="A1241" s="75" t="s">
        <v>6559</v>
      </c>
      <c r="B1241" s="23" t="s">
        <v>6560</v>
      </c>
      <c r="C1241" s="140">
        <v>44627</v>
      </c>
      <c r="D1241" s="23" t="s">
        <v>729</v>
      </c>
      <c r="E1241" s="23" t="s">
        <v>752</v>
      </c>
      <c r="F1241" s="23" t="s">
        <v>2200</v>
      </c>
      <c r="G1241" s="23" t="s">
        <v>301</v>
      </c>
      <c r="H1241" s="23">
        <v>20398238</v>
      </c>
      <c r="I1241" s="23">
        <v>20398238</v>
      </c>
      <c r="J1241" s="140">
        <v>44624</v>
      </c>
      <c r="K1241" s="23" t="s">
        <v>6561</v>
      </c>
      <c r="L1241" s="140">
        <v>44631</v>
      </c>
      <c r="T1241" s="23" t="s">
        <v>305</v>
      </c>
      <c r="U1241" s="23" t="s">
        <v>305</v>
      </c>
      <c r="V1241" s="23" t="s">
        <v>299</v>
      </c>
      <c r="W1241" s="23" t="s">
        <v>6562</v>
      </c>
      <c r="AB1241" s="60" t="s">
        <v>6563</v>
      </c>
      <c r="AC1241" s="59">
        <v>9</v>
      </c>
      <c r="AD1241" s="118">
        <v>0</v>
      </c>
      <c r="AE1241" s="118">
        <v>3</v>
      </c>
      <c r="AG1241" s="23" t="s">
        <v>1553</v>
      </c>
      <c r="AH1241" s="39">
        <v>44641</v>
      </c>
      <c r="AI1241" s="53" t="s">
        <v>5851</v>
      </c>
    </row>
    <row r="1242" spans="1:37" ht="80">
      <c r="A1242" s="75" t="s">
        <v>6564</v>
      </c>
      <c r="B1242" s="23" t="s">
        <v>6565</v>
      </c>
      <c r="C1242" s="140">
        <v>44635</v>
      </c>
      <c r="D1242" s="23" t="s">
        <v>729</v>
      </c>
      <c r="E1242" s="23" t="s">
        <v>752</v>
      </c>
      <c r="F1242" s="23" t="s">
        <v>5755</v>
      </c>
      <c r="G1242" s="23" t="s">
        <v>5538</v>
      </c>
      <c r="H1242" s="23" t="s">
        <v>6566</v>
      </c>
      <c r="I1242" s="23" t="s">
        <v>6566</v>
      </c>
      <c r="J1242" s="140">
        <v>44627</v>
      </c>
      <c r="T1242" s="23" t="s">
        <v>12031</v>
      </c>
      <c r="U1242" s="23" t="s">
        <v>12031</v>
      </c>
      <c r="V1242" s="23" t="s">
        <v>299</v>
      </c>
      <c r="W1242" s="23" t="s">
        <v>6567</v>
      </c>
      <c r="AB1242" s="19" t="s">
        <v>6654</v>
      </c>
      <c r="AC1242" s="23">
        <v>15</v>
      </c>
      <c r="AD1242" s="118">
        <v>0</v>
      </c>
      <c r="AE1242" s="118">
        <v>5</v>
      </c>
      <c r="AG1242" s="23" t="s">
        <v>1916</v>
      </c>
      <c r="AH1242" s="39">
        <v>44641</v>
      </c>
      <c r="AI1242" s="53" t="s">
        <v>5757</v>
      </c>
    </row>
    <row r="1243" spans="1:37" ht="64">
      <c r="A1243" s="75" t="s">
        <v>6568</v>
      </c>
      <c r="B1243" s="23" t="s">
        <v>6569</v>
      </c>
      <c r="C1243" s="140">
        <v>44637</v>
      </c>
      <c r="D1243" s="23" t="s">
        <v>729</v>
      </c>
      <c r="E1243" s="23" t="s">
        <v>752</v>
      </c>
      <c r="F1243" s="23" t="s">
        <v>6698</v>
      </c>
      <c r="G1243" s="23" t="s">
        <v>1724</v>
      </c>
      <c r="P1243" s="23" t="s">
        <v>6528</v>
      </c>
      <c r="Q1243" s="140">
        <v>44643</v>
      </c>
      <c r="T1243" s="23" t="s">
        <v>12031</v>
      </c>
      <c r="U1243" s="23" t="s">
        <v>12031</v>
      </c>
      <c r="V1243" s="23" t="s">
        <v>298</v>
      </c>
      <c r="W1243" s="23" t="s">
        <v>6570</v>
      </c>
      <c r="Y1243" s="37">
        <v>30800</v>
      </c>
      <c r="Z1243" s="23">
        <v>136</v>
      </c>
      <c r="AB1243" s="19" t="s">
        <v>6571</v>
      </c>
      <c r="AC1243" s="23" t="s">
        <v>6572</v>
      </c>
      <c r="AD1243" s="118">
        <v>0</v>
      </c>
      <c r="AE1243" s="118">
        <v>2</v>
      </c>
      <c r="AF1243" s="19" t="s">
        <v>3208</v>
      </c>
      <c r="AG1243" s="23" t="s">
        <v>6573</v>
      </c>
      <c r="AH1243" s="39">
        <v>44642</v>
      </c>
    </row>
    <row r="1244" spans="1:37" ht="32">
      <c r="A1244" s="75" t="s">
        <v>6574</v>
      </c>
      <c r="B1244" s="23" t="s">
        <v>6575</v>
      </c>
      <c r="C1244" s="140">
        <v>44642</v>
      </c>
      <c r="D1244" s="23" t="s">
        <v>729</v>
      </c>
      <c r="E1244" s="23" t="s">
        <v>752</v>
      </c>
      <c r="F1244" s="23" t="s">
        <v>6576</v>
      </c>
      <c r="G1244" s="23" t="s">
        <v>1989</v>
      </c>
      <c r="H1244" s="23" t="s">
        <v>6577</v>
      </c>
      <c r="I1244" s="23" t="s">
        <v>6577</v>
      </c>
      <c r="J1244" s="140">
        <v>44624</v>
      </c>
      <c r="T1244" s="23" t="s">
        <v>12031</v>
      </c>
      <c r="U1244" s="23" t="s">
        <v>12031</v>
      </c>
      <c r="V1244" s="23" t="s">
        <v>299</v>
      </c>
      <c r="W1244" s="19" t="s">
        <v>6578</v>
      </c>
      <c r="AB1244" s="19" t="s">
        <v>6579</v>
      </c>
      <c r="AC1244" s="23">
        <v>3</v>
      </c>
      <c r="AD1244" s="118">
        <v>1</v>
      </c>
      <c r="AE1244" s="118">
        <v>1</v>
      </c>
      <c r="AG1244" s="23" t="s">
        <v>1075</v>
      </c>
      <c r="AH1244" s="39">
        <v>44641</v>
      </c>
      <c r="AI1244" s="53" t="s">
        <v>6580</v>
      </c>
      <c r="AJ1244" s="75" t="s">
        <v>8317</v>
      </c>
      <c r="AK1244" s="53">
        <v>44645</v>
      </c>
    </row>
    <row r="1245" spans="1:37">
      <c r="A1245" s="75" t="s">
        <v>6586</v>
      </c>
      <c r="B1245" s="23" t="s">
        <v>6587</v>
      </c>
      <c r="C1245" s="140">
        <v>44637</v>
      </c>
      <c r="D1245" s="23" t="s">
        <v>729</v>
      </c>
      <c r="E1245" s="23" t="s">
        <v>752</v>
      </c>
      <c r="F1245" s="23" t="s">
        <v>4899</v>
      </c>
      <c r="G1245" s="23" t="s">
        <v>1724</v>
      </c>
      <c r="P1245" s="23" t="s">
        <v>6528</v>
      </c>
      <c r="Q1245" s="141" t="s">
        <v>6588</v>
      </c>
      <c r="T1245" s="23" t="s">
        <v>12031</v>
      </c>
      <c r="U1245" s="23" t="s">
        <v>12031</v>
      </c>
      <c r="V1245" s="23" t="s">
        <v>298</v>
      </c>
      <c r="W1245" s="23" t="s">
        <v>6457</v>
      </c>
      <c r="Y1245" s="38">
        <v>22647</v>
      </c>
      <c r="Z1245" s="23">
        <v>68</v>
      </c>
      <c r="AB1245" s="23" t="s">
        <v>6598</v>
      </c>
      <c r="AC1245" s="23" t="s">
        <v>6589</v>
      </c>
      <c r="AD1245" s="118">
        <v>0</v>
      </c>
      <c r="AE1245" s="118">
        <v>4</v>
      </c>
      <c r="AF1245" s="23" t="s">
        <v>6122</v>
      </c>
      <c r="AG1245" s="23" t="s">
        <v>637</v>
      </c>
      <c r="AH1245" s="39">
        <v>44644</v>
      </c>
    </row>
    <row r="1246" spans="1:37">
      <c r="A1246" s="75" t="s">
        <v>6590</v>
      </c>
      <c r="B1246" s="23" t="s">
        <v>6591</v>
      </c>
      <c r="C1246" s="140">
        <v>44643</v>
      </c>
      <c r="D1246" s="23" t="s">
        <v>729</v>
      </c>
      <c r="E1246" s="23" t="s">
        <v>752</v>
      </c>
      <c r="F1246" s="23" t="s">
        <v>4899</v>
      </c>
      <c r="G1246" s="23" t="s">
        <v>1724</v>
      </c>
      <c r="P1246" s="23" t="s">
        <v>6592</v>
      </c>
      <c r="Q1246" s="141" t="s">
        <v>6593</v>
      </c>
      <c r="W1246" s="23" t="s">
        <v>6431</v>
      </c>
      <c r="Y1246" s="38">
        <v>22300</v>
      </c>
      <c r="Z1246" s="23">
        <v>68</v>
      </c>
      <c r="AB1246" s="23" t="s">
        <v>6594</v>
      </c>
      <c r="AC1246" s="23" t="s">
        <v>6595</v>
      </c>
      <c r="AD1246" s="118"/>
      <c r="AE1246" s="118"/>
      <c r="AF1246" s="23" t="s">
        <v>3297</v>
      </c>
      <c r="AG1246" s="23" t="s">
        <v>6510</v>
      </c>
      <c r="AH1246" s="39">
        <v>44644</v>
      </c>
    </row>
    <row r="1247" spans="1:37" ht="48">
      <c r="A1247" s="75" t="s">
        <v>6596</v>
      </c>
      <c r="B1247" s="23" t="s">
        <v>6597</v>
      </c>
      <c r="C1247" s="140">
        <v>44643</v>
      </c>
      <c r="D1247" s="23" t="s">
        <v>729</v>
      </c>
      <c r="E1247" s="23" t="s">
        <v>752</v>
      </c>
      <c r="F1247" s="23" t="s">
        <v>4899</v>
      </c>
      <c r="G1247" s="23" t="s">
        <v>1724</v>
      </c>
      <c r="P1247" s="23" t="s">
        <v>6592</v>
      </c>
      <c r="Q1247" s="141" t="s">
        <v>6593</v>
      </c>
      <c r="W1247" s="23" t="s">
        <v>6431</v>
      </c>
      <c r="Y1247" s="38">
        <v>43500</v>
      </c>
      <c r="Z1247" s="23">
        <v>136</v>
      </c>
      <c r="AB1247" s="19" t="s">
        <v>6600</v>
      </c>
      <c r="AC1247" s="23" t="s">
        <v>6599</v>
      </c>
      <c r="AD1247" s="118"/>
      <c r="AE1247" s="118"/>
      <c r="AF1247" s="19" t="s">
        <v>3214</v>
      </c>
      <c r="AG1247" s="23" t="s">
        <v>6510</v>
      </c>
      <c r="AH1247" s="39">
        <v>44644</v>
      </c>
    </row>
    <row r="1248" spans="1:37" ht="48">
      <c r="A1248" s="75" t="s">
        <v>6602</v>
      </c>
      <c r="B1248" s="23" t="s">
        <v>6603</v>
      </c>
      <c r="C1248" s="140">
        <v>44643</v>
      </c>
      <c r="D1248" s="23" t="s">
        <v>729</v>
      </c>
      <c r="E1248" s="23" t="s">
        <v>752</v>
      </c>
      <c r="F1248" s="23" t="s">
        <v>4899</v>
      </c>
      <c r="G1248" s="23" t="s">
        <v>1724</v>
      </c>
      <c r="P1248" s="23" t="s">
        <v>6592</v>
      </c>
      <c r="Q1248" s="141" t="s">
        <v>6593</v>
      </c>
      <c r="T1248" s="23" t="s">
        <v>12031</v>
      </c>
      <c r="U1248" s="23" t="s">
        <v>12031</v>
      </c>
      <c r="V1248" s="23" t="s">
        <v>298</v>
      </c>
      <c r="W1248" s="23" t="s">
        <v>6457</v>
      </c>
      <c r="Y1248" s="23">
        <v>35515</v>
      </c>
      <c r="Z1248" s="23">
        <v>120</v>
      </c>
      <c r="AB1248" s="19" t="s">
        <v>6609</v>
      </c>
      <c r="AC1248" s="23" t="s">
        <v>6604</v>
      </c>
      <c r="AD1248" s="118">
        <v>0</v>
      </c>
      <c r="AE1248" s="118">
        <v>4</v>
      </c>
      <c r="AF1248" s="19" t="s">
        <v>3214</v>
      </c>
      <c r="AG1248" s="23" t="s">
        <v>637</v>
      </c>
      <c r="AH1248" s="39">
        <v>44645</v>
      </c>
    </row>
    <row r="1249" spans="1:35" ht="64">
      <c r="A1249" s="75" t="s">
        <v>6606</v>
      </c>
      <c r="B1249" s="23" t="s">
        <v>6605</v>
      </c>
      <c r="C1249" s="140">
        <v>44643</v>
      </c>
      <c r="F1249" s="23" t="s">
        <v>4899</v>
      </c>
      <c r="G1249" s="23" t="s">
        <v>1724</v>
      </c>
      <c r="P1249" s="23" t="s">
        <v>6592</v>
      </c>
      <c r="Q1249" s="141" t="s">
        <v>6593</v>
      </c>
      <c r="W1249" s="23" t="s">
        <v>6457</v>
      </c>
      <c r="Y1249" s="23">
        <v>40905</v>
      </c>
      <c r="Z1249" s="23">
        <v>136</v>
      </c>
      <c r="AB1249" s="19" t="s">
        <v>6607</v>
      </c>
      <c r="AC1249" s="23" t="s">
        <v>6608</v>
      </c>
      <c r="AD1249" s="118"/>
      <c r="AE1249" s="118"/>
      <c r="AF1249" s="19" t="s">
        <v>3214</v>
      </c>
      <c r="AG1249" s="23" t="s">
        <v>637</v>
      </c>
      <c r="AH1249" s="39">
        <v>44645</v>
      </c>
    </row>
    <row r="1250" spans="1:35">
      <c r="A1250" s="75" t="s">
        <v>6610</v>
      </c>
      <c r="B1250" s="23" t="s">
        <v>6611</v>
      </c>
      <c r="C1250" s="140">
        <v>44643</v>
      </c>
      <c r="D1250" s="23" t="s">
        <v>729</v>
      </c>
      <c r="E1250" s="23" t="s">
        <v>752</v>
      </c>
      <c r="F1250" s="23" t="s">
        <v>4899</v>
      </c>
      <c r="G1250" s="23" t="s">
        <v>1724</v>
      </c>
      <c r="P1250" s="23" t="s">
        <v>6592</v>
      </c>
      <c r="Q1250" s="141" t="s">
        <v>6593</v>
      </c>
      <c r="T1250" s="23" t="s">
        <v>12031</v>
      </c>
      <c r="U1250" s="23" t="s">
        <v>12031</v>
      </c>
      <c r="V1250" s="23" t="s">
        <v>298</v>
      </c>
      <c r="W1250" s="23" t="s">
        <v>6457</v>
      </c>
      <c r="Y1250" s="23">
        <v>23649</v>
      </c>
      <c r="Z1250" s="23">
        <v>70.849999999999994</v>
      </c>
      <c r="AB1250" s="23" t="s">
        <v>6612</v>
      </c>
      <c r="AC1250" s="23" t="s">
        <v>6613</v>
      </c>
      <c r="AD1250" s="118">
        <v>0</v>
      </c>
      <c r="AE1250" s="118">
        <v>4</v>
      </c>
      <c r="AF1250" s="23" t="s">
        <v>3297</v>
      </c>
      <c r="AG1250" s="23" t="s">
        <v>637</v>
      </c>
      <c r="AH1250" s="39">
        <v>44645</v>
      </c>
    </row>
    <row r="1251" spans="1:35" ht="96">
      <c r="A1251" s="75" t="s">
        <v>6614</v>
      </c>
      <c r="B1251" s="23" t="s">
        <v>6615</v>
      </c>
      <c r="C1251" s="140">
        <v>44643</v>
      </c>
      <c r="F1251" s="23" t="s">
        <v>4899</v>
      </c>
      <c r="G1251" s="23" t="s">
        <v>1724</v>
      </c>
      <c r="W1251" s="23" t="s">
        <v>6457</v>
      </c>
      <c r="Y1251" s="23">
        <v>62044</v>
      </c>
      <c r="Z1251" s="23">
        <v>204</v>
      </c>
      <c r="AB1251" s="19" t="s">
        <v>6616</v>
      </c>
      <c r="AC1251" s="23" t="s">
        <v>6617</v>
      </c>
      <c r="AD1251" s="118"/>
      <c r="AE1251" s="118"/>
      <c r="AF1251" s="19" t="s">
        <v>6618</v>
      </c>
      <c r="AG1251" s="23" t="s">
        <v>637</v>
      </c>
      <c r="AH1251" s="39">
        <v>44645</v>
      </c>
    </row>
    <row r="1252" spans="1:35" ht="48">
      <c r="A1252" s="75" t="s">
        <v>6619</v>
      </c>
      <c r="B1252" s="23" t="s">
        <v>6620</v>
      </c>
      <c r="C1252" s="140">
        <v>44643</v>
      </c>
      <c r="D1252" s="23" t="s">
        <v>729</v>
      </c>
      <c r="E1252" s="23" t="s">
        <v>752</v>
      </c>
      <c r="F1252" s="23" t="s">
        <v>4899</v>
      </c>
      <c r="G1252" s="23" t="s">
        <v>1724</v>
      </c>
      <c r="P1252" s="23" t="s">
        <v>6592</v>
      </c>
      <c r="Q1252" s="141" t="s">
        <v>6593</v>
      </c>
      <c r="T1252" s="23" t="s">
        <v>12031</v>
      </c>
      <c r="U1252" s="23" t="s">
        <v>12031</v>
      </c>
      <c r="V1252" s="23" t="s">
        <v>298</v>
      </c>
      <c r="W1252" s="23" t="s">
        <v>6431</v>
      </c>
      <c r="Y1252" s="23">
        <v>43900</v>
      </c>
      <c r="Z1252" s="23">
        <v>136</v>
      </c>
      <c r="AB1252" s="19" t="s">
        <v>6621</v>
      </c>
      <c r="AC1252" s="23" t="s">
        <v>6622</v>
      </c>
      <c r="AD1252" s="118">
        <v>0</v>
      </c>
      <c r="AE1252" s="118">
        <v>4</v>
      </c>
      <c r="AF1252" s="19" t="s">
        <v>3214</v>
      </c>
      <c r="AG1252" s="23" t="s">
        <v>666</v>
      </c>
      <c r="AH1252" s="39">
        <v>44645</v>
      </c>
    </row>
    <row r="1253" spans="1:35">
      <c r="A1253" s="75" t="s">
        <v>6623</v>
      </c>
      <c r="B1253" s="23" t="s">
        <v>6624</v>
      </c>
      <c r="C1253" s="140">
        <v>44643</v>
      </c>
      <c r="F1253" s="23" t="s">
        <v>4899</v>
      </c>
      <c r="G1253" s="23" t="s">
        <v>1724</v>
      </c>
      <c r="P1253" s="23" t="s">
        <v>6592</v>
      </c>
      <c r="Q1253" s="141" t="s">
        <v>6593</v>
      </c>
      <c r="W1253" s="23" t="s">
        <v>6457</v>
      </c>
      <c r="Y1253" s="23">
        <v>19664</v>
      </c>
      <c r="Z1253" s="23">
        <v>68</v>
      </c>
      <c r="AB1253" s="23" t="s">
        <v>6625</v>
      </c>
      <c r="AC1253" s="23" t="s">
        <v>6626</v>
      </c>
      <c r="AD1253" s="118"/>
      <c r="AE1253" s="118"/>
      <c r="AF1253" s="23" t="s">
        <v>3297</v>
      </c>
      <c r="AG1253" s="23" t="s">
        <v>637</v>
      </c>
      <c r="AH1253" s="39">
        <v>44645</v>
      </c>
    </row>
    <row r="1254" spans="1:35">
      <c r="A1254" s="75" t="s">
        <v>6631</v>
      </c>
      <c r="B1254" s="23" t="s">
        <v>6627</v>
      </c>
      <c r="C1254" s="140">
        <v>44643</v>
      </c>
      <c r="F1254" s="23" t="s">
        <v>4899</v>
      </c>
      <c r="G1254" s="23" t="s">
        <v>1724</v>
      </c>
      <c r="P1254" s="23" t="s">
        <v>6592</v>
      </c>
      <c r="Q1254" s="141" t="s">
        <v>6593</v>
      </c>
      <c r="W1254" s="23" t="s">
        <v>6628</v>
      </c>
      <c r="Y1254" s="23">
        <v>18807</v>
      </c>
      <c r="Z1254" s="23">
        <v>68</v>
      </c>
      <c r="AB1254" s="23" t="s">
        <v>6629</v>
      </c>
      <c r="AC1254" s="23" t="s">
        <v>6630</v>
      </c>
      <c r="AD1254" s="118"/>
      <c r="AE1254" s="118"/>
      <c r="AF1254" s="23" t="s">
        <v>3297</v>
      </c>
      <c r="AG1254" s="23" t="s">
        <v>637</v>
      </c>
      <c r="AH1254" s="39">
        <v>44645</v>
      </c>
    </row>
    <row r="1255" spans="1:35" ht="64">
      <c r="A1255" s="75" t="s">
        <v>6632</v>
      </c>
      <c r="B1255" s="23" t="s">
        <v>6634</v>
      </c>
      <c r="C1255" s="140">
        <v>44642</v>
      </c>
      <c r="D1255" s="23" t="s">
        <v>729</v>
      </c>
      <c r="E1255" s="23" t="s">
        <v>752</v>
      </c>
      <c r="F1255" s="23" t="s">
        <v>4899</v>
      </c>
      <c r="G1255" s="23" t="s">
        <v>1724</v>
      </c>
      <c r="P1255" s="23" t="s">
        <v>6635</v>
      </c>
      <c r="Q1255" s="141" t="s">
        <v>6636</v>
      </c>
      <c r="T1255" s="23" t="s">
        <v>12031</v>
      </c>
      <c r="U1255" s="23" t="s">
        <v>12031</v>
      </c>
      <c r="V1255" s="23" t="s">
        <v>298</v>
      </c>
      <c r="W1255" s="23" t="s">
        <v>6431</v>
      </c>
      <c r="Y1255" s="23">
        <v>41330</v>
      </c>
      <c r="Z1255" s="23">
        <v>136</v>
      </c>
      <c r="AB1255" s="19" t="s">
        <v>6638</v>
      </c>
      <c r="AC1255" s="23" t="s">
        <v>6637</v>
      </c>
      <c r="AD1255" s="118">
        <v>0</v>
      </c>
      <c r="AE1255" s="118">
        <v>3</v>
      </c>
      <c r="AF1255" s="19" t="s">
        <v>6263</v>
      </c>
      <c r="AG1255" s="23" t="s">
        <v>666</v>
      </c>
      <c r="AH1255" s="39">
        <v>44648</v>
      </c>
    </row>
    <row r="1256" spans="1:35">
      <c r="A1256" s="75" t="s">
        <v>6639</v>
      </c>
      <c r="B1256" s="23" t="s">
        <v>6633</v>
      </c>
      <c r="C1256" s="140">
        <v>44636</v>
      </c>
      <c r="F1256" s="23" t="s">
        <v>4899</v>
      </c>
      <c r="G1256" s="23" t="s">
        <v>1724</v>
      </c>
      <c r="P1256" s="23" t="s">
        <v>6640</v>
      </c>
      <c r="Q1256" s="141" t="s">
        <v>6641</v>
      </c>
      <c r="W1256" s="23" t="s">
        <v>498</v>
      </c>
      <c r="Y1256" s="23">
        <v>11370.49</v>
      </c>
      <c r="Z1256" s="23">
        <v>50</v>
      </c>
      <c r="AB1256" s="23" t="s">
        <v>6642</v>
      </c>
      <c r="AC1256" s="23" t="s">
        <v>6643</v>
      </c>
      <c r="AD1256" s="118"/>
      <c r="AE1256" s="118"/>
      <c r="AF1256" s="23" t="s">
        <v>3297</v>
      </c>
      <c r="AG1256" s="23" t="s">
        <v>4534</v>
      </c>
      <c r="AH1256" s="39">
        <v>44648</v>
      </c>
    </row>
    <row r="1257" spans="1:35" ht="80">
      <c r="A1257" s="75" t="s">
        <v>6644</v>
      </c>
      <c r="B1257" s="23" t="s">
        <v>6645</v>
      </c>
      <c r="C1257" s="140">
        <v>44643</v>
      </c>
      <c r="D1257" s="23" t="s">
        <v>729</v>
      </c>
      <c r="E1257" s="23" t="s">
        <v>752</v>
      </c>
      <c r="F1257" s="23" t="s">
        <v>4899</v>
      </c>
      <c r="G1257" s="23" t="s">
        <v>1724</v>
      </c>
      <c r="P1257" s="23" t="s">
        <v>6592</v>
      </c>
      <c r="Q1257" s="141" t="s">
        <v>6593</v>
      </c>
      <c r="T1257" s="23" t="s">
        <v>12031</v>
      </c>
      <c r="U1257" s="23" t="s">
        <v>12031</v>
      </c>
      <c r="V1257" s="23" t="s">
        <v>298</v>
      </c>
      <c r="W1257" s="23" t="s">
        <v>6646</v>
      </c>
      <c r="Y1257" s="23">
        <v>16690</v>
      </c>
      <c r="Z1257" s="23">
        <v>198</v>
      </c>
      <c r="AB1257" s="19" t="s">
        <v>6648</v>
      </c>
      <c r="AC1257" s="23" t="s">
        <v>6647</v>
      </c>
      <c r="AD1257" s="118">
        <v>0</v>
      </c>
      <c r="AE1257" s="118">
        <v>5</v>
      </c>
      <c r="AF1257" s="19" t="s">
        <v>6206</v>
      </c>
      <c r="AG1257" s="23" t="s">
        <v>666</v>
      </c>
      <c r="AH1257" s="39">
        <v>44648</v>
      </c>
    </row>
    <row r="1258" spans="1:35" ht="64">
      <c r="A1258" s="75" t="s">
        <v>6649</v>
      </c>
      <c r="B1258" s="23" t="s">
        <v>6650</v>
      </c>
      <c r="C1258" s="140">
        <v>44643</v>
      </c>
      <c r="F1258" s="23" t="s">
        <v>4899</v>
      </c>
      <c r="G1258" s="23" t="s">
        <v>1724</v>
      </c>
      <c r="P1258" s="23" t="s">
        <v>6592</v>
      </c>
      <c r="Q1258" s="141" t="s">
        <v>6593</v>
      </c>
      <c r="W1258" s="23" t="s">
        <v>6651</v>
      </c>
      <c r="Y1258" s="23">
        <v>28200</v>
      </c>
      <c r="Z1258" s="23">
        <v>136</v>
      </c>
      <c r="AB1258" s="19" t="s">
        <v>6652</v>
      </c>
      <c r="AC1258" s="23" t="s">
        <v>6653</v>
      </c>
      <c r="AD1258" s="118"/>
      <c r="AE1258" s="118"/>
      <c r="AF1258" s="19" t="s">
        <v>3214</v>
      </c>
      <c r="AG1258" s="23" t="s">
        <v>666</v>
      </c>
      <c r="AH1258" s="39">
        <v>44648</v>
      </c>
    </row>
    <row r="1259" spans="1:35" ht="48">
      <c r="A1259" s="75" t="s">
        <v>6655</v>
      </c>
      <c r="B1259" s="23" t="s">
        <v>6656</v>
      </c>
      <c r="C1259" s="140">
        <v>44646</v>
      </c>
      <c r="D1259" s="23" t="s">
        <v>729</v>
      </c>
      <c r="E1259" s="23" t="s">
        <v>752</v>
      </c>
      <c r="F1259" s="23" t="s">
        <v>4899</v>
      </c>
      <c r="G1259" s="23" t="s">
        <v>1724</v>
      </c>
      <c r="P1259" s="23" t="s">
        <v>6657</v>
      </c>
      <c r="Q1259" s="141" t="s">
        <v>6636</v>
      </c>
      <c r="T1259" s="23" t="s">
        <v>12031</v>
      </c>
      <c r="U1259" s="23" t="s">
        <v>12031</v>
      </c>
      <c r="V1259" s="23" t="s">
        <v>298</v>
      </c>
      <c r="W1259" s="23" t="s">
        <v>6431</v>
      </c>
      <c r="Y1259" s="23">
        <v>39050</v>
      </c>
      <c r="Z1259" s="23">
        <v>136</v>
      </c>
      <c r="AB1259" s="19" t="s">
        <v>6658</v>
      </c>
      <c r="AC1259" s="23" t="s">
        <v>6659</v>
      </c>
      <c r="AD1259" s="118">
        <v>0</v>
      </c>
      <c r="AE1259" s="118">
        <v>4</v>
      </c>
      <c r="AF1259" s="19" t="s">
        <v>3214</v>
      </c>
      <c r="AG1259" s="23" t="s">
        <v>666</v>
      </c>
      <c r="AH1259" s="39">
        <v>44649</v>
      </c>
    </row>
    <row r="1260" spans="1:35" ht="48">
      <c r="A1260" s="75" t="s">
        <v>6660</v>
      </c>
      <c r="B1260" s="23" t="s">
        <v>6661</v>
      </c>
      <c r="C1260" s="140">
        <v>44646</v>
      </c>
      <c r="F1260" s="23" t="s">
        <v>4899</v>
      </c>
      <c r="G1260" s="23" t="s">
        <v>1724</v>
      </c>
      <c r="P1260" s="23" t="s">
        <v>6657</v>
      </c>
      <c r="Q1260" s="141" t="s">
        <v>6636</v>
      </c>
      <c r="W1260" s="23" t="s">
        <v>6457</v>
      </c>
      <c r="Y1260" s="23">
        <v>40029</v>
      </c>
      <c r="Z1260" s="23">
        <v>136</v>
      </c>
      <c r="AB1260" s="19" t="s">
        <v>6662</v>
      </c>
      <c r="AC1260" s="23" t="s">
        <v>6663</v>
      </c>
      <c r="AD1260" s="118"/>
      <c r="AE1260" s="118"/>
      <c r="AF1260" s="19" t="s">
        <v>3214</v>
      </c>
      <c r="AG1260" s="23" t="s">
        <v>637</v>
      </c>
      <c r="AH1260" s="39">
        <v>44649</v>
      </c>
    </row>
    <row r="1261" spans="1:35" ht="64">
      <c r="A1261" s="75" t="s">
        <v>6664</v>
      </c>
      <c r="B1261" s="23" t="s">
        <v>6665</v>
      </c>
      <c r="C1261" s="140">
        <v>44646</v>
      </c>
      <c r="D1261" s="23" t="s">
        <v>729</v>
      </c>
      <c r="E1261" s="23" t="s">
        <v>752</v>
      </c>
      <c r="F1261" s="23" t="s">
        <v>4899</v>
      </c>
      <c r="G1261" s="23" t="s">
        <v>1724</v>
      </c>
      <c r="Q1261" s="141" t="s">
        <v>6593</v>
      </c>
      <c r="T1261" s="23" t="s">
        <v>3715</v>
      </c>
      <c r="U1261" s="23" t="s">
        <v>3715</v>
      </c>
      <c r="V1261" s="23" t="s">
        <v>298</v>
      </c>
      <c r="W1261" s="19" t="s">
        <v>6666</v>
      </c>
      <c r="Y1261" s="38">
        <v>20200</v>
      </c>
      <c r="Z1261" s="23">
        <v>136</v>
      </c>
      <c r="AB1261" s="19" t="s">
        <v>6667</v>
      </c>
      <c r="AC1261" s="23" t="s">
        <v>6668</v>
      </c>
      <c r="AD1261" s="118">
        <v>0</v>
      </c>
      <c r="AE1261" s="120">
        <v>2</v>
      </c>
      <c r="AF1261" s="19" t="s">
        <v>3208</v>
      </c>
      <c r="AG1261" s="23" t="s">
        <v>637</v>
      </c>
      <c r="AH1261" s="39">
        <v>44649</v>
      </c>
    </row>
    <row r="1262" spans="1:35" ht="160">
      <c r="A1262" s="75" t="s">
        <v>6669</v>
      </c>
      <c r="B1262" s="23" t="s">
        <v>6670</v>
      </c>
      <c r="C1262" s="140">
        <v>44635</v>
      </c>
      <c r="D1262" s="23" t="s">
        <v>729</v>
      </c>
      <c r="E1262" s="23" t="s">
        <v>752</v>
      </c>
      <c r="F1262" s="23" t="s">
        <v>2200</v>
      </c>
      <c r="G1262" s="23" t="s">
        <v>301</v>
      </c>
      <c r="H1262" s="23">
        <v>20398900</v>
      </c>
      <c r="I1262" s="23">
        <v>20398900</v>
      </c>
      <c r="J1262" s="140">
        <v>44629</v>
      </c>
      <c r="K1262" s="23" t="s">
        <v>6947</v>
      </c>
      <c r="L1262" s="140">
        <v>44665</v>
      </c>
      <c r="T1262" s="23" t="s">
        <v>305</v>
      </c>
      <c r="U1262" s="23" t="s">
        <v>305</v>
      </c>
      <c r="V1262" s="23" t="s">
        <v>299</v>
      </c>
      <c r="W1262" s="23" t="s">
        <v>5900</v>
      </c>
      <c r="AB1262" s="19" t="s">
        <v>6937</v>
      </c>
      <c r="AC1262" s="59">
        <v>30</v>
      </c>
      <c r="AD1262" s="118">
        <v>0</v>
      </c>
      <c r="AE1262" s="118">
        <v>10</v>
      </c>
      <c r="AG1262" s="23" t="s">
        <v>659</v>
      </c>
      <c r="AH1262" s="39">
        <v>44650</v>
      </c>
      <c r="AI1262" s="53" t="s">
        <v>5851</v>
      </c>
    </row>
    <row r="1263" spans="1:35" ht="64">
      <c r="A1263" s="75" t="s">
        <v>6671</v>
      </c>
      <c r="B1263" s="23" t="s">
        <v>6672</v>
      </c>
      <c r="C1263" s="140">
        <v>44646</v>
      </c>
      <c r="D1263" s="23" t="s">
        <v>729</v>
      </c>
      <c r="E1263" s="23" t="s">
        <v>752</v>
      </c>
      <c r="F1263" s="23" t="s">
        <v>4899</v>
      </c>
      <c r="G1263" s="23" t="s">
        <v>1724</v>
      </c>
      <c r="P1263" s="23" t="s">
        <v>6657</v>
      </c>
      <c r="Q1263" s="140" t="s">
        <v>6636</v>
      </c>
      <c r="T1263" s="23" t="s">
        <v>12031</v>
      </c>
      <c r="U1263" s="23" t="s">
        <v>12031</v>
      </c>
      <c r="V1263" s="23" t="s">
        <v>298</v>
      </c>
      <c r="W1263" s="23" t="s">
        <v>6495</v>
      </c>
      <c r="Y1263" s="23">
        <v>31651</v>
      </c>
      <c r="Z1263" s="23">
        <v>136</v>
      </c>
      <c r="AB1263" s="19" t="s">
        <v>6673</v>
      </c>
      <c r="AC1263" s="23" t="s">
        <v>6674</v>
      </c>
      <c r="AD1263" s="118">
        <v>1</v>
      </c>
      <c r="AE1263" s="118">
        <v>3</v>
      </c>
      <c r="AF1263" s="19" t="s">
        <v>3214</v>
      </c>
      <c r="AG1263" s="23" t="s">
        <v>666</v>
      </c>
      <c r="AH1263" s="39">
        <v>44651</v>
      </c>
    </row>
    <row r="1264" spans="1:35">
      <c r="A1264" s="75" t="s">
        <v>6675</v>
      </c>
      <c r="B1264" s="23" t="s">
        <v>6676</v>
      </c>
      <c r="C1264" s="140">
        <v>44643</v>
      </c>
      <c r="F1264" s="23" t="s">
        <v>4899</v>
      </c>
      <c r="G1264" s="23" t="s">
        <v>1724</v>
      </c>
      <c r="P1264" s="23" t="s">
        <v>6677</v>
      </c>
      <c r="Q1264" s="140" t="s">
        <v>6636</v>
      </c>
      <c r="W1264" s="23" t="s">
        <v>6651</v>
      </c>
      <c r="Y1264" s="23">
        <v>15760</v>
      </c>
      <c r="Z1264" s="23">
        <v>21.33</v>
      </c>
      <c r="AB1264" s="23" t="s">
        <v>6678</v>
      </c>
      <c r="AC1264" s="23" t="s">
        <v>6679</v>
      </c>
      <c r="AD1264" s="118"/>
      <c r="AE1264" s="118"/>
      <c r="AF1264" s="23" t="s">
        <v>3451</v>
      </c>
      <c r="AG1264" s="23" t="s">
        <v>6680</v>
      </c>
      <c r="AH1264" s="39">
        <v>44651</v>
      </c>
    </row>
    <row r="1265" spans="1:37">
      <c r="A1265" s="75" t="s">
        <v>6681</v>
      </c>
      <c r="B1265" s="23" t="s">
        <v>6682</v>
      </c>
      <c r="C1265" s="140">
        <v>44646</v>
      </c>
      <c r="F1265" s="23" t="s">
        <v>4899</v>
      </c>
      <c r="G1265" s="23" t="s">
        <v>1724</v>
      </c>
      <c r="P1265" s="23" t="s">
        <v>6657</v>
      </c>
      <c r="Q1265" s="140" t="s">
        <v>6636</v>
      </c>
      <c r="W1265" s="23" t="s">
        <v>6495</v>
      </c>
      <c r="Y1265" s="23">
        <v>20600</v>
      </c>
      <c r="Z1265" s="23">
        <v>72.924999999999997</v>
      </c>
      <c r="AB1265" s="23" t="s">
        <v>6683</v>
      </c>
      <c r="AC1265" s="23" t="s">
        <v>6684</v>
      </c>
      <c r="AD1265" s="118"/>
      <c r="AE1265" s="118"/>
      <c r="AF1265" s="23" t="s">
        <v>3297</v>
      </c>
      <c r="AG1265" s="23" t="s">
        <v>666</v>
      </c>
      <c r="AH1265" s="39">
        <v>44651</v>
      </c>
    </row>
    <row r="1266" spans="1:37">
      <c r="A1266" s="104" t="s">
        <v>6685</v>
      </c>
      <c r="B1266" s="23" t="s">
        <v>6686</v>
      </c>
      <c r="C1266" s="140">
        <v>44649</v>
      </c>
      <c r="D1266" s="23" t="s">
        <v>729</v>
      </c>
      <c r="E1266" s="23" t="s">
        <v>752</v>
      </c>
      <c r="F1266" s="23" t="s">
        <v>57</v>
      </c>
      <c r="G1266" s="23" t="s">
        <v>57</v>
      </c>
      <c r="H1266" s="23" t="s">
        <v>6687</v>
      </c>
      <c r="I1266" s="23" t="s">
        <v>6687</v>
      </c>
      <c r="J1266" s="140">
        <v>44642</v>
      </c>
      <c r="P1266" s="23" t="s">
        <v>6688</v>
      </c>
      <c r="Q1266" s="140" t="s">
        <v>6636</v>
      </c>
      <c r="S1266" s="23" t="s">
        <v>184</v>
      </c>
      <c r="T1266" s="23" t="s">
        <v>302</v>
      </c>
      <c r="U1266" s="23" t="s">
        <v>302</v>
      </c>
      <c r="V1266" s="23" t="s">
        <v>233</v>
      </c>
      <c r="W1266" s="23" t="s">
        <v>6689</v>
      </c>
      <c r="X1266" s="23">
        <v>10743.1</v>
      </c>
      <c r="Y1266" s="23">
        <v>10935.8</v>
      </c>
      <c r="Z1266" s="23">
        <v>18832.98</v>
      </c>
      <c r="AB1266" s="23" t="s">
        <v>6703</v>
      </c>
      <c r="AC1266" s="23" t="s">
        <v>799</v>
      </c>
      <c r="AD1266" s="118">
        <v>0</v>
      </c>
      <c r="AE1266" s="118">
        <v>1</v>
      </c>
      <c r="AF1266" s="23" t="s">
        <v>3297</v>
      </c>
      <c r="AG1266" s="23" t="s">
        <v>787</v>
      </c>
      <c r="AH1266" s="39">
        <v>44651</v>
      </c>
    </row>
    <row r="1267" spans="1:37">
      <c r="A1267" s="75" t="s">
        <v>6690</v>
      </c>
      <c r="B1267" s="23" t="s">
        <v>6691</v>
      </c>
      <c r="C1267" s="140">
        <v>44646</v>
      </c>
      <c r="D1267" s="23" t="s">
        <v>729</v>
      </c>
      <c r="E1267" s="23" t="s">
        <v>752</v>
      </c>
      <c r="F1267" s="23" t="s">
        <v>4899</v>
      </c>
      <c r="G1267" s="23" t="s">
        <v>1724</v>
      </c>
      <c r="P1267" s="23" t="s">
        <v>6657</v>
      </c>
      <c r="Q1267" s="140" t="s">
        <v>6636</v>
      </c>
      <c r="T1267" s="23" t="s">
        <v>12031</v>
      </c>
      <c r="U1267" s="23" t="s">
        <v>12031</v>
      </c>
      <c r="V1267" s="23" t="s">
        <v>298</v>
      </c>
      <c r="W1267" s="23" t="s">
        <v>6457</v>
      </c>
      <c r="Y1267" s="23">
        <v>16989</v>
      </c>
      <c r="Z1267" s="23">
        <v>68</v>
      </c>
      <c r="AB1267" s="23" t="s">
        <v>6692</v>
      </c>
      <c r="AC1267" s="23" t="s">
        <v>6693</v>
      </c>
      <c r="AD1267" s="118">
        <v>0</v>
      </c>
      <c r="AE1267" s="118">
        <v>2</v>
      </c>
      <c r="AF1267" s="23" t="s">
        <v>3297</v>
      </c>
      <c r="AG1267" s="23" t="s">
        <v>637</v>
      </c>
      <c r="AH1267" s="39">
        <v>44651</v>
      </c>
    </row>
    <row r="1268" spans="1:37">
      <c r="A1268" s="75" t="s">
        <v>6694</v>
      </c>
      <c r="B1268" s="23" t="s">
        <v>6695</v>
      </c>
      <c r="C1268" s="140">
        <v>44646</v>
      </c>
      <c r="F1268" s="23" t="s">
        <v>4899</v>
      </c>
      <c r="G1268" s="23" t="s">
        <v>1724</v>
      </c>
      <c r="P1268" s="23" t="s">
        <v>6657</v>
      </c>
      <c r="Q1268" s="140" t="s">
        <v>6636</v>
      </c>
      <c r="W1268" s="23" t="s">
        <v>6431</v>
      </c>
      <c r="Y1268" s="23">
        <v>23200</v>
      </c>
      <c r="Z1268" s="23">
        <v>68</v>
      </c>
      <c r="AB1268" s="23" t="s">
        <v>6697</v>
      </c>
      <c r="AC1268" s="23" t="s">
        <v>6696</v>
      </c>
      <c r="AD1268" s="118"/>
      <c r="AE1268" s="118"/>
      <c r="AF1268" s="23" t="s">
        <v>3297</v>
      </c>
      <c r="AG1268" s="23" t="s">
        <v>666</v>
      </c>
      <c r="AH1268" s="39">
        <v>44651</v>
      </c>
    </row>
    <row r="1269" spans="1:37">
      <c r="A1269" s="75" t="s">
        <v>6699</v>
      </c>
      <c r="B1269" s="23" t="s">
        <v>6700</v>
      </c>
      <c r="C1269" s="140">
        <v>44646</v>
      </c>
      <c r="D1269" s="23" t="s">
        <v>729</v>
      </c>
      <c r="E1269" s="23" t="s">
        <v>752</v>
      </c>
      <c r="F1269" s="23" t="s">
        <v>4899</v>
      </c>
      <c r="G1269" s="23" t="s">
        <v>1724</v>
      </c>
      <c r="P1269" s="23" t="s">
        <v>6657</v>
      </c>
      <c r="Q1269" s="140" t="s">
        <v>6636</v>
      </c>
      <c r="T1269" s="23" t="s">
        <v>12031</v>
      </c>
      <c r="U1269" s="23" t="s">
        <v>12031</v>
      </c>
      <c r="V1269" s="23" t="s">
        <v>298</v>
      </c>
      <c r="W1269" s="23" t="s">
        <v>6431</v>
      </c>
      <c r="Y1269" s="23">
        <v>22300</v>
      </c>
      <c r="Z1269" s="23">
        <v>68</v>
      </c>
      <c r="AB1269" s="23" t="s">
        <v>6701</v>
      </c>
      <c r="AC1269" s="23" t="s">
        <v>6702</v>
      </c>
      <c r="AD1269" s="23">
        <v>0</v>
      </c>
      <c r="AE1269" s="23">
        <v>1</v>
      </c>
      <c r="AF1269" s="23" t="s">
        <v>3297</v>
      </c>
      <c r="AG1269" s="23" t="s">
        <v>665</v>
      </c>
      <c r="AH1269" s="39">
        <v>44652</v>
      </c>
    </row>
    <row r="1270" spans="1:37">
      <c r="A1270" s="75" t="s">
        <v>6704</v>
      </c>
      <c r="B1270" s="23" t="s">
        <v>6705</v>
      </c>
      <c r="C1270" s="140">
        <v>44645</v>
      </c>
      <c r="D1270" s="23" t="s">
        <v>729</v>
      </c>
      <c r="E1270" s="23" t="s">
        <v>2919</v>
      </c>
      <c r="F1270" s="23" t="s">
        <v>4899</v>
      </c>
      <c r="G1270" s="23" t="s">
        <v>1724</v>
      </c>
      <c r="Q1270" s="140" t="s">
        <v>6706</v>
      </c>
      <c r="T1270" s="23" t="s">
        <v>3715</v>
      </c>
      <c r="U1270" s="23" t="s">
        <v>3715</v>
      </c>
      <c r="V1270" s="23" t="s">
        <v>298</v>
      </c>
      <c r="W1270" s="23" t="s">
        <v>6707</v>
      </c>
      <c r="Y1270" s="38">
        <v>9380</v>
      </c>
      <c r="Z1270" s="23">
        <v>68</v>
      </c>
      <c r="AB1270" s="23" t="s">
        <v>6708</v>
      </c>
      <c r="AC1270" s="23" t="s">
        <v>6709</v>
      </c>
      <c r="AD1270" s="23">
        <v>0</v>
      </c>
      <c r="AE1270" s="23">
        <v>1</v>
      </c>
      <c r="AF1270" s="23" t="s">
        <v>3297</v>
      </c>
      <c r="AG1270" s="23" t="s">
        <v>637</v>
      </c>
      <c r="AH1270" s="39">
        <v>44655</v>
      </c>
    </row>
    <row r="1271" spans="1:37">
      <c r="A1271" s="75" t="s">
        <v>6712</v>
      </c>
      <c r="B1271" s="23" t="s">
        <v>6713</v>
      </c>
      <c r="C1271" s="140">
        <v>44652</v>
      </c>
      <c r="D1271" s="23" t="s">
        <v>729</v>
      </c>
      <c r="E1271" s="23" t="s">
        <v>752</v>
      </c>
      <c r="F1271" s="23" t="s">
        <v>4899</v>
      </c>
      <c r="G1271" s="23" t="s">
        <v>1724</v>
      </c>
      <c r="P1271" s="23" t="s">
        <v>6714</v>
      </c>
      <c r="Q1271" s="140" t="s">
        <v>6715</v>
      </c>
      <c r="T1271" s="23" t="s">
        <v>12031</v>
      </c>
      <c r="U1271" s="23" t="s">
        <v>12031</v>
      </c>
      <c r="V1271" s="23" t="s">
        <v>298</v>
      </c>
      <c r="W1271" s="23" t="s">
        <v>6651</v>
      </c>
      <c r="Y1271" s="23">
        <v>16242</v>
      </c>
      <c r="Z1271" s="23">
        <v>68</v>
      </c>
      <c r="AB1271" s="23" t="s">
        <v>6716</v>
      </c>
      <c r="AC1271" s="23" t="s">
        <v>6717</v>
      </c>
      <c r="AD1271" s="23">
        <v>0</v>
      </c>
      <c r="AE1271" s="23">
        <v>3</v>
      </c>
      <c r="AF1271" s="23" t="s">
        <v>6160</v>
      </c>
      <c r="AG1271" s="23" t="s">
        <v>666</v>
      </c>
      <c r="AH1271" s="39">
        <v>44655</v>
      </c>
    </row>
    <row r="1272" spans="1:37">
      <c r="A1272" s="75" t="s">
        <v>6718</v>
      </c>
      <c r="B1272" s="23" t="s">
        <v>6719</v>
      </c>
      <c r="C1272" s="140">
        <v>44652</v>
      </c>
      <c r="F1272" s="23" t="s">
        <v>4899</v>
      </c>
      <c r="G1272" s="23" t="s">
        <v>1724</v>
      </c>
      <c r="W1272" s="23" t="s">
        <v>6651</v>
      </c>
      <c r="Y1272" s="23">
        <v>10982</v>
      </c>
      <c r="Z1272" s="23">
        <v>68</v>
      </c>
      <c r="AB1272" s="23" t="s">
        <v>6721</v>
      </c>
      <c r="AC1272" s="23" t="s">
        <v>4173</v>
      </c>
      <c r="AF1272" s="23" t="s">
        <v>6160</v>
      </c>
      <c r="AG1272" s="23" t="s">
        <v>666</v>
      </c>
      <c r="AH1272" s="39">
        <v>44655</v>
      </c>
    </row>
    <row r="1273" spans="1:37">
      <c r="A1273" s="75" t="s">
        <v>6720</v>
      </c>
      <c r="B1273" s="27" t="s">
        <v>6728</v>
      </c>
      <c r="C1273" s="140">
        <v>44653</v>
      </c>
      <c r="F1273" s="23" t="s">
        <v>4899</v>
      </c>
      <c r="G1273" s="23" t="s">
        <v>1724</v>
      </c>
      <c r="P1273" s="23" t="s">
        <v>6723</v>
      </c>
      <c r="Q1273" s="140" t="s">
        <v>6722</v>
      </c>
      <c r="W1273" s="23" t="s">
        <v>6724</v>
      </c>
      <c r="Y1273" s="23">
        <v>5800</v>
      </c>
      <c r="Z1273" s="23">
        <v>66</v>
      </c>
      <c r="AB1273" s="23" t="s">
        <v>6725</v>
      </c>
      <c r="AC1273" s="23" t="s">
        <v>6726</v>
      </c>
      <c r="AF1273" s="23" t="s">
        <v>6727</v>
      </c>
      <c r="AG1273" s="23" t="s">
        <v>666</v>
      </c>
      <c r="AH1273" s="39">
        <v>44655</v>
      </c>
    </row>
    <row r="1274" spans="1:37" ht="64">
      <c r="A1274" s="75" t="s">
        <v>6729</v>
      </c>
      <c r="B1274" s="23" t="s">
        <v>6730</v>
      </c>
      <c r="C1274" s="140">
        <v>44646</v>
      </c>
      <c r="D1274" s="23" t="s">
        <v>729</v>
      </c>
      <c r="E1274" s="23" t="s">
        <v>752</v>
      </c>
      <c r="F1274" s="23" t="s">
        <v>5472</v>
      </c>
      <c r="G1274" s="23" t="s">
        <v>5538</v>
      </c>
      <c r="H1274" s="19" t="s">
        <v>6740</v>
      </c>
      <c r="I1274" s="19" t="s">
        <v>6740</v>
      </c>
      <c r="J1274" s="140">
        <v>44630</v>
      </c>
      <c r="T1274" s="23" t="s">
        <v>12031</v>
      </c>
      <c r="U1274" s="23" t="s">
        <v>12031</v>
      </c>
      <c r="V1274" s="23" t="s">
        <v>299</v>
      </c>
      <c r="W1274" s="23" t="s">
        <v>6817</v>
      </c>
      <c r="AB1274" s="19" t="s">
        <v>7740</v>
      </c>
      <c r="AC1274" s="23">
        <v>8</v>
      </c>
      <c r="AD1274" s="23">
        <v>0</v>
      </c>
      <c r="AE1274" s="23">
        <v>4</v>
      </c>
      <c r="AG1274" s="23" t="s">
        <v>3459</v>
      </c>
      <c r="AH1274" s="39">
        <v>44655</v>
      </c>
      <c r="AI1274" s="53" t="s">
        <v>6748</v>
      </c>
      <c r="AJ1274" s="75" t="s">
        <v>8323</v>
      </c>
      <c r="AK1274" s="53">
        <v>44658</v>
      </c>
    </row>
    <row r="1275" spans="1:37">
      <c r="A1275" s="75" t="s">
        <v>6737</v>
      </c>
      <c r="B1275" s="23" t="s">
        <v>6731</v>
      </c>
      <c r="C1275" s="140">
        <v>44643</v>
      </c>
      <c r="D1275" s="23" t="s">
        <v>729</v>
      </c>
      <c r="E1275" s="23" t="s">
        <v>752</v>
      </c>
      <c r="F1275" s="23" t="s">
        <v>7082</v>
      </c>
      <c r="G1275" s="23" t="s">
        <v>1724</v>
      </c>
      <c r="H1275" s="121"/>
      <c r="P1275" s="23" t="s">
        <v>6592</v>
      </c>
      <c r="Q1275" s="140" t="s">
        <v>6593</v>
      </c>
      <c r="T1275" s="23" t="s">
        <v>12031</v>
      </c>
      <c r="U1275" s="23" t="s">
        <v>12031</v>
      </c>
      <c r="V1275" s="23" t="s">
        <v>298</v>
      </c>
      <c r="W1275" s="23" t="s">
        <v>6732</v>
      </c>
      <c r="Y1275" s="23">
        <v>21500</v>
      </c>
      <c r="Z1275" s="23">
        <v>60</v>
      </c>
      <c r="AB1275" s="23" t="s">
        <v>6733</v>
      </c>
      <c r="AC1275" s="23" t="s">
        <v>6734</v>
      </c>
      <c r="AD1275" s="23">
        <v>0</v>
      </c>
      <c r="AE1275" s="23">
        <v>2</v>
      </c>
      <c r="AF1275" s="23" t="s">
        <v>3297</v>
      </c>
      <c r="AG1275" s="23" t="s">
        <v>666</v>
      </c>
      <c r="AH1275" s="39">
        <v>44655</v>
      </c>
    </row>
    <row r="1276" spans="1:37">
      <c r="A1276" s="75" t="s">
        <v>6738</v>
      </c>
      <c r="B1276" s="23" t="s">
        <v>6735</v>
      </c>
      <c r="C1276" s="140">
        <v>44646</v>
      </c>
      <c r="F1276" s="23" t="s">
        <v>4899</v>
      </c>
      <c r="G1276" s="23" t="s">
        <v>1724</v>
      </c>
      <c r="P1276" s="23" t="s">
        <v>6657</v>
      </c>
      <c r="Q1276" s="140" t="s">
        <v>6636</v>
      </c>
      <c r="W1276" s="23" t="s">
        <v>6431</v>
      </c>
      <c r="Y1276" s="23">
        <v>19200</v>
      </c>
      <c r="Z1276" s="23">
        <v>68</v>
      </c>
      <c r="AB1276" s="23" t="s">
        <v>6739</v>
      </c>
      <c r="AC1276" s="23" t="s">
        <v>6736</v>
      </c>
      <c r="AD1276" s="23">
        <v>0</v>
      </c>
      <c r="AF1276" s="23" t="s">
        <v>3297</v>
      </c>
      <c r="AG1276" s="23" t="s">
        <v>666</v>
      </c>
      <c r="AH1276" s="39">
        <v>44655</v>
      </c>
    </row>
    <row r="1277" spans="1:37">
      <c r="A1277" s="75" t="s">
        <v>6744</v>
      </c>
      <c r="B1277" s="23" t="s">
        <v>6745</v>
      </c>
      <c r="C1277" s="140">
        <v>44653</v>
      </c>
      <c r="D1277" s="23" t="s">
        <v>729</v>
      </c>
      <c r="E1277" s="23" t="s">
        <v>2919</v>
      </c>
      <c r="F1277" s="23" t="s">
        <v>4899</v>
      </c>
      <c r="G1277" s="23" t="s">
        <v>1724</v>
      </c>
      <c r="T1277" s="23" t="s">
        <v>3715</v>
      </c>
      <c r="U1277" s="23" t="s">
        <v>3715</v>
      </c>
      <c r="V1277" s="23" t="s">
        <v>298</v>
      </c>
      <c r="W1277" s="23" t="s">
        <v>6707</v>
      </c>
      <c r="Y1277" s="38">
        <v>9875</v>
      </c>
      <c r="Z1277" s="23">
        <v>68</v>
      </c>
      <c r="AB1277" s="23" t="s">
        <v>6746</v>
      </c>
      <c r="AC1277" s="23" t="s">
        <v>6747</v>
      </c>
      <c r="AD1277" s="23">
        <v>0</v>
      </c>
      <c r="AE1277" s="23">
        <v>1</v>
      </c>
      <c r="AF1277" s="23" t="s">
        <v>3297</v>
      </c>
      <c r="AG1277" s="23" t="s">
        <v>637</v>
      </c>
      <c r="AH1277" s="39">
        <v>44656</v>
      </c>
    </row>
    <row r="1278" spans="1:37">
      <c r="A1278" s="75" t="s">
        <v>6749</v>
      </c>
      <c r="B1278" s="23" t="s">
        <v>6750</v>
      </c>
      <c r="C1278" s="140">
        <v>44648</v>
      </c>
      <c r="D1278" s="23" t="s">
        <v>729</v>
      </c>
      <c r="E1278" s="23" t="s">
        <v>752</v>
      </c>
      <c r="F1278" s="23" t="s">
        <v>4899</v>
      </c>
      <c r="G1278" s="23" t="s">
        <v>1724</v>
      </c>
      <c r="P1278" s="23" t="s">
        <v>6751</v>
      </c>
      <c r="Q1278" s="140" t="s">
        <v>6752</v>
      </c>
      <c r="T1278" s="23" t="s">
        <v>12031</v>
      </c>
      <c r="U1278" s="23" t="s">
        <v>12031</v>
      </c>
      <c r="V1278" s="23" t="s">
        <v>298</v>
      </c>
      <c r="W1278" s="23" t="s">
        <v>6457</v>
      </c>
      <c r="Y1278" s="38">
        <v>15580</v>
      </c>
      <c r="Z1278" s="23">
        <v>68</v>
      </c>
      <c r="AB1278" s="23" t="s">
        <v>6753</v>
      </c>
      <c r="AC1278" s="23" t="s">
        <v>6754</v>
      </c>
      <c r="AD1278" s="23">
        <v>0</v>
      </c>
      <c r="AE1278" s="23">
        <v>2</v>
      </c>
      <c r="AF1278" s="23" t="s">
        <v>6122</v>
      </c>
      <c r="AG1278" s="23" t="s">
        <v>637</v>
      </c>
      <c r="AH1278" s="39">
        <v>44656</v>
      </c>
    </row>
    <row r="1279" spans="1:37">
      <c r="A1279" s="75" t="s">
        <v>6755</v>
      </c>
      <c r="B1279" s="23" t="s">
        <v>6756</v>
      </c>
      <c r="C1279" s="140">
        <v>44645</v>
      </c>
      <c r="F1279" s="23" t="s">
        <v>4899</v>
      </c>
      <c r="G1279" s="23" t="s">
        <v>1724</v>
      </c>
      <c r="W1279" s="23" t="s">
        <v>6431</v>
      </c>
      <c r="Y1279" s="38">
        <v>16200</v>
      </c>
      <c r="Z1279" s="23">
        <v>68</v>
      </c>
      <c r="AB1279" s="23" t="s">
        <v>6757</v>
      </c>
      <c r="AC1279" s="23" t="s">
        <v>6758</v>
      </c>
      <c r="AF1279" s="23" t="s">
        <v>6122</v>
      </c>
      <c r="AG1279" s="23" t="s">
        <v>666</v>
      </c>
      <c r="AH1279" s="39">
        <v>44656</v>
      </c>
    </row>
    <row r="1280" spans="1:37">
      <c r="A1280" s="75" t="s">
        <v>6759</v>
      </c>
      <c r="B1280" s="23" t="s">
        <v>6760</v>
      </c>
      <c r="C1280" s="140">
        <v>44652</v>
      </c>
      <c r="D1280" s="23" t="s">
        <v>729</v>
      </c>
      <c r="E1280" s="23" t="s">
        <v>752</v>
      </c>
      <c r="F1280" s="23" t="s">
        <v>4899</v>
      </c>
      <c r="G1280" s="23" t="s">
        <v>1724</v>
      </c>
      <c r="P1280" s="23" t="s">
        <v>6714</v>
      </c>
      <c r="Q1280" s="140" t="s">
        <v>6715</v>
      </c>
      <c r="T1280" s="23" t="s">
        <v>12031</v>
      </c>
      <c r="U1280" s="23" t="s">
        <v>12031</v>
      </c>
      <c r="V1280" s="23" t="s">
        <v>298</v>
      </c>
      <c r="W1280" s="23" t="s">
        <v>6431</v>
      </c>
      <c r="Y1280" s="23">
        <v>22600</v>
      </c>
      <c r="Z1280" s="23">
        <v>68</v>
      </c>
      <c r="AB1280" s="23" t="s">
        <v>6761</v>
      </c>
      <c r="AC1280" s="23" t="s">
        <v>6762</v>
      </c>
      <c r="AD1280" s="23">
        <v>0</v>
      </c>
      <c r="AE1280" s="23">
        <v>2</v>
      </c>
      <c r="AF1280" s="23" t="s">
        <v>6160</v>
      </c>
      <c r="AG1280" s="23" t="s">
        <v>6510</v>
      </c>
      <c r="AH1280" s="39">
        <v>44656</v>
      </c>
    </row>
    <row r="1281" spans="1:37">
      <c r="A1281" s="75" t="s">
        <v>6763</v>
      </c>
      <c r="B1281" s="23" t="s">
        <v>6764</v>
      </c>
      <c r="C1281" s="140">
        <v>44652</v>
      </c>
      <c r="F1281" s="23" t="s">
        <v>4899</v>
      </c>
      <c r="G1281" s="23" t="s">
        <v>1724</v>
      </c>
      <c r="W1281" s="23" t="s">
        <v>6457</v>
      </c>
      <c r="Y1281" s="23">
        <v>20914</v>
      </c>
      <c r="Z1281" s="23">
        <v>68</v>
      </c>
      <c r="AB1281" s="23" t="s">
        <v>6765</v>
      </c>
      <c r="AC1281" s="23" t="s">
        <v>6766</v>
      </c>
      <c r="AF1281" s="23" t="s">
        <v>6160</v>
      </c>
      <c r="AG1281" s="23" t="s">
        <v>637</v>
      </c>
      <c r="AH1281" s="39">
        <v>44656</v>
      </c>
    </row>
    <row r="1282" spans="1:37" ht="96">
      <c r="A1282" s="75" t="s">
        <v>6767</v>
      </c>
      <c r="B1282" s="23" t="s">
        <v>6768</v>
      </c>
      <c r="C1282" s="140">
        <v>44651</v>
      </c>
      <c r="D1282" s="23" t="s">
        <v>729</v>
      </c>
      <c r="E1282" s="23" t="s">
        <v>752</v>
      </c>
      <c r="F1282" s="23" t="s">
        <v>4899</v>
      </c>
      <c r="G1282" s="23" t="s">
        <v>1724</v>
      </c>
      <c r="P1282" s="23" t="s">
        <v>6751</v>
      </c>
      <c r="Q1282" s="140" t="s">
        <v>6752</v>
      </c>
      <c r="T1282" s="23" t="s">
        <v>12031</v>
      </c>
      <c r="U1282" s="23" t="s">
        <v>12031</v>
      </c>
      <c r="V1282" s="23" t="s">
        <v>298</v>
      </c>
      <c r="W1282" s="23" t="s">
        <v>6769</v>
      </c>
      <c r="Y1282" s="38">
        <v>40460</v>
      </c>
      <c r="Z1282" s="23">
        <v>204</v>
      </c>
      <c r="AB1282" s="19" t="s">
        <v>6770</v>
      </c>
      <c r="AC1282" s="23" t="s">
        <v>6771</v>
      </c>
      <c r="AD1282" s="23">
        <v>0</v>
      </c>
      <c r="AE1282" s="23">
        <v>6</v>
      </c>
      <c r="AF1282" s="19" t="s">
        <v>51</v>
      </c>
      <c r="AG1282" s="23" t="s">
        <v>666</v>
      </c>
      <c r="AH1282" s="39">
        <v>44657</v>
      </c>
    </row>
    <row r="1283" spans="1:37">
      <c r="A1283" s="75" t="s">
        <v>6772</v>
      </c>
      <c r="B1283" s="23" t="s">
        <v>6773</v>
      </c>
      <c r="C1283" s="140">
        <v>44645</v>
      </c>
      <c r="F1283" s="23" t="s">
        <v>4899</v>
      </c>
      <c r="G1283" s="23" t="s">
        <v>1724</v>
      </c>
      <c r="W1283" s="23" t="s">
        <v>6495</v>
      </c>
      <c r="Y1283" s="38">
        <v>16200</v>
      </c>
      <c r="Z1283" s="23">
        <v>68</v>
      </c>
      <c r="AB1283" s="23" t="s">
        <v>6774</v>
      </c>
      <c r="AC1283" s="23" t="s">
        <v>6775</v>
      </c>
      <c r="AF1283" s="23" t="s">
        <v>6122</v>
      </c>
      <c r="AG1283" s="23" t="s">
        <v>666</v>
      </c>
      <c r="AH1283" s="39">
        <v>44657</v>
      </c>
    </row>
    <row r="1284" spans="1:37" ht="64">
      <c r="A1284" s="75" t="s">
        <v>6776</v>
      </c>
      <c r="B1284" s="23" t="s">
        <v>6777</v>
      </c>
      <c r="C1284" s="140">
        <v>44651</v>
      </c>
      <c r="D1284" s="23" t="s">
        <v>729</v>
      </c>
      <c r="E1284" s="23" t="s">
        <v>752</v>
      </c>
      <c r="F1284" s="23" t="s">
        <v>4899</v>
      </c>
      <c r="G1284" s="23" t="s">
        <v>1724</v>
      </c>
      <c r="W1284" s="23" t="s">
        <v>6778</v>
      </c>
      <c r="Y1284" s="38">
        <v>27690</v>
      </c>
      <c r="Z1284" s="23">
        <v>132.63200000000001</v>
      </c>
      <c r="AB1284" s="19" t="s">
        <v>6779</v>
      </c>
      <c r="AC1284" s="23" t="s">
        <v>6780</v>
      </c>
      <c r="AF1284" s="19" t="s">
        <v>6263</v>
      </c>
      <c r="AG1284" s="23" t="s">
        <v>666</v>
      </c>
      <c r="AH1284" s="39">
        <v>44657</v>
      </c>
    </row>
    <row r="1285" spans="1:37">
      <c r="A1285" s="75" t="s">
        <v>6781</v>
      </c>
      <c r="B1285" s="23">
        <v>217366265</v>
      </c>
      <c r="C1285" s="140">
        <v>44652</v>
      </c>
      <c r="D1285" s="23" t="s">
        <v>729</v>
      </c>
      <c r="E1285" s="23" t="s">
        <v>752</v>
      </c>
      <c r="F1285" s="23" t="s">
        <v>4899</v>
      </c>
      <c r="G1285" s="23" t="s">
        <v>1724</v>
      </c>
      <c r="P1285" s="23" t="s">
        <v>6782</v>
      </c>
      <c r="Q1285" s="140" t="s">
        <v>6715</v>
      </c>
      <c r="T1285" s="23" t="s">
        <v>12031</v>
      </c>
      <c r="U1285" s="23" t="s">
        <v>12031</v>
      </c>
      <c r="V1285" s="23" t="s">
        <v>298</v>
      </c>
      <c r="W1285" s="23" t="s">
        <v>6495</v>
      </c>
      <c r="Y1285" s="23">
        <v>18100</v>
      </c>
      <c r="Z1285" s="23">
        <v>68</v>
      </c>
      <c r="AB1285" s="23" t="s">
        <v>6783</v>
      </c>
      <c r="AC1285" s="23" t="s">
        <v>6784</v>
      </c>
      <c r="AD1285" s="23">
        <v>0</v>
      </c>
      <c r="AE1285" s="23">
        <v>2</v>
      </c>
      <c r="AF1285" s="23" t="s">
        <v>6727</v>
      </c>
      <c r="AG1285" s="23" t="s">
        <v>665</v>
      </c>
      <c r="AH1285" s="39">
        <v>44657</v>
      </c>
    </row>
    <row r="1286" spans="1:37">
      <c r="A1286" s="75" t="s">
        <v>6785</v>
      </c>
      <c r="B1286" s="23">
        <v>217366134</v>
      </c>
      <c r="C1286" s="140">
        <v>44653</v>
      </c>
      <c r="F1286" s="23" t="s">
        <v>7082</v>
      </c>
      <c r="G1286" s="23" t="s">
        <v>1724</v>
      </c>
      <c r="P1286" s="23" t="s">
        <v>6723</v>
      </c>
      <c r="Q1286" s="140" t="s">
        <v>6722</v>
      </c>
      <c r="W1286" s="23" t="s">
        <v>6732</v>
      </c>
      <c r="Y1286" s="23">
        <v>23190</v>
      </c>
      <c r="Z1286" s="23">
        <v>50</v>
      </c>
      <c r="AB1286" s="23" t="s">
        <v>6786</v>
      </c>
      <c r="AC1286" s="23" t="s">
        <v>6787</v>
      </c>
      <c r="AF1286" s="23" t="s">
        <v>6727</v>
      </c>
      <c r="AG1286" s="23" t="s">
        <v>637</v>
      </c>
      <c r="AH1286" s="39">
        <v>44657</v>
      </c>
    </row>
    <row r="1287" spans="1:37">
      <c r="A1287" s="75" t="s">
        <v>6788</v>
      </c>
      <c r="B1287" s="23" t="s">
        <v>6789</v>
      </c>
      <c r="C1287" s="140">
        <v>44655</v>
      </c>
      <c r="D1287" s="23" t="s">
        <v>729</v>
      </c>
      <c r="E1287" s="23" t="s">
        <v>752</v>
      </c>
      <c r="F1287" s="23" t="s">
        <v>7082</v>
      </c>
      <c r="G1287" s="23" t="s">
        <v>1724</v>
      </c>
      <c r="P1287" s="23" t="s">
        <v>6790</v>
      </c>
      <c r="Q1287" s="140" t="s">
        <v>6791</v>
      </c>
      <c r="T1287" s="23" t="s">
        <v>12031</v>
      </c>
      <c r="U1287" s="23" t="s">
        <v>12031</v>
      </c>
      <c r="V1287" s="23" t="s">
        <v>298</v>
      </c>
      <c r="W1287" s="23" t="s">
        <v>6732</v>
      </c>
      <c r="Y1287" s="23">
        <v>22400</v>
      </c>
      <c r="Z1287" s="23">
        <v>60</v>
      </c>
      <c r="AB1287" s="23" t="s">
        <v>6792</v>
      </c>
      <c r="AC1287" s="23" t="s">
        <v>6793</v>
      </c>
      <c r="AD1287" s="23">
        <v>0</v>
      </c>
      <c r="AE1287" s="23">
        <v>3</v>
      </c>
      <c r="AF1287" s="23" t="s">
        <v>3297</v>
      </c>
      <c r="AG1287" s="23" t="s">
        <v>637</v>
      </c>
      <c r="AH1287" s="39">
        <v>44657</v>
      </c>
    </row>
    <row r="1288" spans="1:37">
      <c r="A1288" s="75" t="s">
        <v>6794</v>
      </c>
      <c r="B1288" s="23" t="s">
        <v>6795</v>
      </c>
      <c r="C1288" s="140">
        <v>44655</v>
      </c>
      <c r="F1288" s="23" t="s">
        <v>4899</v>
      </c>
      <c r="G1288" s="23" t="s">
        <v>1724</v>
      </c>
      <c r="W1288" s="23" t="s">
        <v>6431</v>
      </c>
      <c r="Y1288" s="23">
        <v>21500</v>
      </c>
      <c r="Z1288" s="23">
        <v>68</v>
      </c>
      <c r="AB1288" s="23" t="s">
        <v>6796</v>
      </c>
      <c r="AC1288" s="23" t="s">
        <v>6797</v>
      </c>
      <c r="AF1288" s="23" t="s">
        <v>3297</v>
      </c>
      <c r="AG1288" s="23" t="s">
        <v>665</v>
      </c>
      <c r="AH1288" s="39">
        <v>44657</v>
      </c>
    </row>
    <row r="1289" spans="1:37">
      <c r="A1289" s="75" t="s">
        <v>6798</v>
      </c>
      <c r="B1289" s="23" t="s">
        <v>6799</v>
      </c>
      <c r="C1289" s="140">
        <v>44655</v>
      </c>
      <c r="F1289" s="23" t="s">
        <v>4899</v>
      </c>
      <c r="G1289" s="23" t="s">
        <v>1724</v>
      </c>
      <c r="W1289" s="23" t="s">
        <v>6457</v>
      </c>
      <c r="Y1289" s="23">
        <v>20630</v>
      </c>
      <c r="Z1289" s="23">
        <v>68</v>
      </c>
      <c r="AB1289" s="23" t="s">
        <v>6800</v>
      </c>
      <c r="AC1289" s="23" t="s">
        <v>6801</v>
      </c>
      <c r="AF1289" s="23" t="s">
        <v>3297</v>
      </c>
      <c r="AG1289" s="23" t="s">
        <v>637</v>
      </c>
      <c r="AH1289" s="39">
        <v>44657</v>
      </c>
    </row>
    <row r="1290" spans="1:37" ht="48">
      <c r="A1290" s="75" t="s">
        <v>6802</v>
      </c>
      <c r="B1290" s="23" t="s">
        <v>6803</v>
      </c>
      <c r="C1290" s="140">
        <v>44642</v>
      </c>
      <c r="D1290" s="23" t="s">
        <v>729</v>
      </c>
      <c r="E1290" s="23" t="s">
        <v>752</v>
      </c>
      <c r="F1290" s="23" t="s">
        <v>2200</v>
      </c>
      <c r="G1290" s="23" t="s">
        <v>301</v>
      </c>
      <c r="H1290" s="23" t="s">
        <v>6810</v>
      </c>
      <c r="I1290" s="23" t="s">
        <v>6810</v>
      </c>
      <c r="J1290" s="140">
        <v>44637</v>
      </c>
      <c r="K1290" s="23" t="s">
        <v>7173</v>
      </c>
      <c r="L1290" s="140">
        <v>44678</v>
      </c>
      <c r="M1290" s="26">
        <v>44679</v>
      </c>
      <c r="T1290" s="23" t="s">
        <v>305</v>
      </c>
      <c r="U1290" s="23" t="s">
        <v>305</v>
      </c>
      <c r="V1290" s="23" t="s">
        <v>299</v>
      </c>
      <c r="W1290" s="19" t="s">
        <v>6804</v>
      </c>
      <c r="AB1290" s="19" t="s">
        <v>6939</v>
      </c>
      <c r="AC1290" s="59">
        <v>8</v>
      </c>
      <c r="AD1290" s="23">
        <v>0</v>
      </c>
      <c r="AE1290" s="23">
        <v>3</v>
      </c>
      <c r="AG1290" s="23" t="s">
        <v>1553</v>
      </c>
      <c r="AH1290" s="39">
        <v>44657</v>
      </c>
      <c r="AI1290" s="53" t="s">
        <v>5851</v>
      </c>
    </row>
    <row r="1291" spans="1:37" ht="32">
      <c r="A1291" s="75" t="s">
        <v>6805</v>
      </c>
      <c r="B1291" s="23" t="s">
        <v>6806</v>
      </c>
      <c r="C1291" s="140">
        <v>44642</v>
      </c>
      <c r="D1291" s="23" t="s">
        <v>729</v>
      </c>
      <c r="E1291" s="23" t="s">
        <v>752</v>
      </c>
      <c r="F1291" s="23" t="s">
        <v>2200</v>
      </c>
      <c r="G1291" s="23" t="s">
        <v>301</v>
      </c>
      <c r="H1291" s="23" t="s">
        <v>6808</v>
      </c>
      <c r="I1291" s="23" t="s">
        <v>6808</v>
      </c>
      <c r="J1291" s="140">
        <v>44637</v>
      </c>
      <c r="K1291" s="23" t="s">
        <v>7176</v>
      </c>
      <c r="L1291" s="140">
        <v>44678</v>
      </c>
      <c r="M1291" s="26">
        <v>44679</v>
      </c>
      <c r="T1291" s="23" t="s">
        <v>305</v>
      </c>
      <c r="U1291" s="23" t="s">
        <v>305</v>
      </c>
      <c r="V1291" s="23" t="s">
        <v>299</v>
      </c>
      <c r="W1291" s="19" t="s">
        <v>6807</v>
      </c>
      <c r="AB1291" s="19" t="s">
        <v>6940</v>
      </c>
      <c r="AC1291" s="59">
        <v>2</v>
      </c>
      <c r="AE1291" s="23">
        <v>1</v>
      </c>
      <c r="AG1291" s="23" t="s">
        <v>1553</v>
      </c>
      <c r="AH1291" s="39">
        <v>44657</v>
      </c>
      <c r="AI1291" s="53" t="s">
        <v>5851</v>
      </c>
    </row>
    <row r="1292" spans="1:37">
      <c r="A1292" s="75" t="s">
        <v>6809</v>
      </c>
      <c r="B1292" s="23" t="s">
        <v>6811</v>
      </c>
      <c r="C1292" s="140">
        <v>44642</v>
      </c>
      <c r="D1292" s="23" t="s">
        <v>729</v>
      </c>
      <c r="E1292" s="23" t="s">
        <v>752</v>
      </c>
      <c r="F1292" s="23" t="s">
        <v>2200</v>
      </c>
      <c r="G1292" s="23" t="s">
        <v>301</v>
      </c>
      <c r="H1292" s="23">
        <v>20400573</v>
      </c>
      <c r="I1292" s="23">
        <v>20400573</v>
      </c>
      <c r="J1292" s="140">
        <v>44637</v>
      </c>
      <c r="K1292" s="23" t="s">
        <v>7174</v>
      </c>
      <c r="L1292" s="140">
        <v>44678</v>
      </c>
      <c r="M1292" s="26">
        <v>44679</v>
      </c>
      <c r="T1292" s="23" t="s">
        <v>305</v>
      </c>
      <c r="U1292" s="23" t="s">
        <v>305</v>
      </c>
      <c r="V1292" s="23" t="s">
        <v>299</v>
      </c>
      <c r="W1292" s="23" t="s">
        <v>6812</v>
      </c>
      <c r="AB1292" s="59" t="s">
        <v>7813</v>
      </c>
      <c r="AC1292" s="59">
        <v>2</v>
      </c>
      <c r="AG1292" s="23" t="s">
        <v>1553</v>
      </c>
      <c r="AH1292" s="39">
        <v>44657</v>
      </c>
      <c r="AI1292" s="53" t="s">
        <v>5851</v>
      </c>
    </row>
    <row r="1293" spans="1:37" ht="144">
      <c r="A1293" s="75" t="s">
        <v>6813</v>
      </c>
      <c r="B1293" s="23" t="s">
        <v>6814</v>
      </c>
      <c r="C1293" s="140">
        <v>44642</v>
      </c>
      <c r="D1293" s="23" t="s">
        <v>729</v>
      </c>
      <c r="E1293" s="23" t="s">
        <v>752</v>
      </c>
      <c r="F1293" s="23" t="s">
        <v>2200</v>
      </c>
      <c r="G1293" s="23" t="s">
        <v>301</v>
      </c>
      <c r="H1293" s="23">
        <v>20400760</v>
      </c>
      <c r="I1293" s="23">
        <v>20400760</v>
      </c>
      <c r="J1293" s="140">
        <v>44637</v>
      </c>
      <c r="K1293" s="23" t="s">
        <v>7175</v>
      </c>
      <c r="L1293" s="140">
        <v>44678</v>
      </c>
      <c r="M1293" s="26">
        <v>44679</v>
      </c>
      <c r="T1293" s="23" t="s">
        <v>305</v>
      </c>
      <c r="U1293" s="23" t="s">
        <v>305</v>
      </c>
      <c r="V1293" s="23" t="s">
        <v>299</v>
      </c>
      <c r="W1293" s="23" t="s">
        <v>6815</v>
      </c>
      <c r="AB1293" s="19" t="s">
        <v>6938</v>
      </c>
      <c r="AC1293" s="59">
        <v>27</v>
      </c>
      <c r="AD1293" s="23">
        <v>0</v>
      </c>
      <c r="AE1293" s="23">
        <v>9</v>
      </c>
      <c r="AG1293" s="23" t="s">
        <v>1553</v>
      </c>
      <c r="AH1293" s="39">
        <v>44657</v>
      </c>
      <c r="AI1293" s="53" t="s">
        <v>5851</v>
      </c>
    </row>
    <row r="1294" spans="1:37">
      <c r="A1294" s="75" t="s">
        <v>6816</v>
      </c>
      <c r="B1294" s="23">
        <v>216867628</v>
      </c>
      <c r="C1294" s="140">
        <v>44637</v>
      </c>
      <c r="D1294" s="23" t="s">
        <v>729</v>
      </c>
      <c r="E1294" s="23" t="s">
        <v>752</v>
      </c>
      <c r="F1294" s="23" t="s">
        <v>5472</v>
      </c>
      <c r="G1294" s="23" t="s">
        <v>5538</v>
      </c>
      <c r="H1294" s="23" t="s">
        <v>6835</v>
      </c>
      <c r="I1294" s="23" t="s">
        <v>6835</v>
      </c>
      <c r="J1294" s="140">
        <v>44617</v>
      </c>
      <c r="T1294" s="23" t="s">
        <v>12031</v>
      </c>
      <c r="U1294" s="23" t="s">
        <v>12031</v>
      </c>
      <c r="V1294" s="23" t="s">
        <v>299</v>
      </c>
      <c r="W1294" s="23" t="s">
        <v>6817</v>
      </c>
      <c r="AB1294" s="59" t="s">
        <v>6818</v>
      </c>
      <c r="AC1294" s="23">
        <v>2</v>
      </c>
      <c r="AD1294" s="23">
        <v>0</v>
      </c>
      <c r="AE1294" s="23">
        <v>1</v>
      </c>
      <c r="AG1294" s="23" t="s">
        <v>3459</v>
      </c>
      <c r="AH1294" s="39">
        <v>44658</v>
      </c>
      <c r="AI1294" s="53" t="s">
        <v>6748</v>
      </c>
      <c r="AJ1294" s="75" t="s">
        <v>8324</v>
      </c>
      <c r="AK1294" s="53">
        <v>44659</v>
      </c>
    </row>
    <row r="1295" spans="1:37">
      <c r="A1295" s="75" t="s">
        <v>6819</v>
      </c>
      <c r="B1295" s="23" t="s">
        <v>6820</v>
      </c>
      <c r="C1295" s="140">
        <v>44651</v>
      </c>
      <c r="D1295" s="23" t="s">
        <v>729</v>
      </c>
      <c r="E1295" s="23" t="s">
        <v>752</v>
      </c>
      <c r="F1295" s="23" t="s">
        <v>4899</v>
      </c>
      <c r="G1295" s="23" t="s">
        <v>1724</v>
      </c>
      <c r="P1295" s="23" t="s">
        <v>6751</v>
      </c>
      <c r="Q1295" s="140" t="s">
        <v>6752</v>
      </c>
      <c r="T1295" s="23" t="s">
        <v>12031</v>
      </c>
      <c r="U1295" s="23" t="s">
        <v>12031</v>
      </c>
      <c r="V1295" s="23" t="s">
        <v>298</v>
      </c>
      <c r="W1295" s="23" t="s">
        <v>6769</v>
      </c>
      <c r="Y1295" s="23">
        <v>20590</v>
      </c>
      <c r="Z1295" s="23">
        <v>68</v>
      </c>
      <c r="AB1295" s="23" t="s">
        <v>6821</v>
      </c>
      <c r="AC1295" s="23" t="s">
        <v>6822</v>
      </c>
      <c r="AD1295" s="23">
        <v>0</v>
      </c>
      <c r="AE1295" s="23">
        <v>2</v>
      </c>
      <c r="AF1295" s="23" t="s">
        <v>3297</v>
      </c>
      <c r="AG1295" s="23" t="s">
        <v>666</v>
      </c>
      <c r="AH1295" s="39">
        <v>44658</v>
      </c>
    </row>
    <row r="1296" spans="1:37" ht="16">
      <c r="A1296" s="75" t="s">
        <v>6823</v>
      </c>
      <c r="B1296" s="23" t="s">
        <v>6824</v>
      </c>
      <c r="C1296" s="140">
        <v>44648</v>
      </c>
      <c r="F1296" s="23" t="s">
        <v>4899</v>
      </c>
      <c r="G1296" s="23" t="s">
        <v>1724</v>
      </c>
      <c r="P1296" s="23" t="s">
        <v>6751</v>
      </c>
      <c r="Q1296" s="140" t="s">
        <v>6752</v>
      </c>
      <c r="W1296" s="19" t="s">
        <v>6651</v>
      </c>
      <c r="Y1296" s="23">
        <v>12557</v>
      </c>
      <c r="Z1296" s="23">
        <v>68</v>
      </c>
      <c r="AB1296" s="23" t="s">
        <v>6825</v>
      </c>
      <c r="AC1296" s="23" t="s">
        <v>6834</v>
      </c>
      <c r="AF1296" s="23" t="s">
        <v>3297</v>
      </c>
      <c r="AG1296" s="23" t="s">
        <v>666</v>
      </c>
      <c r="AH1296" s="39">
        <v>44658</v>
      </c>
    </row>
    <row r="1297" spans="1:35">
      <c r="A1297" s="75" t="s">
        <v>6826</v>
      </c>
      <c r="B1297" s="23" t="s">
        <v>6827</v>
      </c>
      <c r="C1297" s="140">
        <v>44645</v>
      </c>
      <c r="D1297" s="23" t="s">
        <v>729</v>
      </c>
      <c r="E1297" s="23" t="s">
        <v>752</v>
      </c>
      <c r="F1297" s="23" t="s">
        <v>4899</v>
      </c>
      <c r="G1297" s="23" t="s">
        <v>1724</v>
      </c>
      <c r="P1297" s="23" t="s">
        <v>6751</v>
      </c>
      <c r="Q1297" s="140" t="s">
        <v>6752</v>
      </c>
      <c r="T1297" s="23" t="s">
        <v>12031</v>
      </c>
      <c r="U1297" s="23" t="s">
        <v>12031</v>
      </c>
      <c r="V1297" s="23" t="s">
        <v>298</v>
      </c>
      <c r="W1297" s="23" t="s">
        <v>6651</v>
      </c>
      <c r="Y1297" s="23">
        <v>13398</v>
      </c>
      <c r="Z1297" s="23">
        <v>68</v>
      </c>
      <c r="AB1297" s="23" t="s">
        <v>6828</v>
      </c>
      <c r="AC1297" s="23" t="s">
        <v>6829</v>
      </c>
      <c r="AD1297" s="23">
        <v>0</v>
      </c>
      <c r="AE1297" s="23">
        <v>3</v>
      </c>
      <c r="AF1297" s="23" t="s">
        <v>3297</v>
      </c>
      <c r="AG1297" s="23" t="s">
        <v>666</v>
      </c>
      <c r="AH1297" s="39">
        <v>44658</v>
      </c>
    </row>
    <row r="1298" spans="1:35" ht="64">
      <c r="A1298" s="75" t="s">
        <v>6831</v>
      </c>
      <c r="B1298" s="23" t="s">
        <v>6830</v>
      </c>
      <c r="C1298" s="140">
        <v>44651</v>
      </c>
      <c r="F1298" s="23" t="s">
        <v>4899</v>
      </c>
      <c r="G1298" s="23" t="s">
        <v>1724</v>
      </c>
      <c r="P1298" s="23" t="s">
        <v>6751</v>
      </c>
      <c r="Q1298" s="140" t="s">
        <v>6752</v>
      </c>
      <c r="W1298" s="23" t="s">
        <v>6769</v>
      </c>
      <c r="Y1298" s="37">
        <v>41640</v>
      </c>
      <c r="Z1298" s="23">
        <v>136</v>
      </c>
      <c r="AB1298" s="19" t="s">
        <v>6832</v>
      </c>
      <c r="AC1298" s="23" t="s">
        <v>6833</v>
      </c>
      <c r="AF1298" s="19" t="s">
        <v>3214</v>
      </c>
      <c r="AG1298" s="23" t="s">
        <v>666</v>
      </c>
      <c r="AH1298" s="39">
        <v>44658</v>
      </c>
    </row>
    <row r="1299" spans="1:35" ht="128">
      <c r="A1299" s="75" t="s">
        <v>6836</v>
      </c>
      <c r="B1299" s="23" t="s">
        <v>6837</v>
      </c>
      <c r="C1299" s="140">
        <v>44646</v>
      </c>
      <c r="D1299" s="23" t="s">
        <v>729</v>
      </c>
      <c r="E1299" s="23" t="s">
        <v>752</v>
      </c>
      <c r="F1299" s="23" t="s">
        <v>5755</v>
      </c>
      <c r="G1299" s="23" t="s">
        <v>5538</v>
      </c>
      <c r="H1299" s="23" t="s">
        <v>6838</v>
      </c>
      <c r="I1299" s="23" t="s">
        <v>6838</v>
      </c>
      <c r="J1299" s="140">
        <v>44638</v>
      </c>
      <c r="T1299" s="23" t="s">
        <v>12031</v>
      </c>
      <c r="U1299" s="23" t="s">
        <v>12031</v>
      </c>
      <c r="V1299" s="23" t="s">
        <v>299</v>
      </c>
      <c r="W1299" s="23" t="s">
        <v>6839</v>
      </c>
      <c r="AB1299" s="19" t="s">
        <v>7083</v>
      </c>
      <c r="AC1299" s="23">
        <v>24</v>
      </c>
      <c r="AD1299" s="23">
        <v>0</v>
      </c>
      <c r="AE1299" s="23">
        <v>8</v>
      </c>
      <c r="AG1299" s="23" t="s">
        <v>665</v>
      </c>
      <c r="AH1299" s="39">
        <v>44658</v>
      </c>
      <c r="AI1299" s="53" t="s">
        <v>5757</v>
      </c>
    </row>
    <row r="1300" spans="1:35">
      <c r="A1300" s="75" t="s">
        <v>6840</v>
      </c>
      <c r="B1300" s="23" t="s">
        <v>6841</v>
      </c>
      <c r="C1300" s="140">
        <v>44648</v>
      </c>
      <c r="D1300" s="23" t="s">
        <v>729</v>
      </c>
      <c r="E1300" s="23" t="s">
        <v>2598</v>
      </c>
      <c r="F1300" s="23" t="s">
        <v>5697</v>
      </c>
      <c r="G1300" s="23" t="s">
        <v>5698</v>
      </c>
      <c r="P1300" s="23" t="s">
        <v>6851</v>
      </c>
      <c r="Q1300" s="140" t="s">
        <v>6850</v>
      </c>
      <c r="T1300" s="23" t="s">
        <v>303</v>
      </c>
      <c r="U1300" s="23" t="s">
        <v>6846</v>
      </c>
      <c r="V1300" s="23" t="s">
        <v>298</v>
      </c>
      <c r="W1300" s="23" t="s">
        <v>6842</v>
      </c>
      <c r="Y1300" s="38">
        <v>2340</v>
      </c>
      <c r="AB1300" s="23" t="s">
        <v>6851</v>
      </c>
      <c r="AC1300" s="23" t="s">
        <v>131</v>
      </c>
      <c r="AF1300" s="23" t="s">
        <v>6851</v>
      </c>
      <c r="AG1300" s="23" t="s">
        <v>6843</v>
      </c>
      <c r="AH1300" s="39">
        <v>44659</v>
      </c>
    </row>
    <row r="1301" spans="1:35">
      <c r="A1301" s="75" t="s">
        <v>6844</v>
      </c>
      <c r="B1301" s="23" t="s">
        <v>6845</v>
      </c>
      <c r="C1301" s="140">
        <v>44655</v>
      </c>
      <c r="D1301" s="23" t="s">
        <v>729</v>
      </c>
      <c r="E1301" s="23" t="s">
        <v>2598</v>
      </c>
      <c r="F1301" s="23" t="s">
        <v>5697</v>
      </c>
      <c r="G1301" s="23" t="s">
        <v>5698</v>
      </c>
      <c r="P1301" s="23" t="s">
        <v>6851</v>
      </c>
      <c r="T1301" s="23" t="s">
        <v>303</v>
      </c>
      <c r="U1301" s="23" t="s">
        <v>6846</v>
      </c>
      <c r="V1301" s="23" t="s">
        <v>298</v>
      </c>
      <c r="W1301" s="23" t="s">
        <v>6848</v>
      </c>
      <c r="Y1301" s="38">
        <v>1902</v>
      </c>
      <c r="AC1301" s="23" t="s">
        <v>131</v>
      </c>
      <c r="AG1301" s="23" t="s">
        <v>6843</v>
      </c>
      <c r="AH1301" s="39">
        <v>44659</v>
      </c>
    </row>
    <row r="1302" spans="1:35" ht="64">
      <c r="A1302" s="75" t="s">
        <v>6852</v>
      </c>
      <c r="B1302" s="23" t="s">
        <v>6853</v>
      </c>
      <c r="C1302" s="140">
        <v>44656</v>
      </c>
      <c r="D1302" s="23" t="s">
        <v>729</v>
      </c>
      <c r="E1302" s="23" t="s">
        <v>752</v>
      </c>
      <c r="F1302" s="23" t="s">
        <v>4899</v>
      </c>
      <c r="G1302" s="23" t="s">
        <v>1724</v>
      </c>
      <c r="P1302" s="23" t="s">
        <v>6790</v>
      </c>
      <c r="Q1302" s="140" t="s">
        <v>6854</v>
      </c>
      <c r="T1302" s="23" t="s">
        <v>12031</v>
      </c>
      <c r="U1302" s="23" t="s">
        <v>12031</v>
      </c>
      <c r="V1302" s="23" t="s">
        <v>298</v>
      </c>
      <c r="W1302" s="23" t="s">
        <v>6651</v>
      </c>
      <c r="Y1302" s="23">
        <v>39547</v>
      </c>
      <c r="Z1302" s="23">
        <v>136</v>
      </c>
      <c r="AB1302" s="19" t="s">
        <v>6855</v>
      </c>
      <c r="AC1302" s="23" t="s">
        <v>6500</v>
      </c>
      <c r="AD1302" s="23">
        <v>0</v>
      </c>
      <c r="AE1302" s="23">
        <v>4</v>
      </c>
      <c r="AF1302" s="19" t="s">
        <v>3214</v>
      </c>
      <c r="AG1302" s="23" t="s">
        <v>666</v>
      </c>
      <c r="AH1302" s="39">
        <v>44660</v>
      </c>
    </row>
    <row r="1303" spans="1:35" ht="16">
      <c r="A1303" s="75" t="s">
        <v>6856</v>
      </c>
      <c r="B1303" s="23" t="s">
        <v>6857</v>
      </c>
      <c r="C1303" s="140">
        <v>44656</v>
      </c>
      <c r="F1303" s="23" t="s">
        <v>4899</v>
      </c>
      <c r="G1303" s="23" t="s">
        <v>1724</v>
      </c>
      <c r="P1303" s="23" t="s">
        <v>6790</v>
      </c>
      <c r="Q1303" s="140" t="s">
        <v>6854</v>
      </c>
      <c r="W1303" s="19" t="s">
        <v>6778</v>
      </c>
      <c r="Y1303" s="23">
        <v>12900</v>
      </c>
      <c r="Z1303" s="23">
        <v>68</v>
      </c>
      <c r="AB1303" s="23" t="s">
        <v>6858</v>
      </c>
      <c r="AC1303" s="23" t="s">
        <v>6859</v>
      </c>
      <c r="AF1303" s="19" t="s">
        <v>3297</v>
      </c>
      <c r="AG1303" s="23" t="s">
        <v>666</v>
      </c>
      <c r="AH1303" s="39">
        <v>44660</v>
      </c>
    </row>
    <row r="1304" spans="1:35" ht="16">
      <c r="A1304" s="75" t="s">
        <v>6860</v>
      </c>
      <c r="B1304" s="23" t="s">
        <v>6861</v>
      </c>
      <c r="C1304" s="140">
        <v>44656</v>
      </c>
      <c r="F1304" s="23" t="s">
        <v>4899</v>
      </c>
      <c r="G1304" s="23" t="s">
        <v>1724</v>
      </c>
      <c r="P1304" s="23" t="s">
        <v>6790</v>
      </c>
      <c r="Q1304" s="140" t="s">
        <v>6854</v>
      </c>
      <c r="W1304" s="23" t="s">
        <v>6651</v>
      </c>
      <c r="Y1304" s="23">
        <v>16800</v>
      </c>
      <c r="Z1304" s="23">
        <v>68</v>
      </c>
      <c r="AB1304" s="23" t="s">
        <v>6862</v>
      </c>
      <c r="AC1304" s="23" t="s">
        <v>6863</v>
      </c>
      <c r="AF1304" s="19" t="s">
        <v>3297</v>
      </c>
      <c r="AG1304" s="23" t="s">
        <v>6573</v>
      </c>
      <c r="AH1304" s="39">
        <v>44660</v>
      </c>
    </row>
    <row r="1305" spans="1:35" ht="48">
      <c r="A1305" s="75" t="s">
        <v>6864</v>
      </c>
      <c r="B1305" s="23" t="s">
        <v>6865</v>
      </c>
      <c r="C1305" s="140">
        <v>44656</v>
      </c>
      <c r="D1305" s="23" t="s">
        <v>729</v>
      </c>
      <c r="E1305" s="23" t="s">
        <v>752</v>
      </c>
      <c r="F1305" s="23" t="s">
        <v>4899</v>
      </c>
      <c r="G1305" s="23" t="s">
        <v>1724</v>
      </c>
      <c r="P1305" s="23" t="s">
        <v>6790</v>
      </c>
      <c r="Q1305" s="140" t="s">
        <v>6854</v>
      </c>
      <c r="T1305" s="23" t="s">
        <v>12031</v>
      </c>
      <c r="U1305" s="23" t="s">
        <v>12031</v>
      </c>
      <c r="V1305" s="23" t="s">
        <v>298</v>
      </c>
      <c r="W1305" s="23" t="s">
        <v>6866</v>
      </c>
      <c r="Y1305" s="23">
        <v>34310</v>
      </c>
      <c r="Z1305" s="23">
        <v>136</v>
      </c>
      <c r="AB1305" s="19" t="s">
        <v>6867</v>
      </c>
      <c r="AC1305" s="23" t="s">
        <v>6868</v>
      </c>
      <c r="AD1305" s="23">
        <v>0</v>
      </c>
      <c r="AE1305" s="23">
        <v>4</v>
      </c>
      <c r="AF1305" s="19" t="s">
        <v>3214</v>
      </c>
      <c r="AG1305" s="23" t="s">
        <v>666</v>
      </c>
      <c r="AH1305" s="39">
        <v>44660</v>
      </c>
    </row>
    <row r="1306" spans="1:35" ht="16">
      <c r="A1306" s="75" t="s">
        <v>6869</v>
      </c>
      <c r="B1306" s="23" t="s">
        <v>6870</v>
      </c>
      <c r="C1306" s="140">
        <v>44656</v>
      </c>
      <c r="F1306" s="23" t="s">
        <v>4899</v>
      </c>
      <c r="G1306" s="23" t="s">
        <v>1724</v>
      </c>
      <c r="P1306" s="23" t="s">
        <v>6790</v>
      </c>
      <c r="Q1306" s="140" t="s">
        <v>6854</v>
      </c>
      <c r="W1306" s="23" t="s">
        <v>6495</v>
      </c>
      <c r="Y1306" s="23">
        <v>20740</v>
      </c>
      <c r="Z1306" s="23">
        <v>68</v>
      </c>
      <c r="AB1306" s="23" t="s">
        <v>6871</v>
      </c>
      <c r="AC1306" s="23" t="s">
        <v>6872</v>
      </c>
      <c r="AF1306" s="19" t="s">
        <v>3297</v>
      </c>
      <c r="AG1306" s="23" t="s">
        <v>6573</v>
      </c>
      <c r="AH1306" s="39">
        <v>44660</v>
      </c>
    </row>
    <row r="1307" spans="1:35" ht="16">
      <c r="A1307" s="75" t="s">
        <v>6873</v>
      </c>
      <c r="B1307" s="23" t="s">
        <v>6874</v>
      </c>
      <c r="C1307" s="140">
        <v>44656</v>
      </c>
      <c r="F1307" s="23" t="s">
        <v>7082</v>
      </c>
      <c r="G1307" s="23" t="s">
        <v>1724</v>
      </c>
      <c r="P1307" s="23" t="s">
        <v>6790</v>
      </c>
      <c r="Q1307" s="140" t="s">
        <v>6854</v>
      </c>
      <c r="W1307" s="23" t="s">
        <v>6875</v>
      </c>
      <c r="Y1307" s="23">
        <v>20000</v>
      </c>
      <c r="Z1307" s="23">
        <v>68</v>
      </c>
      <c r="AB1307" s="23" t="s">
        <v>6876</v>
      </c>
      <c r="AC1307" s="23" t="s">
        <v>6877</v>
      </c>
      <c r="AF1307" s="19" t="s">
        <v>3297</v>
      </c>
      <c r="AG1307" s="23" t="s">
        <v>666</v>
      </c>
      <c r="AH1307" s="39">
        <v>44660</v>
      </c>
    </row>
    <row r="1308" spans="1:35" ht="64">
      <c r="A1308" s="75" t="s">
        <v>6878</v>
      </c>
      <c r="B1308" s="23" t="s">
        <v>6879</v>
      </c>
      <c r="C1308" s="140">
        <v>44656</v>
      </c>
      <c r="D1308" s="23" t="s">
        <v>729</v>
      </c>
      <c r="E1308" s="23" t="s">
        <v>752</v>
      </c>
      <c r="F1308" s="23" t="s">
        <v>4899</v>
      </c>
      <c r="G1308" s="23" t="s">
        <v>1724</v>
      </c>
      <c r="P1308" s="23" t="s">
        <v>6790</v>
      </c>
      <c r="Q1308" s="140" t="s">
        <v>6854</v>
      </c>
      <c r="T1308" s="23" t="s">
        <v>12031</v>
      </c>
      <c r="U1308" s="23" t="s">
        <v>12031</v>
      </c>
      <c r="V1308" s="23" t="s">
        <v>298</v>
      </c>
      <c r="W1308" s="23" t="s">
        <v>6431</v>
      </c>
      <c r="Y1308" s="23">
        <v>44100</v>
      </c>
      <c r="Z1308" s="23">
        <v>136</v>
      </c>
      <c r="AB1308" s="19" t="s">
        <v>6880</v>
      </c>
      <c r="AC1308" s="23" t="s">
        <v>6881</v>
      </c>
      <c r="AD1308" s="23">
        <v>0</v>
      </c>
      <c r="AE1308" s="23">
        <v>3</v>
      </c>
      <c r="AF1308" s="19" t="s">
        <v>3214</v>
      </c>
      <c r="AG1308" s="23" t="s">
        <v>665</v>
      </c>
      <c r="AH1308" s="39">
        <v>44662</v>
      </c>
    </row>
    <row r="1309" spans="1:35" ht="16">
      <c r="A1309" s="75" t="s">
        <v>6882</v>
      </c>
      <c r="B1309" s="23" t="s">
        <v>6883</v>
      </c>
      <c r="C1309" s="140">
        <v>44656</v>
      </c>
      <c r="F1309" s="23" t="s">
        <v>4899</v>
      </c>
      <c r="G1309" s="23" t="s">
        <v>1724</v>
      </c>
      <c r="P1309" s="23" t="s">
        <v>6790</v>
      </c>
      <c r="Q1309" s="140" t="s">
        <v>6854</v>
      </c>
      <c r="W1309" s="23" t="s">
        <v>6457</v>
      </c>
      <c r="Y1309" s="23">
        <v>15950</v>
      </c>
      <c r="Z1309" s="23">
        <v>66</v>
      </c>
      <c r="AB1309" s="23" t="s">
        <v>6884</v>
      </c>
      <c r="AC1309" s="23" t="s">
        <v>6885</v>
      </c>
      <c r="AF1309" s="19" t="s">
        <v>3297</v>
      </c>
      <c r="AG1309" s="23" t="s">
        <v>637</v>
      </c>
      <c r="AH1309" s="39">
        <v>44662</v>
      </c>
    </row>
    <row r="1310" spans="1:35">
      <c r="A1310" s="75" t="s">
        <v>6886</v>
      </c>
      <c r="B1310" s="23" t="s">
        <v>6887</v>
      </c>
      <c r="C1310" s="140">
        <v>44645</v>
      </c>
      <c r="D1310" s="23" t="s">
        <v>729</v>
      </c>
      <c r="E1310" s="23" t="s">
        <v>752</v>
      </c>
      <c r="F1310" s="23" t="s">
        <v>4899</v>
      </c>
      <c r="G1310" s="23" t="s">
        <v>1724</v>
      </c>
      <c r="P1310" s="23" t="s">
        <v>6888</v>
      </c>
      <c r="Q1310" s="140" t="s">
        <v>6889</v>
      </c>
      <c r="T1310" s="23" t="s">
        <v>12031</v>
      </c>
      <c r="U1310" s="23" t="s">
        <v>12031</v>
      </c>
      <c r="V1310" s="23" t="s">
        <v>298</v>
      </c>
      <c r="W1310" s="23" t="s">
        <v>6359</v>
      </c>
      <c r="Y1310" s="38">
        <v>22300</v>
      </c>
      <c r="Z1310" s="23">
        <v>68</v>
      </c>
      <c r="AB1310" s="23" t="s">
        <v>6890</v>
      </c>
      <c r="AC1310" s="23" t="s">
        <v>6891</v>
      </c>
      <c r="AD1310" s="23">
        <v>0</v>
      </c>
      <c r="AE1310" s="23">
        <v>4</v>
      </c>
      <c r="AF1310" s="23" t="s">
        <v>6122</v>
      </c>
      <c r="AG1310" s="23" t="s">
        <v>666</v>
      </c>
      <c r="AH1310" s="39">
        <v>44663</v>
      </c>
    </row>
    <row r="1311" spans="1:35">
      <c r="A1311" s="75" t="s">
        <v>6892</v>
      </c>
      <c r="B1311" s="23" t="s">
        <v>6893</v>
      </c>
      <c r="C1311" s="140">
        <v>44661</v>
      </c>
      <c r="F1311" s="23" t="s">
        <v>4899</v>
      </c>
      <c r="G1311" s="23" t="s">
        <v>1724</v>
      </c>
      <c r="P1311" s="23" t="s">
        <v>6888</v>
      </c>
      <c r="Q1311" s="140" t="s">
        <v>6889</v>
      </c>
      <c r="W1311" s="23" t="s">
        <v>6457</v>
      </c>
      <c r="Y1311" s="38">
        <v>18500</v>
      </c>
      <c r="Z1311" s="23">
        <v>68</v>
      </c>
      <c r="AB1311" s="23" t="s">
        <v>6895</v>
      </c>
      <c r="AC1311" s="38" t="s">
        <v>6896</v>
      </c>
      <c r="AF1311" s="23" t="s">
        <v>6122</v>
      </c>
      <c r="AG1311" s="23" t="s">
        <v>637</v>
      </c>
      <c r="AH1311" s="39">
        <v>44663</v>
      </c>
    </row>
    <row r="1312" spans="1:35">
      <c r="A1312" s="75" t="s">
        <v>6894</v>
      </c>
      <c r="B1312" s="23" t="s">
        <v>6897</v>
      </c>
      <c r="C1312" s="140">
        <v>44658</v>
      </c>
      <c r="F1312" s="23" t="s">
        <v>4899</v>
      </c>
      <c r="G1312" s="23" t="s">
        <v>1724</v>
      </c>
      <c r="P1312" s="23" t="s">
        <v>6888</v>
      </c>
      <c r="Q1312" s="140" t="s">
        <v>6889</v>
      </c>
      <c r="W1312" s="23" t="s">
        <v>6359</v>
      </c>
      <c r="Y1312" s="38">
        <v>23500</v>
      </c>
      <c r="Z1312" s="23">
        <v>68</v>
      </c>
      <c r="AB1312" s="23" t="s">
        <v>6899</v>
      </c>
      <c r="AC1312" s="38" t="s">
        <v>6898</v>
      </c>
      <c r="AF1312" s="23" t="s">
        <v>6122</v>
      </c>
      <c r="AG1312" s="23" t="s">
        <v>665</v>
      </c>
      <c r="AH1312" s="39">
        <v>44663</v>
      </c>
    </row>
    <row r="1313" spans="1:37">
      <c r="A1313" s="75" t="s">
        <v>6900</v>
      </c>
      <c r="B1313" s="23" t="s">
        <v>6901</v>
      </c>
      <c r="C1313" s="140">
        <v>44652</v>
      </c>
      <c r="F1313" s="23" t="s">
        <v>4899</v>
      </c>
      <c r="G1313" s="23" t="s">
        <v>1724</v>
      </c>
      <c r="P1313" s="23" t="s">
        <v>6902</v>
      </c>
      <c r="Q1313" s="140" t="s">
        <v>6903</v>
      </c>
      <c r="W1313" s="23" t="s">
        <v>498</v>
      </c>
      <c r="Y1313" s="38">
        <v>11600</v>
      </c>
      <c r="Z1313" s="23">
        <v>50</v>
      </c>
      <c r="AB1313" s="23" t="s">
        <v>6904</v>
      </c>
      <c r="AC1313" s="23" t="s">
        <v>6112</v>
      </c>
      <c r="AF1313" s="23" t="s">
        <v>6160</v>
      </c>
      <c r="AG1313" s="23" t="s">
        <v>665</v>
      </c>
      <c r="AH1313" s="39">
        <v>44663</v>
      </c>
    </row>
    <row r="1314" spans="1:37">
      <c r="A1314" s="75" t="s">
        <v>6905</v>
      </c>
      <c r="B1314" s="23" t="s">
        <v>6906</v>
      </c>
      <c r="C1314" s="140">
        <v>44627</v>
      </c>
      <c r="D1314" s="23" t="s">
        <v>729</v>
      </c>
      <c r="E1314" s="23" t="s">
        <v>752</v>
      </c>
      <c r="F1314" s="23" t="s">
        <v>6113</v>
      </c>
      <c r="G1314" s="23" t="s">
        <v>5538</v>
      </c>
      <c r="H1314" s="23" t="s">
        <v>6908</v>
      </c>
      <c r="I1314" s="23" t="s">
        <v>6908</v>
      </c>
      <c r="J1314" s="140">
        <v>44619</v>
      </c>
      <c r="T1314" s="23" t="s">
        <v>12031</v>
      </c>
      <c r="U1314" s="23" t="s">
        <v>12031</v>
      </c>
      <c r="V1314" s="23" t="s">
        <v>299</v>
      </c>
      <c r="W1314" s="23" t="s">
        <v>6907</v>
      </c>
      <c r="AB1314" s="23" t="s">
        <v>7588</v>
      </c>
      <c r="AC1314" s="23">
        <v>3</v>
      </c>
      <c r="AD1314" s="23">
        <v>0</v>
      </c>
      <c r="AE1314" s="23">
        <v>1</v>
      </c>
      <c r="AG1314" s="23" t="s">
        <v>5879</v>
      </c>
      <c r="AH1314" s="39">
        <v>44664</v>
      </c>
      <c r="AI1314" s="53" t="s">
        <v>5027</v>
      </c>
    </row>
    <row r="1315" spans="1:37">
      <c r="A1315" s="75" t="s">
        <v>6909</v>
      </c>
      <c r="B1315" s="23" t="s">
        <v>6941</v>
      </c>
      <c r="C1315" s="140">
        <v>44657</v>
      </c>
      <c r="D1315" s="23" t="s">
        <v>729</v>
      </c>
      <c r="E1315" s="23" t="s">
        <v>752</v>
      </c>
      <c r="F1315" s="23" t="s">
        <v>4899</v>
      </c>
      <c r="G1315" s="23" t="s">
        <v>1724</v>
      </c>
      <c r="P1315" s="23" t="s">
        <v>6942</v>
      </c>
      <c r="Q1315" s="140" t="s">
        <v>6889</v>
      </c>
      <c r="T1315" s="23" t="s">
        <v>12031</v>
      </c>
      <c r="U1315" s="23" t="s">
        <v>12031</v>
      </c>
      <c r="V1315" s="23" t="s">
        <v>298</v>
      </c>
      <c r="W1315" s="23" t="s">
        <v>6457</v>
      </c>
      <c r="Y1315" s="38">
        <v>21300</v>
      </c>
      <c r="Z1315" s="23">
        <v>68</v>
      </c>
      <c r="AB1315" s="23" t="s">
        <v>6943</v>
      </c>
      <c r="AC1315" s="23" t="s">
        <v>6944</v>
      </c>
      <c r="AD1315" s="23">
        <v>0</v>
      </c>
      <c r="AE1315" s="23">
        <v>2</v>
      </c>
      <c r="AF1315" s="23" t="s">
        <v>3297</v>
      </c>
      <c r="AG1315" s="23" t="s">
        <v>637</v>
      </c>
      <c r="AH1315" s="39">
        <v>44669</v>
      </c>
    </row>
    <row r="1316" spans="1:37">
      <c r="A1316" s="75" t="s">
        <v>6910</v>
      </c>
      <c r="B1316" s="23" t="s">
        <v>6945</v>
      </c>
      <c r="C1316" s="140">
        <v>44658</v>
      </c>
      <c r="F1316" s="23" t="s">
        <v>4899</v>
      </c>
      <c r="G1316" s="23" t="s">
        <v>1724</v>
      </c>
      <c r="P1316" s="23" t="s">
        <v>6942</v>
      </c>
      <c r="Q1316" s="140" t="s">
        <v>6889</v>
      </c>
      <c r="W1316" s="23" t="s">
        <v>6457</v>
      </c>
      <c r="Y1316" s="23">
        <v>22700</v>
      </c>
      <c r="Z1316" s="23">
        <v>69</v>
      </c>
      <c r="AB1316" s="23" t="s">
        <v>6946</v>
      </c>
      <c r="AC1316" s="23" t="s">
        <v>6696</v>
      </c>
      <c r="AF1316" s="23" t="s">
        <v>3297</v>
      </c>
      <c r="AG1316" s="23" t="s">
        <v>637</v>
      </c>
      <c r="AH1316" s="39">
        <v>44669</v>
      </c>
    </row>
    <row r="1317" spans="1:37">
      <c r="A1317" s="75" t="s">
        <v>6911</v>
      </c>
      <c r="B1317" s="23" t="s">
        <v>6912</v>
      </c>
      <c r="C1317" s="140">
        <v>44663</v>
      </c>
      <c r="D1317" s="23" t="s">
        <v>729</v>
      </c>
      <c r="E1317" s="23" t="s">
        <v>2919</v>
      </c>
      <c r="F1317" s="23" t="s">
        <v>4899</v>
      </c>
      <c r="G1317" s="23" t="s">
        <v>1724</v>
      </c>
      <c r="Q1317" s="140" t="s">
        <v>6923</v>
      </c>
      <c r="T1317" s="23" t="s">
        <v>3715</v>
      </c>
      <c r="U1317" s="23" t="s">
        <v>3715</v>
      </c>
      <c r="V1317" s="23" t="s">
        <v>298</v>
      </c>
      <c r="W1317" s="23" t="s">
        <v>6707</v>
      </c>
      <c r="Y1317" s="38">
        <v>8900</v>
      </c>
      <c r="Z1317" s="23">
        <v>67.3</v>
      </c>
      <c r="AB1317" s="23" t="s">
        <v>6913</v>
      </c>
      <c r="AC1317" s="23" t="s">
        <v>6914</v>
      </c>
      <c r="AD1317" s="23">
        <v>0</v>
      </c>
      <c r="AE1317" s="23">
        <v>1</v>
      </c>
      <c r="AF1317" s="23" t="s">
        <v>3297</v>
      </c>
      <c r="AG1317" s="23" t="s">
        <v>637</v>
      </c>
      <c r="AH1317" s="39">
        <v>44664</v>
      </c>
    </row>
    <row r="1318" spans="1:37" ht="64">
      <c r="A1318" s="75" t="s">
        <v>6915</v>
      </c>
      <c r="B1318" s="23" t="s">
        <v>6917</v>
      </c>
      <c r="C1318" s="140">
        <v>44658</v>
      </c>
      <c r="D1318" s="23" t="s">
        <v>729</v>
      </c>
      <c r="E1318" s="23" t="s">
        <v>752</v>
      </c>
      <c r="F1318" s="23" t="s">
        <v>4899</v>
      </c>
      <c r="G1318" s="23" t="s">
        <v>1724</v>
      </c>
      <c r="P1318" s="23" t="s">
        <v>6888</v>
      </c>
      <c r="Q1318" s="140" t="s">
        <v>6889</v>
      </c>
      <c r="T1318" s="23" t="s">
        <v>12031</v>
      </c>
      <c r="U1318" s="23" t="s">
        <v>12031</v>
      </c>
      <c r="V1318" s="23" t="s">
        <v>298</v>
      </c>
      <c r="W1318" s="23" t="s">
        <v>6769</v>
      </c>
      <c r="Y1318" s="37">
        <v>46790</v>
      </c>
      <c r="Z1318" s="23">
        <v>136</v>
      </c>
      <c r="AB1318" s="19" t="s">
        <v>6918</v>
      </c>
      <c r="AC1318" s="23" t="s">
        <v>6919</v>
      </c>
      <c r="AD1318" s="23">
        <v>0</v>
      </c>
      <c r="AE1318" s="23">
        <v>3</v>
      </c>
      <c r="AF1318" s="19" t="s">
        <v>3214</v>
      </c>
      <c r="AG1318" s="23" t="s">
        <v>666</v>
      </c>
      <c r="AH1318" s="39">
        <v>44664</v>
      </c>
    </row>
    <row r="1319" spans="1:37">
      <c r="A1319" s="75" t="s">
        <v>6920</v>
      </c>
      <c r="B1319" s="23" t="s">
        <v>6921</v>
      </c>
      <c r="C1319" s="140">
        <v>44661</v>
      </c>
      <c r="F1319" s="23" t="s">
        <v>4899</v>
      </c>
      <c r="G1319" s="23" t="s">
        <v>1724</v>
      </c>
      <c r="P1319" s="23" t="s">
        <v>6922</v>
      </c>
      <c r="Q1319" s="140" t="s">
        <v>6923</v>
      </c>
      <c r="W1319" s="23" t="s">
        <v>6651</v>
      </c>
      <c r="Y1319" s="23">
        <v>23000</v>
      </c>
      <c r="Z1319" s="23">
        <v>68</v>
      </c>
      <c r="AB1319" s="23" t="s">
        <v>6924</v>
      </c>
      <c r="AC1319" s="23" t="s">
        <v>6925</v>
      </c>
      <c r="AF1319" s="23" t="s">
        <v>3297</v>
      </c>
      <c r="AG1319" s="23" t="s">
        <v>666</v>
      </c>
      <c r="AH1319" s="39">
        <v>44664</v>
      </c>
    </row>
    <row r="1320" spans="1:37">
      <c r="A1320" s="75" t="s">
        <v>6916</v>
      </c>
      <c r="B1320" s="23" t="s">
        <v>6928</v>
      </c>
      <c r="C1320" s="140">
        <v>44658</v>
      </c>
      <c r="F1320" s="23" t="s">
        <v>7082</v>
      </c>
      <c r="G1320" s="23" t="s">
        <v>1724</v>
      </c>
      <c r="P1320" s="23" t="s">
        <v>6888</v>
      </c>
      <c r="Q1320" s="140" t="s">
        <v>6889</v>
      </c>
      <c r="T1320" s="23" t="s">
        <v>12031</v>
      </c>
      <c r="U1320" s="23" t="s">
        <v>12031</v>
      </c>
      <c r="V1320" s="23" t="s">
        <v>298</v>
      </c>
      <c r="W1320" s="23" t="s">
        <v>6875</v>
      </c>
      <c r="Y1320" s="37">
        <v>15000</v>
      </c>
      <c r="Z1320" s="23">
        <v>68</v>
      </c>
      <c r="AB1320" s="23" t="s">
        <v>6935</v>
      </c>
      <c r="AC1320" s="23" t="s">
        <v>6929</v>
      </c>
      <c r="AD1320" s="23">
        <v>0</v>
      </c>
      <c r="AE1320" s="23">
        <v>3</v>
      </c>
      <c r="AF1320" s="23" t="s">
        <v>3297</v>
      </c>
      <c r="AG1320" s="23" t="s">
        <v>1585</v>
      </c>
      <c r="AH1320" s="39">
        <v>44664</v>
      </c>
    </row>
    <row r="1321" spans="1:37" ht="16">
      <c r="A1321" s="75" t="s">
        <v>6933</v>
      </c>
      <c r="B1321" s="23" t="s">
        <v>6926</v>
      </c>
      <c r="C1321" s="140">
        <v>44645</v>
      </c>
      <c r="F1321" s="23" t="s">
        <v>4899</v>
      </c>
      <c r="G1321" s="23" t="s">
        <v>1724</v>
      </c>
      <c r="Q1321" s="140" t="s">
        <v>6889</v>
      </c>
      <c r="W1321" s="19" t="s">
        <v>6651</v>
      </c>
      <c r="Y1321" s="37">
        <v>14830</v>
      </c>
      <c r="Z1321" s="23">
        <v>68</v>
      </c>
      <c r="AB1321" s="23" t="s">
        <v>6936</v>
      </c>
      <c r="AC1321" s="23" t="s">
        <v>6927</v>
      </c>
      <c r="AF1321" s="23" t="s">
        <v>3297</v>
      </c>
      <c r="AG1321" s="23" t="s">
        <v>666</v>
      </c>
      <c r="AH1321" s="39">
        <v>44664</v>
      </c>
    </row>
    <row r="1322" spans="1:37" ht="16">
      <c r="A1322" s="75" t="s">
        <v>6934</v>
      </c>
      <c r="B1322" s="23" t="s">
        <v>6930</v>
      </c>
      <c r="C1322" s="140">
        <v>44658</v>
      </c>
      <c r="F1322" s="23" t="s">
        <v>4899</v>
      </c>
      <c r="G1322" s="23" t="s">
        <v>1724</v>
      </c>
      <c r="W1322" s="19" t="s">
        <v>6778</v>
      </c>
      <c r="Y1322" s="37">
        <v>11500</v>
      </c>
      <c r="Z1322" s="23">
        <v>68</v>
      </c>
      <c r="AB1322" s="23" t="s">
        <v>6931</v>
      </c>
      <c r="AC1322" s="23" t="s">
        <v>6932</v>
      </c>
      <c r="AF1322" s="23" t="s">
        <v>3297</v>
      </c>
      <c r="AG1322" s="23" t="s">
        <v>666</v>
      </c>
      <c r="AH1322" s="39">
        <v>44664</v>
      </c>
    </row>
    <row r="1323" spans="1:37">
      <c r="A1323" s="75" t="s">
        <v>6948</v>
      </c>
      <c r="B1323" s="23" t="s">
        <v>6949</v>
      </c>
      <c r="C1323" s="140">
        <v>44654</v>
      </c>
      <c r="D1323" s="23" t="s">
        <v>729</v>
      </c>
      <c r="E1323" s="23" t="s">
        <v>752</v>
      </c>
      <c r="F1323" s="23" t="s">
        <v>5697</v>
      </c>
      <c r="G1323" s="23" t="s">
        <v>5698</v>
      </c>
      <c r="P1323" s="23" t="s">
        <v>6950</v>
      </c>
      <c r="Q1323" s="140" t="s">
        <v>6903</v>
      </c>
      <c r="T1323" s="23" t="s">
        <v>12031</v>
      </c>
      <c r="U1323" s="23" t="s">
        <v>12031</v>
      </c>
      <c r="V1323" s="23" t="s">
        <v>298</v>
      </c>
      <c r="W1323" s="23" t="s">
        <v>6243</v>
      </c>
      <c r="Y1323" s="37">
        <v>5300</v>
      </c>
      <c r="Z1323" s="23">
        <v>40</v>
      </c>
      <c r="AB1323" s="23" t="s">
        <v>6951</v>
      </c>
      <c r="AC1323" s="23" t="s">
        <v>123</v>
      </c>
      <c r="AD1323" s="23">
        <v>0</v>
      </c>
      <c r="AE1323" s="23">
        <v>1</v>
      </c>
      <c r="AF1323" s="23" t="s">
        <v>3193</v>
      </c>
      <c r="AG1323" s="23" t="s">
        <v>5196</v>
      </c>
      <c r="AH1323" s="39">
        <v>44669</v>
      </c>
    </row>
    <row r="1324" spans="1:37">
      <c r="A1324" s="75" t="s">
        <v>6952</v>
      </c>
      <c r="B1324" s="23" t="s">
        <v>6953</v>
      </c>
      <c r="C1324" s="140">
        <v>44654</v>
      </c>
      <c r="D1324" s="23" t="s">
        <v>729</v>
      </c>
      <c r="E1324" s="23" t="s">
        <v>752</v>
      </c>
      <c r="F1324" s="23" t="s">
        <v>5697</v>
      </c>
      <c r="G1324" s="23" t="s">
        <v>5698</v>
      </c>
      <c r="P1324" s="23" t="s">
        <v>6950</v>
      </c>
      <c r="Q1324" s="140" t="s">
        <v>6903</v>
      </c>
      <c r="T1324" s="23" t="s">
        <v>12031</v>
      </c>
      <c r="U1324" s="23" t="s">
        <v>12031</v>
      </c>
      <c r="V1324" s="23" t="s">
        <v>298</v>
      </c>
      <c r="W1324" s="23" t="s">
        <v>6243</v>
      </c>
      <c r="Y1324" s="23">
        <v>5300</v>
      </c>
      <c r="Z1324" s="23">
        <v>40</v>
      </c>
      <c r="AB1324" s="23" t="s">
        <v>6954</v>
      </c>
      <c r="AC1324" s="23" t="s">
        <v>123</v>
      </c>
      <c r="AD1324" s="23">
        <v>0</v>
      </c>
      <c r="AE1324" s="23">
        <v>1</v>
      </c>
      <c r="AF1324" s="23" t="s">
        <v>3193</v>
      </c>
      <c r="AG1324" s="23" t="s">
        <v>5196</v>
      </c>
      <c r="AH1324" s="39">
        <v>44669</v>
      </c>
    </row>
    <row r="1325" spans="1:37" ht="16">
      <c r="A1325" s="75" t="s">
        <v>6955</v>
      </c>
      <c r="B1325" s="23" t="s">
        <v>6956</v>
      </c>
      <c r="C1325" s="140">
        <v>44661</v>
      </c>
      <c r="D1325" s="23" t="s">
        <v>729</v>
      </c>
      <c r="E1325" s="23" t="s">
        <v>3773</v>
      </c>
      <c r="F1325" s="23" t="s">
        <v>6957</v>
      </c>
      <c r="G1325" s="23" t="s">
        <v>3469</v>
      </c>
      <c r="H1325" s="23" t="s">
        <v>6958</v>
      </c>
      <c r="I1325" s="23" t="s">
        <v>6958</v>
      </c>
      <c r="J1325" s="140">
        <v>44641</v>
      </c>
      <c r="T1325" s="23" t="s">
        <v>12031</v>
      </c>
      <c r="U1325" s="23" t="s">
        <v>12031</v>
      </c>
      <c r="V1325" s="23" t="s">
        <v>299</v>
      </c>
      <c r="W1325" s="19" t="s">
        <v>6959</v>
      </c>
      <c r="Y1325" s="37"/>
      <c r="AB1325" s="23" t="s">
        <v>8561</v>
      </c>
      <c r="AC1325" s="23">
        <v>20</v>
      </c>
      <c r="AD1325" s="118">
        <v>0</v>
      </c>
      <c r="AE1325" s="118">
        <v>0</v>
      </c>
      <c r="AF1325" s="23" t="s">
        <v>8561</v>
      </c>
      <c r="AG1325" s="23" t="s">
        <v>5111</v>
      </c>
      <c r="AH1325" s="39">
        <v>44669</v>
      </c>
      <c r="AI1325" s="53" t="s">
        <v>6975</v>
      </c>
      <c r="AJ1325" s="75" t="s">
        <v>8325</v>
      </c>
      <c r="AK1325" s="53">
        <v>44673</v>
      </c>
    </row>
    <row r="1326" spans="1:37">
      <c r="A1326" s="104" t="s">
        <v>6967</v>
      </c>
      <c r="B1326" s="23" t="s">
        <v>6968</v>
      </c>
      <c r="C1326" s="140">
        <v>44662</v>
      </c>
      <c r="D1326" s="23" t="s">
        <v>729</v>
      </c>
      <c r="E1326" s="23" t="s">
        <v>752</v>
      </c>
      <c r="F1326" s="23" t="s">
        <v>57</v>
      </c>
      <c r="G1326" s="23" t="s">
        <v>57</v>
      </c>
      <c r="H1326" s="23" t="s">
        <v>6969</v>
      </c>
      <c r="I1326" s="23" t="s">
        <v>6969</v>
      </c>
      <c r="J1326" s="140">
        <v>44658</v>
      </c>
      <c r="K1326" s="23" t="s">
        <v>7936</v>
      </c>
      <c r="L1326" s="140">
        <v>44718</v>
      </c>
      <c r="P1326" s="23" t="s">
        <v>6970</v>
      </c>
      <c r="Q1326" s="140" t="s">
        <v>6971</v>
      </c>
      <c r="S1326" s="23" t="s">
        <v>183</v>
      </c>
      <c r="T1326" s="23" t="s">
        <v>305</v>
      </c>
      <c r="U1326" s="23" t="s">
        <v>305</v>
      </c>
      <c r="V1326" s="23" t="s">
        <v>233</v>
      </c>
      <c r="W1326" s="23" t="s">
        <v>143</v>
      </c>
      <c r="X1326" s="23">
        <v>71652.5</v>
      </c>
      <c r="Y1326" s="23">
        <v>72176</v>
      </c>
      <c r="Z1326" s="23">
        <v>71826.62</v>
      </c>
      <c r="AA1326" s="23">
        <v>65336.62</v>
      </c>
      <c r="AB1326" s="23" t="s">
        <v>7586</v>
      </c>
      <c r="AC1326" s="23" t="s">
        <v>6973</v>
      </c>
      <c r="AD1326" s="23">
        <v>0</v>
      </c>
      <c r="AE1326" s="23">
        <v>5</v>
      </c>
      <c r="AF1326" s="23" t="s">
        <v>5478</v>
      </c>
      <c r="AG1326" s="23" t="s">
        <v>792</v>
      </c>
      <c r="AH1326" s="39">
        <v>44670</v>
      </c>
    </row>
    <row r="1327" spans="1:37">
      <c r="A1327" s="75" t="s">
        <v>6974</v>
      </c>
      <c r="B1327" s="23" t="s">
        <v>6976</v>
      </c>
      <c r="C1327" s="140">
        <v>44661</v>
      </c>
      <c r="D1327" s="23" t="s">
        <v>729</v>
      </c>
      <c r="E1327" s="23" t="s">
        <v>3773</v>
      </c>
      <c r="F1327" s="23" t="s">
        <v>6957</v>
      </c>
      <c r="G1327" s="23" t="s">
        <v>3469</v>
      </c>
      <c r="H1327" s="23" t="s">
        <v>6977</v>
      </c>
      <c r="I1327" s="23" t="s">
        <v>6977</v>
      </c>
      <c r="J1327" s="140">
        <v>44641</v>
      </c>
      <c r="T1327" s="23" t="s">
        <v>12031</v>
      </c>
      <c r="U1327" s="23" t="s">
        <v>12031</v>
      </c>
      <c r="V1327" s="23" t="s">
        <v>299</v>
      </c>
      <c r="W1327" s="23" t="s">
        <v>6978</v>
      </c>
      <c r="AB1327" s="23" t="s">
        <v>8561</v>
      </c>
      <c r="AC1327" s="23">
        <v>20</v>
      </c>
      <c r="AD1327" s="118">
        <v>0</v>
      </c>
      <c r="AE1327" s="118">
        <v>0</v>
      </c>
      <c r="AF1327" s="23" t="s">
        <v>8561</v>
      </c>
      <c r="AG1327" s="23" t="s">
        <v>6034</v>
      </c>
      <c r="AH1327" s="39">
        <v>44669</v>
      </c>
      <c r="AI1327" s="53" t="s">
        <v>6975</v>
      </c>
      <c r="AJ1327" s="75" t="s">
        <v>8326</v>
      </c>
      <c r="AK1327" s="53">
        <v>44673</v>
      </c>
    </row>
    <row r="1328" spans="1:37" ht="64">
      <c r="A1328" s="75" t="s">
        <v>6979</v>
      </c>
      <c r="B1328" s="23" t="s">
        <v>6980</v>
      </c>
      <c r="C1328" s="140">
        <v>44662</v>
      </c>
      <c r="D1328" s="23" t="s">
        <v>729</v>
      </c>
      <c r="E1328" s="23" t="s">
        <v>752</v>
      </c>
      <c r="F1328" s="23" t="s">
        <v>4899</v>
      </c>
      <c r="G1328" s="23" t="s">
        <v>1724</v>
      </c>
      <c r="P1328" s="23" t="s">
        <v>6985</v>
      </c>
      <c r="Q1328" s="140" t="s">
        <v>6889</v>
      </c>
      <c r="T1328" s="23" t="s">
        <v>12031</v>
      </c>
      <c r="U1328" s="23" t="s">
        <v>12031</v>
      </c>
      <c r="V1328" s="23" t="s">
        <v>298</v>
      </c>
      <c r="W1328" s="23" t="s">
        <v>6628</v>
      </c>
      <c r="Y1328" s="23">
        <v>34700</v>
      </c>
      <c r="Z1328" s="23">
        <v>136</v>
      </c>
      <c r="AB1328" s="19" t="s">
        <v>6981</v>
      </c>
      <c r="AC1328" s="23" t="s">
        <v>6982</v>
      </c>
      <c r="AD1328" s="23">
        <v>0</v>
      </c>
      <c r="AE1328" s="23">
        <v>4</v>
      </c>
      <c r="AF1328" s="19" t="s">
        <v>3214</v>
      </c>
      <c r="AG1328" s="23" t="s">
        <v>637</v>
      </c>
      <c r="AH1328" s="39">
        <v>44670</v>
      </c>
    </row>
    <row r="1329" spans="1:34">
      <c r="A1329" s="75" t="s">
        <v>6983</v>
      </c>
      <c r="B1329" s="23" t="s">
        <v>6984</v>
      </c>
      <c r="C1329" s="140">
        <v>44661</v>
      </c>
      <c r="F1329" s="23" t="s">
        <v>4899</v>
      </c>
      <c r="G1329" s="23" t="s">
        <v>1724</v>
      </c>
      <c r="P1329" s="23" t="s">
        <v>6985</v>
      </c>
      <c r="Q1329" s="140" t="s">
        <v>6889</v>
      </c>
      <c r="W1329" s="23" t="s">
        <v>6431</v>
      </c>
      <c r="Y1329" s="23">
        <v>21200</v>
      </c>
      <c r="Z1329" s="23">
        <v>68</v>
      </c>
      <c r="AB1329" s="23" t="s">
        <v>6990</v>
      </c>
      <c r="AC1329" s="23" t="s">
        <v>6991</v>
      </c>
      <c r="AF1329" s="23" t="s">
        <v>3297</v>
      </c>
      <c r="AG1329" s="23" t="s">
        <v>665</v>
      </c>
      <c r="AH1329" s="39">
        <v>44670</v>
      </c>
    </row>
    <row r="1330" spans="1:34">
      <c r="A1330" s="75" t="s">
        <v>6986</v>
      </c>
      <c r="B1330" s="23" t="s">
        <v>6987</v>
      </c>
      <c r="C1330" s="140">
        <v>44657</v>
      </c>
      <c r="F1330" s="23" t="s">
        <v>4899</v>
      </c>
      <c r="G1330" s="23" t="s">
        <v>1724</v>
      </c>
      <c r="P1330" s="23" t="s">
        <v>6988</v>
      </c>
      <c r="Q1330" s="140" t="s">
        <v>6989</v>
      </c>
      <c r="W1330" s="23" t="s">
        <v>498</v>
      </c>
      <c r="Y1330" s="123">
        <v>11621.177</v>
      </c>
      <c r="Z1330" s="23">
        <v>50</v>
      </c>
      <c r="AB1330" s="23" t="s">
        <v>6992</v>
      </c>
      <c r="AC1330" s="23" t="s">
        <v>6993</v>
      </c>
      <c r="AF1330" s="23" t="s">
        <v>3297</v>
      </c>
      <c r="AG1330" s="23" t="s">
        <v>5518</v>
      </c>
      <c r="AH1330" s="39">
        <v>44670</v>
      </c>
    </row>
    <row r="1331" spans="1:34">
      <c r="A1331" s="75" t="s">
        <v>6994</v>
      </c>
      <c r="B1331" s="23" t="s">
        <v>6995</v>
      </c>
      <c r="C1331" s="140">
        <v>44661</v>
      </c>
      <c r="D1331" s="23" t="s">
        <v>729</v>
      </c>
      <c r="E1331" s="23" t="s">
        <v>752</v>
      </c>
      <c r="F1331" s="23" t="s">
        <v>4899</v>
      </c>
      <c r="G1331" s="23" t="s">
        <v>1724</v>
      </c>
      <c r="P1331" s="23" t="s">
        <v>6985</v>
      </c>
      <c r="Q1331" s="140" t="s">
        <v>6889</v>
      </c>
      <c r="T1331" s="23" t="s">
        <v>12031</v>
      </c>
      <c r="U1331" s="23" t="s">
        <v>12031</v>
      </c>
      <c r="V1331" s="23" t="s">
        <v>298</v>
      </c>
      <c r="W1331" s="23" t="s">
        <v>6431</v>
      </c>
      <c r="Y1331" s="23">
        <v>17890</v>
      </c>
      <c r="Z1331" s="23">
        <v>68</v>
      </c>
      <c r="AB1331" s="23" t="s">
        <v>6996</v>
      </c>
      <c r="AC1331" s="23" t="s">
        <v>6997</v>
      </c>
      <c r="AD1331" s="23">
        <v>0</v>
      </c>
      <c r="AE1331" s="23">
        <v>4</v>
      </c>
      <c r="AF1331" s="23" t="s">
        <v>3297</v>
      </c>
      <c r="AG1331" s="23" t="s">
        <v>665</v>
      </c>
      <c r="AH1331" s="39">
        <v>44670</v>
      </c>
    </row>
    <row r="1332" spans="1:34" ht="64">
      <c r="A1332" s="75" t="s">
        <v>6998</v>
      </c>
      <c r="B1332" s="23" t="s">
        <v>6999</v>
      </c>
      <c r="C1332" s="140">
        <v>44661</v>
      </c>
      <c r="F1332" s="23" t="s">
        <v>4899</v>
      </c>
      <c r="G1332" s="23" t="s">
        <v>1724</v>
      </c>
      <c r="P1332" s="23" t="s">
        <v>6985</v>
      </c>
      <c r="Q1332" s="140" t="s">
        <v>6889</v>
      </c>
      <c r="W1332" s="23" t="s">
        <v>6651</v>
      </c>
      <c r="Y1332" s="23">
        <v>37000</v>
      </c>
      <c r="Z1332" s="23">
        <v>136</v>
      </c>
      <c r="AB1332" s="19" t="s">
        <v>7000</v>
      </c>
      <c r="AC1332" s="23" t="s">
        <v>7001</v>
      </c>
      <c r="AF1332" s="19" t="s">
        <v>3214</v>
      </c>
      <c r="AG1332" s="23" t="s">
        <v>1585</v>
      </c>
      <c r="AH1332" s="39">
        <v>44670</v>
      </c>
    </row>
    <row r="1333" spans="1:34">
      <c r="A1333" s="75" t="s">
        <v>7005</v>
      </c>
      <c r="B1333" s="23" t="s">
        <v>7002</v>
      </c>
      <c r="C1333" s="140">
        <v>44661</v>
      </c>
      <c r="F1333" s="23" t="s">
        <v>4899</v>
      </c>
      <c r="G1333" s="23" t="s">
        <v>1724</v>
      </c>
      <c r="P1333" s="23" t="s">
        <v>6985</v>
      </c>
      <c r="Q1333" s="140" t="s">
        <v>6889</v>
      </c>
      <c r="W1333" s="23" t="s">
        <v>7003</v>
      </c>
      <c r="Y1333" s="23">
        <v>16500</v>
      </c>
      <c r="Z1333" s="23">
        <v>68</v>
      </c>
      <c r="AB1333" s="23" t="s">
        <v>7004</v>
      </c>
      <c r="AC1333" s="23" t="s">
        <v>6877</v>
      </c>
      <c r="AF1333" s="23" t="s">
        <v>3297</v>
      </c>
      <c r="AG1333" s="23" t="s">
        <v>6573</v>
      </c>
      <c r="AH1333" s="39">
        <v>44670</v>
      </c>
    </row>
    <row r="1334" spans="1:34">
      <c r="A1334" s="75" t="s">
        <v>7006</v>
      </c>
      <c r="B1334" s="23" t="s">
        <v>7007</v>
      </c>
      <c r="C1334" s="140">
        <v>44661</v>
      </c>
      <c r="F1334" s="23" t="s">
        <v>4899</v>
      </c>
      <c r="G1334" s="23" t="s">
        <v>1724</v>
      </c>
      <c r="P1334" s="23" t="s">
        <v>6985</v>
      </c>
      <c r="Q1334" s="140" t="s">
        <v>6889</v>
      </c>
      <c r="T1334" s="23" t="s">
        <v>12031</v>
      </c>
      <c r="U1334" s="23" t="s">
        <v>12031</v>
      </c>
      <c r="V1334" s="23" t="s">
        <v>298</v>
      </c>
      <c r="W1334" s="23" t="s">
        <v>6866</v>
      </c>
      <c r="Y1334" s="23">
        <v>14500</v>
      </c>
      <c r="Z1334" s="23">
        <v>68</v>
      </c>
      <c r="AB1334" s="23" t="s">
        <v>7008</v>
      </c>
      <c r="AC1334" s="23" t="s">
        <v>7009</v>
      </c>
      <c r="AD1334" s="23">
        <v>0</v>
      </c>
      <c r="AE1334" s="23">
        <v>3</v>
      </c>
      <c r="AF1334" s="23" t="s">
        <v>3297</v>
      </c>
      <c r="AG1334" s="23" t="s">
        <v>666</v>
      </c>
      <c r="AH1334" s="39">
        <v>44670</v>
      </c>
    </row>
    <row r="1335" spans="1:34">
      <c r="A1335" s="75" t="s">
        <v>7010</v>
      </c>
      <c r="B1335" s="23" t="s">
        <v>7011</v>
      </c>
      <c r="C1335" s="140">
        <v>44661</v>
      </c>
      <c r="F1335" s="23" t="s">
        <v>7082</v>
      </c>
      <c r="G1335" s="23" t="s">
        <v>1724</v>
      </c>
      <c r="P1335" s="23" t="s">
        <v>6985</v>
      </c>
      <c r="Q1335" s="140" t="s">
        <v>6889</v>
      </c>
      <c r="W1335" s="23" t="s">
        <v>6875</v>
      </c>
      <c r="Y1335" s="23">
        <v>20000</v>
      </c>
      <c r="Z1335" s="23">
        <v>68</v>
      </c>
      <c r="AB1335" s="23" t="s">
        <v>7012</v>
      </c>
      <c r="AC1335" s="23" t="s">
        <v>6877</v>
      </c>
      <c r="AF1335" s="23" t="s">
        <v>3297</v>
      </c>
      <c r="AG1335" s="23" t="s">
        <v>666</v>
      </c>
      <c r="AH1335" s="39">
        <v>44670</v>
      </c>
    </row>
    <row r="1336" spans="1:34">
      <c r="A1336" s="75" t="s">
        <v>7013</v>
      </c>
      <c r="B1336" s="23" t="s">
        <v>7014</v>
      </c>
      <c r="C1336" s="140">
        <v>44661</v>
      </c>
      <c r="F1336" s="23" t="s">
        <v>7082</v>
      </c>
      <c r="G1336" s="23" t="s">
        <v>1724</v>
      </c>
      <c r="P1336" s="23" t="s">
        <v>6985</v>
      </c>
      <c r="Q1336" s="140" t="s">
        <v>6889</v>
      </c>
      <c r="W1336" s="23" t="s">
        <v>6875</v>
      </c>
      <c r="Y1336" s="23">
        <v>17500</v>
      </c>
      <c r="Z1336" s="23">
        <v>68</v>
      </c>
      <c r="AB1336" s="23" t="s">
        <v>7015</v>
      </c>
      <c r="AC1336" s="23" t="s">
        <v>7016</v>
      </c>
      <c r="AF1336" s="23" t="s">
        <v>3297</v>
      </c>
      <c r="AG1336" s="23" t="s">
        <v>1585</v>
      </c>
      <c r="AH1336" s="39">
        <v>44670</v>
      </c>
    </row>
    <row r="1337" spans="1:34" ht="48">
      <c r="A1337" s="75" t="s">
        <v>7017</v>
      </c>
      <c r="B1337" s="23">
        <v>216088026</v>
      </c>
      <c r="C1337" s="140">
        <v>44657</v>
      </c>
      <c r="D1337" s="23" t="s">
        <v>729</v>
      </c>
      <c r="E1337" s="23" t="s">
        <v>752</v>
      </c>
      <c r="F1337" s="23" t="s">
        <v>5697</v>
      </c>
      <c r="G1337" s="23" t="s">
        <v>5698</v>
      </c>
      <c r="P1337" s="23" t="s">
        <v>7018</v>
      </c>
      <c r="Q1337" s="140" t="s">
        <v>6889</v>
      </c>
      <c r="T1337" s="23" t="s">
        <v>12031</v>
      </c>
      <c r="U1337" s="23" t="s">
        <v>12031</v>
      </c>
      <c r="V1337" s="23" t="s">
        <v>298</v>
      </c>
      <c r="W1337" s="29" t="s">
        <v>7019</v>
      </c>
      <c r="Y1337" s="23">
        <v>6000</v>
      </c>
      <c r="Z1337" s="23">
        <v>40</v>
      </c>
      <c r="AB1337" s="23" t="s">
        <v>7020</v>
      </c>
      <c r="AC1337" s="23" t="s">
        <v>123</v>
      </c>
      <c r="AD1337" s="23">
        <v>0</v>
      </c>
      <c r="AE1337" s="23">
        <v>1</v>
      </c>
      <c r="AF1337" s="23" t="s">
        <v>6727</v>
      </c>
      <c r="AG1337" s="23" t="s">
        <v>7021</v>
      </c>
      <c r="AH1337" s="39">
        <v>44670</v>
      </c>
    </row>
    <row r="1338" spans="1:34" ht="64">
      <c r="A1338" s="75" t="s">
        <v>7022</v>
      </c>
      <c r="B1338" s="23" t="s">
        <v>7023</v>
      </c>
      <c r="C1338" s="140">
        <v>44635</v>
      </c>
      <c r="D1338" s="23" t="s">
        <v>729</v>
      </c>
      <c r="E1338" s="23" t="s">
        <v>752</v>
      </c>
      <c r="F1338" s="23" t="s">
        <v>4899</v>
      </c>
      <c r="G1338" s="23" t="s">
        <v>1724</v>
      </c>
      <c r="P1338" s="23" t="s">
        <v>7024</v>
      </c>
      <c r="Q1338" s="140" t="s">
        <v>7025</v>
      </c>
      <c r="T1338" s="23" t="s">
        <v>12031</v>
      </c>
      <c r="U1338" s="23" t="s">
        <v>12031</v>
      </c>
      <c r="V1338" s="23" t="s">
        <v>298</v>
      </c>
      <c r="W1338" s="23" t="s">
        <v>532</v>
      </c>
      <c r="Y1338" s="23">
        <v>16990</v>
      </c>
      <c r="Z1338" s="23">
        <v>136</v>
      </c>
      <c r="AB1338" s="19" t="s">
        <v>7026</v>
      </c>
      <c r="AC1338" s="23" t="s">
        <v>7027</v>
      </c>
      <c r="AD1338" s="23">
        <v>0</v>
      </c>
      <c r="AE1338" s="23">
        <v>4</v>
      </c>
      <c r="AF1338" s="23" t="s">
        <v>3297</v>
      </c>
      <c r="AG1338" s="23" t="s">
        <v>7028</v>
      </c>
      <c r="AH1338" s="39">
        <v>44671</v>
      </c>
    </row>
    <row r="1339" spans="1:34">
      <c r="A1339" s="75" t="s">
        <v>7029</v>
      </c>
      <c r="B1339" s="23" t="s">
        <v>7030</v>
      </c>
      <c r="C1339" s="140">
        <v>44651</v>
      </c>
      <c r="F1339" s="23" t="s">
        <v>4899</v>
      </c>
      <c r="G1339" s="23" t="s">
        <v>1724</v>
      </c>
      <c r="P1339" s="23" t="s">
        <v>7031</v>
      </c>
      <c r="Q1339" s="140" t="s">
        <v>7025</v>
      </c>
      <c r="W1339" s="23" t="s">
        <v>6359</v>
      </c>
      <c r="Y1339" s="38">
        <v>17500</v>
      </c>
      <c r="Z1339" s="23">
        <v>68</v>
      </c>
      <c r="AB1339" s="23" t="s">
        <v>7032</v>
      </c>
      <c r="AC1339" s="23" t="s">
        <v>7033</v>
      </c>
      <c r="AF1339" s="23" t="s">
        <v>6122</v>
      </c>
      <c r="AG1339" s="23" t="s">
        <v>637</v>
      </c>
      <c r="AH1339" s="39">
        <v>44671</v>
      </c>
    </row>
    <row r="1340" spans="1:34" ht="64">
      <c r="A1340" s="75" t="s">
        <v>7034</v>
      </c>
      <c r="B1340" s="23" t="s">
        <v>7035</v>
      </c>
      <c r="C1340" s="140">
        <v>44666</v>
      </c>
      <c r="F1340" s="23" t="s">
        <v>4899</v>
      </c>
      <c r="G1340" s="23" t="s">
        <v>1724</v>
      </c>
      <c r="P1340" s="23" t="s">
        <v>7031</v>
      </c>
      <c r="Q1340" s="140" t="s">
        <v>7025</v>
      </c>
      <c r="W1340" s="23" t="s">
        <v>6359</v>
      </c>
      <c r="Y1340" s="38">
        <v>39660</v>
      </c>
      <c r="Z1340" s="23">
        <v>136</v>
      </c>
      <c r="AB1340" s="19" t="s">
        <v>7036</v>
      </c>
      <c r="AC1340" s="23" t="s">
        <v>7037</v>
      </c>
      <c r="AF1340" s="19" t="s">
        <v>6263</v>
      </c>
      <c r="AG1340" s="23" t="s">
        <v>666</v>
      </c>
      <c r="AH1340" s="39">
        <v>44671</v>
      </c>
    </row>
    <row r="1341" spans="1:34">
      <c r="A1341" s="75" t="s">
        <v>7038</v>
      </c>
      <c r="B1341" s="23" t="s">
        <v>7039</v>
      </c>
      <c r="C1341" s="140">
        <v>44668</v>
      </c>
      <c r="D1341" s="23" t="s">
        <v>729</v>
      </c>
      <c r="E1341" s="23" t="s">
        <v>2919</v>
      </c>
      <c r="F1341" s="23" t="s">
        <v>4899</v>
      </c>
      <c r="G1341" s="23" t="s">
        <v>1724</v>
      </c>
      <c r="Q1341" s="140" t="s">
        <v>7040</v>
      </c>
      <c r="T1341" s="23" t="s">
        <v>3715</v>
      </c>
      <c r="U1341" s="23" t="s">
        <v>3715</v>
      </c>
      <c r="V1341" s="23" t="s">
        <v>298</v>
      </c>
      <c r="W1341" s="23" t="s">
        <v>6707</v>
      </c>
      <c r="Y1341" s="38">
        <v>9075</v>
      </c>
      <c r="Z1341" s="23">
        <v>68</v>
      </c>
      <c r="AB1341" s="23" t="s">
        <v>7041</v>
      </c>
      <c r="AC1341" s="23" t="s">
        <v>7042</v>
      </c>
      <c r="AD1341" s="23">
        <v>0</v>
      </c>
      <c r="AE1341" s="23">
        <v>1</v>
      </c>
      <c r="AF1341" s="23" t="s">
        <v>3297</v>
      </c>
      <c r="AG1341" s="23" t="s">
        <v>637</v>
      </c>
      <c r="AH1341" s="39">
        <v>44671</v>
      </c>
    </row>
    <row r="1342" spans="1:34">
      <c r="A1342" s="75" t="s">
        <v>7043</v>
      </c>
      <c r="B1342" s="23" t="s">
        <v>7044</v>
      </c>
      <c r="C1342" s="140">
        <v>44651</v>
      </c>
      <c r="D1342" s="23" t="s">
        <v>729</v>
      </c>
      <c r="E1342" s="23" t="s">
        <v>752</v>
      </c>
      <c r="F1342" s="23" t="s">
        <v>4899</v>
      </c>
      <c r="G1342" s="23" t="s">
        <v>1724</v>
      </c>
      <c r="P1342" s="23" t="s">
        <v>7031</v>
      </c>
      <c r="Q1342" s="140" t="s">
        <v>7025</v>
      </c>
      <c r="T1342" s="23" t="s">
        <v>12031</v>
      </c>
      <c r="U1342" s="23" t="s">
        <v>12031</v>
      </c>
      <c r="V1342" s="23" t="s">
        <v>298</v>
      </c>
      <c r="W1342" s="23" t="s">
        <v>6359</v>
      </c>
      <c r="Y1342" s="38">
        <v>22065</v>
      </c>
      <c r="Z1342" s="23">
        <v>68</v>
      </c>
      <c r="AB1342" s="23" t="s">
        <v>7045</v>
      </c>
      <c r="AC1342" s="23" t="s">
        <v>7046</v>
      </c>
      <c r="AD1342" s="23">
        <v>0</v>
      </c>
      <c r="AE1342" s="23">
        <v>3</v>
      </c>
      <c r="AF1342" s="23" t="s">
        <v>6122</v>
      </c>
      <c r="AG1342" s="23" t="s">
        <v>637</v>
      </c>
      <c r="AH1342" s="39">
        <v>44671</v>
      </c>
    </row>
    <row r="1343" spans="1:34" ht="48">
      <c r="A1343" s="75" t="s">
        <v>7047</v>
      </c>
      <c r="B1343" s="23" t="s">
        <v>7048</v>
      </c>
      <c r="C1343" s="140">
        <v>44667</v>
      </c>
      <c r="F1343" s="23" t="s">
        <v>4899</v>
      </c>
      <c r="G1343" s="23" t="s">
        <v>1724</v>
      </c>
      <c r="P1343" s="23" t="s">
        <v>7049</v>
      </c>
      <c r="Q1343" s="140" t="s">
        <v>7025</v>
      </c>
      <c r="W1343" s="23" t="s">
        <v>6431</v>
      </c>
      <c r="Y1343" s="23">
        <v>44100</v>
      </c>
      <c r="Z1343" s="23">
        <v>136</v>
      </c>
      <c r="AB1343" s="19" t="s">
        <v>7051</v>
      </c>
      <c r="AC1343" s="23" t="s">
        <v>7050</v>
      </c>
      <c r="AF1343" s="19" t="s">
        <v>3214</v>
      </c>
      <c r="AG1343" s="23" t="s">
        <v>665</v>
      </c>
      <c r="AH1343" s="39">
        <v>44671</v>
      </c>
    </row>
    <row r="1344" spans="1:34">
      <c r="A1344" s="75" t="s">
        <v>7052</v>
      </c>
      <c r="B1344" s="23" t="s">
        <v>7053</v>
      </c>
      <c r="C1344" s="140">
        <v>44667</v>
      </c>
      <c r="D1344" s="23" t="s">
        <v>729</v>
      </c>
      <c r="E1344" s="23" t="s">
        <v>752</v>
      </c>
      <c r="F1344" s="23" t="s">
        <v>4899</v>
      </c>
      <c r="G1344" s="23" t="s">
        <v>1724</v>
      </c>
      <c r="P1344" s="23" t="s">
        <v>7049</v>
      </c>
      <c r="Q1344" s="140" t="s">
        <v>7025</v>
      </c>
      <c r="T1344" s="23" t="s">
        <v>12031</v>
      </c>
      <c r="U1344" s="23" t="s">
        <v>12031</v>
      </c>
      <c r="V1344" s="23" t="s">
        <v>298</v>
      </c>
      <c r="W1344" s="23" t="s">
        <v>6431</v>
      </c>
      <c r="Y1344" s="23">
        <v>22950</v>
      </c>
      <c r="Z1344" s="23">
        <v>68</v>
      </c>
      <c r="AB1344" s="23" t="s">
        <v>7054</v>
      </c>
      <c r="AC1344" s="23" t="s">
        <v>7055</v>
      </c>
      <c r="AD1344" s="23">
        <v>0</v>
      </c>
      <c r="AE1344" s="23">
        <v>2</v>
      </c>
      <c r="AF1344" s="23" t="s">
        <v>3297</v>
      </c>
      <c r="AG1344" s="23" t="s">
        <v>665</v>
      </c>
      <c r="AH1344" s="39">
        <v>44671</v>
      </c>
    </row>
    <row r="1345" spans="1:34">
      <c r="A1345" s="75" t="s">
        <v>7056</v>
      </c>
      <c r="B1345" s="23" t="s">
        <v>7057</v>
      </c>
      <c r="F1345" s="23" t="s">
        <v>4899</v>
      </c>
      <c r="G1345" s="23" t="s">
        <v>1724</v>
      </c>
      <c r="P1345" s="23" t="s">
        <v>7049</v>
      </c>
      <c r="Q1345" s="140" t="s">
        <v>7025</v>
      </c>
      <c r="W1345" s="23" t="s">
        <v>6431</v>
      </c>
      <c r="Y1345" s="23">
        <v>21600</v>
      </c>
      <c r="Z1345" s="23">
        <v>68</v>
      </c>
      <c r="AB1345" s="23" t="s">
        <v>7058</v>
      </c>
      <c r="AC1345" s="23" t="s">
        <v>7059</v>
      </c>
      <c r="AF1345" s="23" t="s">
        <v>3297</v>
      </c>
      <c r="AG1345" s="23" t="s">
        <v>665</v>
      </c>
      <c r="AH1345" s="39">
        <v>44671</v>
      </c>
    </row>
    <row r="1346" spans="1:34">
      <c r="A1346" s="75" t="s">
        <v>7061</v>
      </c>
      <c r="B1346" s="23" t="s">
        <v>7062</v>
      </c>
      <c r="C1346" s="140">
        <v>44662</v>
      </c>
      <c r="D1346" s="23" t="s">
        <v>729</v>
      </c>
      <c r="E1346" s="23" t="s">
        <v>752</v>
      </c>
      <c r="F1346" s="23" t="s">
        <v>4899</v>
      </c>
      <c r="G1346" s="23" t="s">
        <v>1724</v>
      </c>
      <c r="P1346" s="23" t="s">
        <v>6985</v>
      </c>
      <c r="Q1346" s="140" t="s">
        <v>6889</v>
      </c>
      <c r="T1346" s="23" t="s">
        <v>12031</v>
      </c>
      <c r="U1346" s="23" t="s">
        <v>12031</v>
      </c>
      <c r="V1346" s="23" t="s">
        <v>298</v>
      </c>
      <c r="W1346" s="23" t="s">
        <v>2280</v>
      </c>
      <c r="Y1346" s="23">
        <v>8050</v>
      </c>
      <c r="Z1346" s="23">
        <v>68</v>
      </c>
      <c r="AB1346" s="23" t="s">
        <v>7063</v>
      </c>
      <c r="AC1346" s="23" t="s">
        <v>7064</v>
      </c>
      <c r="AD1346" s="23">
        <v>0</v>
      </c>
      <c r="AE1346" s="23">
        <v>5</v>
      </c>
      <c r="AF1346" s="23" t="s">
        <v>3297</v>
      </c>
      <c r="AG1346" s="23" t="s">
        <v>666</v>
      </c>
      <c r="AH1346" s="39">
        <v>44671</v>
      </c>
    </row>
    <row r="1347" spans="1:34" ht="96">
      <c r="A1347" s="75" t="s">
        <v>7065</v>
      </c>
      <c r="B1347" s="23" t="s">
        <v>7066</v>
      </c>
      <c r="C1347" s="140">
        <v>44667</v>
      </c>
      <c r="F1347" s="23" t="s">
        <v>4899</v>
      </c>
      <c r="G1347" s="23" t="s">
        <v>1724</v>
      </c>
      <c r="P1347" s="23" t="s">
        <v>7049</v>
      </c>
      <c r="Q1347" s="140" t="s">
        <v>7025</v>
      </c>
      <c r="W1347" s="23" t="s">
        <v>6431</v>
      </c>
      <c r="Y1347" s="23">
        <v>68210</v>
      </c>
      <c r="Z1347" s="23">
        <v>204</v>
      </c>
      <c r="AB1347" s="19" t="s">
        <v>7067</v>
      </c>
      <c r="AC1347" s="23" t="s">
        <v>7068</v>
      </c>
      <c r="AF1347" s="19" t="s">
        <v>6206</v>
      </c>
      <c r="AG1347" s="23" t="s">
        <v>665</v>
      </c>
      <c r="AH1347" s="39">
        <v>44671</v>
      </c>
    </row>
    <row r="1348" spans="1:34">
      <c r="A1348" s="75" t="s">
        <v>7069</v>
      </c>
      <c r="B1348" s="23" t="s">
        <v>7070</v>
      </c>
      <c r="C1348" s="140">
        <v>44659</v>
      </c>
      <c r="F1348" s="23" t="s">
        <v>4899</v>
      </c>
      <c r="G1348" s="23" t="s">
        <v>1724</v>
      </c>
      <c r="P1348" s="23" t="s">
        <v>7031</v>
      </c>
      <c r="Q1348" s="140" t="s">
        <v>7025</v>
      </c>
      <c r="W1348" s="23" t="s">
        <v>6359</v>
      </c>
      <c r="Y1348" s="38">
        <v>22481</v>
      </c>
      <c r="Z1348" s="23">
        <v>68</v>
      </c>
      <c r="AB1348" s="23" t="s">
        <v>7071</v>
      </c>
      <c r="AC1348" s="23" t="s">
        <v>7072</v>
      </c>
      <c r="AF1348" s="23" t="s">
        <v>6122</v>
      </c>
      <c r="AG1348" s="23" t="s">
        <v>637</v>
      </c>
      <c r="AH1348" s="39">
        <v>44671</v>
      </c>
    </row>
    <row r="1349" spans="1:34">
      <c r="A1349" s="75" t="s">
        <v>7073</v>
      </c>
      <c r="B1349" s="23" t="s">
        <v>7074</v>
      </c>
      <c r="C1349" s="140">
        <v>44668</v>
      </c>
      <c r="D1349" s="23" t="s">
        <v>729</v>
      </c>
      <c r="E1349" s="23" t="s">
        <v>2919</v>
      </c>
      <c r="F1349" s="23" t="s">
        <v>4899</v>
      </c>
      <c r="G1349" s="23" t="s">
        <v>1724</v>
      </c>
      <c r="Q1349" s="140" t="s">
        <v>7075</v>
      </c>
      <c r="T1349" s="23" t="s">
        <v>3715</v>
      </c>
      <c r="U1349" s="23" t="s">
        <v>3715</v>
      </c>
      <c r="V1349" s="23" t="s">
        <v>298</v>
      </c>
      <c r="W1349" s="23" t="s">
        <v>6707</v>
      </c>
      <c r="Y1349" s="38">
        <v>9335</v>
      </c>
      <c r="Z1349" s="23">
        <v>68</v>
      </c>
      <c r="AB1349" s="23" t="s">
        <v>7076</v>
      </c>
      <c r="AC1349" s="23" t="s">
        <v>7077</v>
      </c>
      <c r="AD1349" s="23">
        <v>0</v>
      </c>
      <c r="AE1349" s="23">
        <v>2</v>
      </c>
      <c r="AF1349" s="23" t="s">
        <v>3297</v>
      </c>
      <c r="AG1349" s="23" t="s">
        <v>637</v>
      </c>
      <c r="AH1349" s="39">
        <v>44672</v>
      </c>
    </row>
    <row r="1350" spans="1:34">
      <c r="A1350" s="75" t="s">
        <v>7078</v>
      </c>
      <c r="B1350" s="23" t="s">
        <v>7079</v>
      </c>
      <c r="C1350" s="140">
        <v>44668</v>
      </c>
      <c r="F1350" s="23" t="s">
        <v>7082</v>
      </c>
      <c r="G1350" s="23" t="s">
        <v>1724</v>
      </c>
      <c r="Q1350" s="140" t="s">
        <v>7075</v>
      </c>
      <c r="W1350" s="23" t="s">
        <v>7080</v>
      </c>
      <c r="Y1350" s="38">
        <v>15250</v>
      </c>
      <c r="Z1350" s="23">
        <v>68.5</v>
      </c>
      <c r="AB1350" s="23" t="s">
        <v>7081</v>
      </c>
      <c r="AC1350" s="23" t="s">
        <v>6296</v>
      </c>
      <c r="AF1350" s="23" t="s">
        <v>3260</v>
      </c>
      <c r="AG1350" s="23" t="s">
        <v>637</v>
      </c>
      <c r="AH1350" s="39">
        <v>44672</v>
      </c>
    </row>
    <row r="1351" spans="1:34" ht="48">
      <c r="A1351" s="75" t="s">
        <v>7084</v>
      </c>
      <c r="B1351" s="23" t="s">
        <v>7085</v>
      </c>
      <c r="C1351" s="140">
        <v>44662</v>
      </c>
      <c r="D1351" s="23" t="s">
        <v>729</v>
      </c>
      <c r="E1351" s="23" t="s">
        <v>752</v>
      </c>
      <c r="F1351" s="23" t="s">
        <v>4899</v>
      </c>
      <c r="G1351" s="23" t="s">
        <v>1724</v>
      </c>
      <c r="P1351" s="23" t="s">
        <v>6985</v>
      </c>
      <c r="Q1351" s="140" t="s">
        <v>6889</v>
      </c>
      <c r="T1351" s="23" t="s">
        <v>12031</v>
      </c>
      <c r="U1351" s="23" t="s">
        <v>12031</v>
      </c>
      <c r="V1351" s="23" t="s">
        <v>298</v>
      </c>
      <c r="W1351" s="23" t="s">
        <v>6457</v>
      </c>
      <c r="Y1351" s="23">
        <v>38410</v>
      </c>
      <c r="Z1351" s="23">
        <v>133</v>
      </c>
      <c r="AB1351" s="19" t="s">
        <v>7086</v>
      </c>
      <c r="AC1351" s="23" t="s">
        <v>7087</v>
      </c>
      <c r="AD1351" s="23">
        <v>0</v>
      </c>
      <c r="AE1351" s="23">
        <v>3</v>
      </c>
      <c r="AF1351" s="19" t="s">
        <v>3214</v>
      </c>
      <c r="AG1351" s="23" t="s">
        <v>637</v>
      </c>
      <c r="AH1351" s="39">
        <v>44673</v>
      </c>
    </row>
    <row r="1352" spans="1:34">
      <c r="A1352" s="75" t="s">
        <v>7088</v>
      </c>
      <c r="B1352" s="23" t="s">
        <v>7089</v>
      </c>
      <c r="C1352" s="140">
        <v>44666</v>
      </c>
      <c r="F1352" s="23" t="s">
        <v>4899</v>
      </c>
      <c r="G1352" s="23" t="s">
        <v>1724</v>
      </c>
      <c r="P1352" s="23" t="s">
        <v>7090</v>
      </c>
      <c r="Q1352" s="140" t="s">
        <v>7040</v>
      </c>
      <c r="W1352" s="23" t="s">
        <v>6457</v>
      </c>
      <c r="Y1352" s="38">
        <v>16280</v>
      </c>
      <c r="Z1352" s="23">
        <v>68</v>
      </c>
      <c r="AB1352" s="23" t="s">
        <v>7091</v>
      </c>
      <c r="AC1352" s="23" t="s">
        <v>7092</v>
      </c>
      <c r="AF1352" s="23" t="s">
        <v>3297</v>
      </c>
      <c r="AG1352" s="23" t="s">
        <v>637</v>
      </c>
      <c r="AH1352" s="39">
        <v>44673</v>
      </c>
    </row>
    <row r="1353" spans="1:34">
      <c r="A1353" s="75" t="s">
        <v>7093</v>
      </c>
      <c r="B1353" s="23" t="s">
        <v>7094</v>
      </c>
      <c r="C1353" s="140">
        <v>44667</v>
      </c>
      <c r="D1353" s="23" t="s">
        <v>729</v>
      </c>
      <c r="E1353" s="23" t="s">
        <v>752</v>
      </c>
      <c r="F1353" s="23" t="s">
        <v>4899</v>
      </c>
      <c r="G1353" s="23" t="s">
        <v>1724</v>
      </c>
      <c r="P1353" s="23" t="s">
        <v>7049</v>
      </c>
      <c r="Q1353" s="140" t="s">
        <v>7095</v>
      </c>
      <c r="T1353" s="23" t="s">
        <v>12031</v>
      </c>
      <c r="U1353" s="23" t="s">
        <v>12031</v>
      </c>
      <c r="V1353" s="23" t="s">
        <v>298</v>
      </c>
      <c r="W1353" s="23" t="s">
        <v>498</v>
      </c>
      <c r="Y1353" s="23">
        <v>11700</v>
      </c>
      <c r="Z1353" s="23">
        <v>68</v>
      </c>
      <c r="AB1353" s="23" t="s">
        <v>7096</v>
      </c>
      <c r="AC1353" s="23" t="s">
        <v>7097</v>
      </c>
      <c r="AD1353" s="23">
        <v>0</v>
      </c>
      <c r="AE1353" s="23">
        <v>4</v>
      </c>
      <c r="AF1353" s="23" t="s">
        <v>3297</v>
      </c>
      <c r="AG1353" s="23" t="s">
        <v>665</v>
      </c>
      <c r="AH1353" s="39">
        <v>44673</v>
      </c>
    </row>
    <row r="1354" spans="1:34">
      <c r="A1354" s="75" t="s">
        <v>7098</v>
      </c>
      <c r="B1354" s="23" t="s">
        <v>7099</v>
      </c>
      <c r="C1354" s="140">
        <v>44666</v>
      </c>
      <c r="F1354" s="23" t="s">
        <v>4899</v>
      </c>
      <c r="G1354" s="23" t="s">
        <v>1724</v>
      </c>
      <c r="P1354" s="23" t="s">
        <v>7031</v>
      </c>
      <c r="Q1354" s="140" t="s">
        <v>7025</v>
      </c>
      <c r="W1354" s="23" t="s">
        <v>6778</v>
      </c>
      <c r="Y1354" s="38">
        <v>14500</v>
      </c>
      <c r="Z1354" s="23">
        <v>68</v>
      </c>
      <c r="AB1354" s="23" t="s">
        <v>7100</v>
      </c>
      <c r="AC1354" s="23" t="s">
        <v>7101</v>
      </c>
      <c r="AF1354" s="23" t="s">
        <v>6122</v>
      </c>
      <c r="AG1354" s="23" t="s">
        <v>666</v>
      </c>
      <c r="AH1354" s="39">
        <v>44673</v>
      </c>
    </row>
    <row r="1355" spans="1:34">
      <c r="A1355" s="75" t="s">
        <v>7103</v>
      </c>
      <c r="B1355" s="23" t="s">
        <v>7102</v>
      </c>
      <c r="C1355" s="140">
        <v>44651</v>
      </c>
      <c r="F1355" s="23" t="s">
        <v>4899</v>
      </c>
      <c r="G1355" s="23" t="s">
        <v>1724</v>
      </c>
      <c r="P1355" s="23" t="s">
        <v>7031</v>
      </c>
      <c r="Q1355" s="140" t="s">
        <v>7025</v>
      </c>
      <c r="W1355" s="23" t="s">
        <v>6778</v>
      </c>
      <c r="Y1355" s="38">
        <v>13810</v>
      </c>
      <c r="Z1355" s="23">
        <v>68</v>
      </c>
      <c r="AB1355" s="23" t="s">
        <v>7104</v>
      </c>
      <c r="AC1355" s="23" t="s">
        <v>7105</v>
      </c>
      <c r="AF1355" s="23" t="s">
        <v>6122</v>
      </c>
      <c r="AG1355" s="23" t="s">
        <v>666</v>
      </c>
      <c r="AH1355" s="39">
        <v>44673</v>
      </c>
    </row>
    <row r="1356" spans="1:34">
      <c r="A1356" s="75" t="s">
        <v>7106</v>
      </c>
      <c r="B1356" s="23" t="s">
        <v>7107</v>
      </c>
      <c r="C1356" s="140">
        <v>44666</v>
      </c>
      <c r="F1356" s="23" t="s">
        <v>4899</v>
      </c>
      <c r="G1356" s="23" t="s">
        <v>1724</v>
      </c>
      <c r="P1356" s="23" t="s">
        <v>7031</v>
      </c>
      <c r="Q1356" s="140" t="s">
        <v>7025</v>
      </c>
      <c r="W1356" s="23" t="s">
        <v>6778</v>
      </c>
      <c r="Y1356" s="38">
        <v>14500</v>
      </c>
      <c r="Z1356" s="23">
        <v>68</v>
      </c>
      <c r="AB1356" s="23" t="s">
        <v>7108</v>
      </c>
      <c r="AC1356" s="23" t="s">
        <v>7101</v>
      </c>
      <c r="AF1356" s="23" t="s">
        <v>6122</v>
      </c>
      <c r="AG1356" s="23" t="s">
        <v>1585</v>
      </c>
      <c r="AH1356" s="39">
        <v>44673</v>
      </c>
    </row>
    <row r="1357" spans="1:34">
      <c r="A1357" s="75" t="s">
        <v>7109</v>
      </c>
      <c r="B1357" s="23" t="s">
        <v>7110</v>
      </c>
      <c r="C1357" s="140">
        <v>44667</v>
      </c>
      <c r="D1357" s="23" t="s">
        <v>729</v>
      </c>
      <c r="E1357" s="23" t="s">
        <v>752</v>
      </c>
      <c r="F1357" s="23" t="s">
        <v>7082</v>
      </c>
      <c r="G1357" s="23" t="s">
        <v>1724</v>
      </c>
      <c r="P1357" s="23" t="s">
        <v>7049</v>
      </c>
      <c r="Q1357" s="140" t="s">
        <v>7025</v>
      </c>
      <c r="T1357" s="23" t="s">
        <v>12031</v>
      </c>
      <c r="U1357" s="23" t="s">
        <v>12031</v>
      </c>
      <c r="V1357" s="23" t="s">
        <v>298</v>
      </c>
      <c r="W1357" s="23" t="s">
        <v>6875</v>
      </c>
      <c r="Y1357" s="23">
        <v>15000</v>
      </c>
      <c r="Z1357" s="23">
        <v>68</v>
      </c>
      <c r="AB1357" s="23" t="s">
        <v>7111</v>
      </c>
      <c r="AC1357" s="23" t="s">
        <v>6877</v>
      </c>
      <c r="AD1357" s="23">
        <v>0</v>
      </c>
      <c r="AE1357" s="23">
        <v>5</v>
      </c>
      <c r="AF1357" s="23" t="s">
        <v>3297</v>
      </c>
      <c r="AG1357" s="23" t="s">
        <v>6573</v>
      </c>
      <c r="AH1357" s="39">
        <v>44673</v>
      </c>
    </row>
    <row r="1358" spans="1:34" ht="80">
      <c r="A1358" s="75" t="s">
        <v>7112</v>
      </c>
      <c r="B1358" s="23" t="s">
        <v>7113</v>
      </c>
      <c r="C1358" s="140">
        <v>44669</v>
      </c>
      <c r="F1358" s="23" t="s">
        <v>7082</v>
      </c>
      <c r="G1358" s="23" t="s">
        <v>1724</v>
      </c>
      <c r="P1358" s="23" t="s">
        <v>7049</v>
      </c>
      <c r="Q1358" s="140" t="s">
        <v>7025</v>
      </c>
      <c r="W1358" s="23" t="s">
        <v>6875</v>
      </c>
      <c r="Y1358" s="23">
        <v>45000</v>
      </c>
      <c r="Z1358" s="23">
        <v>204</v>
      </c>
      <c r="AB1358" s="19" t="s">
        <v>7117</v>
      </c>
      <c r="AC1358" s="23" t="s">
        <v>6497</v>
      </c>
      <c r="AF1358" s="19" t="s">
        <v>6206</v>
      </c>
      <c r="AG1358" s="23" t="s">
        <v>666</v>
      </c>
      <c r="AH1358" s="39">
        <v>44673</v>
      </c>
    </row>
    <row r="1359" spans="1:34">
      <c r="A1359" s="75" t="s">
        <v>7114</v>
      </c>
      <c r="B1359" s="23" t="s">
        <v>7115</v>
      </c>
      <c r="C1359" s="140">
        <v>44664</v>
      </c>
      <c r="F1359" s="23" t="s">
        <v>7082</v>
      </c>
      <c r="G1359" s="23" t="s">
        <v>1724</v>
      </c>
      <c r="P1359" s="23" t="s">
        <v>7090</v>
      </c>
      <c r="Q1359" s="140" t="s">
        <v>7095</v>
      </c>
      <c r="W1359" s="23" t="s">
        <v>7080</v>
      </c>
      <c r="Y1359" s="23">
        <v>15000</v>
      </c>
      <c r="Z1359" s="23">
        <v>68</v>
      </c>
      <c r="AB1359" s="23" t="s">
        <v>7116</v>
      </c>
      <c r="AC1359" s="23" t="s">
        <v>6877</v>
      </c>
      <c r="AF1359" s="23" t="s">
        <v>3297</v>
      </c>
      <c r="AG1359" s="23" t="s">
        <v>6680</v>
      </c>
      <c r="AH1359" s="39">
        <v>44673</v>
      </c>
    </row>
    <row r="1360" spans="1:34">
      <c r="A1360" s="75" t="s">
        <v>7119</v>
      </c>
      <c r="B1360" s="27" t="s">
        <v>7118</v>
      </c>
      <c r="C1360" s="140">
        <v>44669</v>
      </c>
      <c r="D1360" s="23" t="s">
        <v>729</v>
      </c>
      <c r="E1360" s="23" t="s">
        <v>2919</v>
      </c>
      <c r="F1360" s="23" t="s">
        <v>4899</v>
      </c>
      <c r="G1360" s="23" t="s">
        <v>1724</v>
      </c>
      <c r="Q1360" s="140" t="s">
        <v>7095</v>
      </c>
      <c r="T1360" s="23" t="s">
        <v>3715</v>
      </c>
      <c r="U1360" s="23" t="s">
        <v>3715</v>
      </c>
      <c r="V1360" s="23" t="s">
        <v>298</v>
      </c>
      <c r="W1360" s="23" t="s">
        <v>6707</v>
      </c>
      <c r="Y1360" s="37">
        <v>9335</v>
      </c>
      <c r="Z1360" s="23">
        <v>67.5</v>
      </c>
      <c r="AB1360" s="23" t="s">
        <v>7124</v>
      </c>
      <c r="AC1360" s="23" t="s">
        <v>7125</v>
      </c>
      <c r="AD1360" s="23">
        <v>0</v>
      </c>
      <c r="AE1360" s="23">
        <v>1</v>
      </c>
      <c r="AF1360" s="23" t="s">
        <v>5478</v>
      </c>
      <c r="AG1360" s="23" t="s">
        <v>637</v>
      </c>
      <c r="AH1360" s="39">
        <v>44674</v>
      </c>
    </row>
    <row r="1361" spans="1:37">
      <c r="A1361" s="75" t="s">
        <v>7120</v>
      </c>
      <c r="B1361" s="23" t="s">
        <v>7126</v>
      </c>
      <c r="C1361" s="140">
        <v>44668</v>
      </c>
      <c r="D1361" s="23" t="s">
        <v>729</v>
      </c>
      <c r="E1361" s="23" t="s">
        <v>752</v>
      </c>
      <c r="F1361" s="23" t="s">
        <v>4899</v>
      </c>
      <c r="G1361" s="23" t="s">
        <v>1724</v>
      </c>
      <c r="P1361" s="23" t="s">
        <v>7031</v>
      </c>
      <c r="Q1361" s="140" t="s">
        <v>7025</v>
      </c>
      <c r="T1361" s="23" t="s">
        <v>12031</v>
      </c>
      <c r="U1361" s="23" t="s">
        <v>12031</v>
      </c>
      <c r="V1361" s="23" t="s">
        <v>298</v>
      </c>
      <c r="W1361" s="23" t="s">
        <v>6457</v>
      </c>
      <c r="Y1361" s="38">
        <v>15450</v>
      </c>
      <c r="Z1361" s="23">
        <v>65</v>
      </c>
      <c r="AB1361" s="23" t="s">
        <v>7127</v>
      </c>
      <c r="AC1361" s="23" t="s">
        <v>7128</v>
      </c>
      <c r="AD1361" s="23">
        <v>0</v>
      </c>
      <c r="AE1361" s="23">
        <v>4</v>
      </c>
      <c r="AF1361" s="23" t="s">
        <v>6122</v>
      </c>
      <c r="AG1361" s="23" t="s">
        <v>637</v>
      </c>
      <c r="AH1361" s="39">
        <v>44674</v>
      </c>
    </row>
    <row r="1362" spans="1:37">
      <c r="A1362" s="75" t="s">
        <v>7121</v>
      </c>
      <c r="B1362" s="23">
        <v>217551074</v>
      </c>
      <c r="C1362" s="140">
        <v>44670</v>
      </c>
      <c r="F1362" s="23" t="s">
        <v>4899</v>
      </c>
      <c r="G1362" s="23" t="s">
        <v>1724</v>
      </c>
      <c r="P1362" s="23" t="s">
        <v>7129</v>
      </c>
      <c r="Q1362" s="140" t="s">
        <v>7075</v>
      </c>
      <c r="W1362" s="23" t="s">
        <v>498</v>
      </c>
      <c r="Y1362" s="23">
        <v>14330</v>
      </c>
      <c r="Z1362" s="23">
        <v>66</v>
      </c>
      <c r="AB1362" s="23" t="s">
        <v>7130</v>
      </c>
      <c r="AC1362" s="23" t="s">
        <v>7131</v>
      </c>
      <c r="AF1362" s="23" t="s">
        <v>6727</v>
      </c>
      <c r="AG1362" s="23" t="s">
        <v>637</v>
      </c>
      <c r="AH1362" s="39">
        <v>44674</v>
      </c>
    </row>
    <row r="1363" spans="1:37">
      <c r="A1363" s="75" t="s">
        <v>7122</v>
      </c>
      <c r="B1363" s="23" t="s">
        <v>7132</v>
      </c>
      <c r="C1363" s="140">
        <v>44667</v>
      </c>
      <c r="F1363" s="23" t="s">
        <v>4899</v>
      </c>
      <c r="G1363" s="23" t="s">
        <v>1724</v>
      </c>
      <c r="P1363" s="23" t="s">
        <v>7049</v>
      </c>
      <c r="Q1363" s="140" t="s">
        <v>7095</v>
      </c>
      <c r="W1363" s="23" t="s">
        <v>6431</v>
      </c>
      <c r="Y1363" s="23">
        <v>21800</v>
      </c>
      <c r="Z1363" s="23">
        <v>68</v>
      </c>
      <c r="AB1363" s="23" t="s">
        <v>7133</v>
      </c>
      <c r="AC1363" s="23" t="s">
        <v>7134</v>
      </c>
      <c r="AF1363" s="23" t="s">
        <v>3297</v>
      </c>
      <c r="AG1363" s="23" t="s">
        <v>665</v>
      </c>
      <c r="AH1363" s="39">
        <v>44674</v>
      </c>
    </row>
    <row r="1364" spans="1:37">
      <c r="A1364" s="75" t="s">
        <v>7123</v>
      </c>
      <c r="B1364" s="23" t="s">
        <v>7135</v>
      </c>
      <c r="C1364" s="140">
        <v>44662</v>
      </c>
      <c r="F1364" s="23" t="s">
        <v>4899</v>
      </c>
      <c r="G1364" s="23" t="s">
        <v>1724</v>
      </c>
      <c r="P1364" s="23" t="s">
        <v>6985</v>
      </c>
      <c r="Q1364" s="140" t="s">
        <v>6889</v>
      </c>
      <c r="W1364" s="23" t="s">
        <v>6457</v>
      </c>
      <c r="Y1364" s="23">
        <v>18440</v>
      </c>
      <c r="Z1364" s="23">
        <v>65</v>
      </c>
      <c r="AB1364" s="23" t="s">
        <v>7136</v>
      </c>
      <c r="AC1364" s="23" t="s">
        <v>7137</v>
      </c>
      <c r="AF1364" s="23" t="s">
        <v>3297</v>
      </c>
      <c r="AG1364" s="23" t="s">
        <v>637</v>
      </c>
      <c r="AH1364" s="39">
        <v>44674</v>
      </c>
    </row>
    <row r="1365" spans="1:37">
      <c r="A1365" s="75" t="s">
        <v>7138</v>
      </c>
      <c r="B1365" s="27" t="s">
        <v>7155</v>
      </c>
      <c r="C1365" s="140">
        <v>44674</v>
      </c>
      <c r="D1365" s="23" t="s">
        <v>729</v>
      </c>
      <c r="E1365" s="23" t="s">
        <v>2919</v>
      </c>
      <c r="F1365" s="23" t="s">
        <v>4899</v>
      </c>
      <c r="G1365" s="23" t="s">
        <v>1724</v>
      </c>
      <c r="Q1365" s="140" t="s">
        <v>7139</v>
      </c>
      <c r="T1365" s="23" t="s">
        <v>3715</v>
      </c>
      <c r="U1365" s="23" t="s">
        <v>3715</v>
      </c>
      <c r="V1365" s="23" t="s">
        <v>298</v>
      </c>
      <c r="W1365" s="23" t="s">
        <v>6707</v>
      </c>
      <c r="Y1365" s="38">
        <v>9565</v>
      </c>
      <c r="Z1365" s="23">
        <v>62.68</v>
      </c>
      <c r="AB1365" s="23" t="s">
        <v>7140</v>
      </c>
      <c r="AC1365" s="23" t="s">
        <v>7141</v>
      </c>
      <c r="AD1365" s="23">
        <v>0</v>
      </c>
      <c r="AE1365" s="23">
        <v>1</v>
      </c>
      <c r="AF1365" s="23" t="s">
        <v>3297</v>
      </c>
      <c r="AG1365" s="23" t="s">
        <v>637</v>
      </c>
      <c r="AH1365" s="39">
        <v>44676</v>
      </c>
    </row>
    <row r="1366" spans="1:37">
      <c r="A1366" s="75" t="s">
        <v>7142</v>
      </c>
      <c r="B1366" s="23">
        <v>217572447</v>
      </c>
      <c r="C1366" s="140">
        <v>44670</v>
      </c>
      <c r="D1366" s="23" t="s">
        <v>729</v>
      </c>
      <c r="E1366" s="23" t="s">
        <v>752</v>
      </c>
      <c r="F1366" s="23" t="s">
        <v>4899</v>
      </c>
      <c r="G1366" s="23" t="s">
        <v>1724</v>
      </c>
      <c r="P1366" s="23" t="s">
        <v>7129</v>
      </c>
      <c r="Q1366" s="140" t="s">
        <v>7075</v>
      </c>
      <c r="T1366" s="23" t="s">
        <v>12031</v>
      </c>
      <c r="U1366" s="23" t="s">
        <v>12031</v>
      </c>
      <c r="V1366" s="23" t="s">
        <v>298</v>
      </c>
      <c r="W1366" s="23" t="s">
        <v>6875</v>
      </c>
      <c r="Y1366" s="23">
        <v>15000</v>
      </c>
      <c r="Z1366" s="23">
        <v>67.55</v>
      </c>
      <c r="AB1366" s="23" t="s">
        <v>7143</v>
      </c>
      <c r="AC1366" s="23" t="s">
        <v>7144</v>
      </c>
      <c r="AD1366" s="23">
        <v>0</v>
      </c>
      <c r="AE1366" s="23">
        <v>1</v>
      </c>
      <c r="AF1366" s="23" t="s">
        <v>6727</v>
      </c>
      <c r="AG1366" s="23" t="s">
        <v>666</v>
      </c>
      <c r="AH1366" s="39">
        <v>44676</v>
      </c>
    </row>
    <row r="1367" spans="1:37">
      <c r="A1367" s="104" t="s">
        <v>7145</v>
      </c>
      <c r="B1367" s="23" t="s">
        <v>7169</v>
      </c>
      <c r="C1367" s="140">
        <v>44673</v>
      </c>
      <c r="D1367" s="23" t="s">
        <v>729</v>
      </c>
      <c r="E1367" s="23" t="s">
        <v>752</v>
      </c>
      <c r="F1367" s="23" t="s">
        <v>57</v>
      </c>
      <c r="G1367" s="23" t="s">
        <v>57</v>
      </c>
      <c r="H1367" s="23" t="s">
        <v>7170</v>
      </c>
      <c r="I1367" s="23" t="s">
        <v>7170</v>
      </c>
      <c r="J1367" s="140">
        <v>44672</v>
      </c>
      <c r="K1367" s="23" t="s">
        <v>7422</v>
      </c>
      <c r="L1367" s="140">
        <v>44676</v>
      </c>
      <c r="S1367" s="23" t="s">
        <v>184</v>
      </c>
      <c r="T1367" s="23" t="s">
        <v>302</v>
      </c>
      <c r="U1367" s="23" t="s">
        <v>302</v>
      </c>
      <c r="V1367" s="23" t="s">
        <v>233</v>
      </c>
      <c r="W1367" s="23" t="s">
        <v>284</v>
      </c>
      <c r="X1367" s="23">
        <v>8193</v>
      </c>
      <c r="Y1367" s="23">
        <v>8493</v>
      </c>
      <c r="Z1367" s="23">
        <v>8662.86</v>
      </c>
      <c r="AA1367" s="23">
        <v>7343.92</v>
      </c>
      <c r="AB1367" s="23" t="s">
        <v>7171</v>
      </c>
      <c r="AC1367" s="23" t="s">
        <v>286</v>
      </c>
      <c r="AD1367" s="23">
        <v>0</v>
      </c>
      <c r="AE1367" s="23">
        <v>1</v>
      </c>
      <c r="AF1367" s="23" t="s">
        <v>3297</v>
      </c>
      <c r="AG1367" s="23" t="s">
        <v>787</v>
      </c>
      <c r="AH1367" s="39">
        <v>44676</v>
      </c>
    </row>
    <row r="1368" spans="1:37" ht="48">
      <c r="A1368" s="75" t="s">
        <v>7146</v>
      </c>
      <c r="B1368" s="23" t="s">
        <v>7147</v>
      </c>
      <c r="C1368" s="140">
        <v>44657</v>
      </c>
      <c r="D1368" s="23" t="s">
        <v>729</v>
      </c>
      <c r="E1368" s="23" t="s">
        <v>752</v>
      </c>
      <c r="F1368" s="23" t="s">
        <v>2200</v>
      </c>
      <c r="G1368" s="23" t="s">
        <v>301</v>
      </c>
      <c r="H1368" s="23">
        <v>20403608</v>
      </c>
      <c r="I1368" s="23">
        <v>20403608</v>
      </c>
      <c r="J1368" s="140">
        <v>44655</v>
      </c>
      <c r="K1368" s="23" t="s">
        <v>7480</v>
      </c>
      <c r="L1368" s="140">
        <v>44693</v>
      </c>
      <c r="T1368" s="23" t="s">
        <v>305</v>
      </c>
      <c r="U1368" s="23" t="s">
        <v>305</v>
      </c>
      <c r="V1368" s="23" t="s">
        <v>299</v>
      </c>
      <c r="W1368" s="23" t="s">
        <v>7148</v>
      </c>
      <c r="AB1368" s="60" t="s">
        <v>7172</v>
      </c>
      <c r="AC1368" s="59">
        <v>6</v>
      </c>
      <c r="AD1368" s="23">
        <v>0</v>
      </c>
      <c r="AE1368" s="23">
        <v>3</v>
      </c>
      <c r="AG1368" s="23" t="s">
        <v>1553</v>
      </c>
      <c r="AH1368" s="39">
        <v>44676</v>
      </c>
      <c r="AI1368" s="53" t="s">
        <v>5852</v>
      </c>
      <c r="AJ1368" s="75" t="s">
        <v>8328</v>
      </c>
      <c r="AK1368" s="53">
        <v>44678</v>
      </c>
    </row>
    <row r="1369" spans="1:37">
      <c r="A1369" s="75" t="s">
        <v>7149</v>
      </c>
      <c r="B1369" s="23" t="s">
        <v>7150</v>
      </c>
      <c r="C1369" s="140">
        <v>44657</v>
      </c>
      <c r="D1369" s="23" t="s">
        <v>729</v>
      </c>
      <c r="E1369" s="23" t="s">
        <v>752</v>
      </c>
      <c r="F1369" s="23" t="s">
        <v>2200</v>
      </c>
      <c r="G1369" s="23" t="s">
        <v>301</v>
      </c>
      <c r="H1369" s="23">
        <v>20403460</v>
      </c>
      <c r="I1369" s="23">
        <v>20403460</v>
      </c>
      <c r="J1369" s="140">
        <v>44655</v>
      </c>
      <c r="K1369" s="23" t="s">
        <v>7481</v>
      </c>
      <c r="L1369" s="140">
        <v>44693</v>
      </c>
      <c r="T1369" s="23" t="s">
        <v>305</v>
      </c>
      <c r="U1369" s="23" t="s">
        <v>305</v>
      </c>
      <c r="V1369" s="23" t="s">
        <v>299</v>
      </c>
      <c r="W1369" s="23" t="s">
        <v>7151</v>
      </c>
      <c r="AB1369" s="59" t="s">
        <v>7152</v>
      </c>
      <c r="AC1369" s="59">
        <v>1</v>
      </c>
      <c r="AD1369" s="23">
        <v>0</v>
      </c>
      <c r="AE1369" s="23">
        <v>1</v>
      </c>
      <c r="AG1369" s="23" t="s">
        <v>1553</v>
      </c>
      <c r="AH1369" s="39">
        <v>44676</v>
      </c>
      <c r="AI1369" s="53" t="s">
        <v>5852</v>
      </c>
      <c r="AJ1369" s="75" t="s">
        <v>8327</v>
      </c>
      <c r="AK1369" s="53">
        <v>44678</v>
      </c>
    </row>
    <row r="1370" spans="1:37">
      <c r="A1370" s="75" t="s">
        <v>7153</v>
      </c>
      <c r="B1370" s="23" t="s">
        <v>7154</v>
      </c>
      <c r="C1370" s="140">
        <v>44657</v>
      </c>
      <c r="D1370" s="23" t="s">
        <v>729</v>
      </c>
      <c r="E1370" s="23" t="s">
        <v>752</v>
      </c>
      <c r="F1370" s="23" t="s">
        <v>2200</v>
      </c>
      <c r="G1370" s="23" t="s">
        <v>301</v>
      </c>
      <c r="H1370" s="23">
        <v>20403461</v>
      </c>
      <c r="I1370" s="23">
        <v>20403461</v>
      </c>
      <c r="J1370" s="140">
        <v>44655</v>
      </c>
      <c r="K1370" s="23" t="s">
        <v>7482</v>
      </c>
      <c r="L1370" s="140">
        <v>44693</v>
      </c>
      <c r="T1370" s="23" t="s">
        <v>305</v>
      </c>
      <c r="U1370" s="23" t="s">
        <v>305</v>
      </c>
      <c r="V1370" s="23" t="s">
        <v>299</v>
      </c>
      <c r="W1370" s="23" t="s">
        <v>7151</v>
      </c>
      <c r="AB1370" s="59" t="s">
        <v>7152</v>
      </c>
      <c r="AC1370" s="59">
        <v>1</v>
      </c>
      <c r="AD1370" s="23">
        <v>0</v>
      </c>
      <c r="AE1370" s="23">
        <v>1</v>
      </c>
      <c r="AG1370" s="23" t="s">
        <v>1553</v>
      </c>
      <c r="AH1370" s="39">
        <v>44676</v>
      </c>
      <c r="AI1370" s="53" t="s">
        <v>5852</v>
      </c>
      <c r="AJ1370" s="75" t="s">
        <v>8327</v>
      </c>
      <c r="AK1370" s="53">
        <v>44678</v>
      </c>
    </row>
    <row r="1371" spans="1:37">
      <c r="A1371" s="75" t="s">
        <v>7156</v>
      </c>
      <c r="B1371" s="23" t="s">
        <v>7157</v>
      </c>
      <c r="C1371" s="140" t="s">
        <v>51</v>
      </c>
      <c r="D1371" s="23" t="s">
        <v>729</v>
      </c>
      <c r="E1371" s="23" t="s">
        <v>752</v>
      </c>
      <c r="F1371" s="23" t="s">
        <v>7162</v>
      </c>
      <c r="G1371" s="23" t="s">
        <v>1724</v>
      </c>
      <c r="P1371" s="23" t="s">
        <v>7168</v>
      </c>
      <c r="Q1371" s="140" t="s">
        <v>7025</v>
      </c>
      <c r="T1371" s="23" t="s">
        <v>12031</v>
      </c>
      <c r="U1371" s="23" t="s">
        <v>12031</v>
      </c>
      <c r="V1371" s="23" t="s">
        <v>298</v>
      </c>
      <c r="W1371" s="23" t="s">
        <v>7158</v>
      </c>
      <c r="Y1371" s="37">
        <v>12814.99</v>
      </c>
      <c r="Z1371" s="23">
        <v>45.5</v>
      </c>
      <c r="AB1371" s="23" t="s">
        <v>7159</v>
      </c>
      <c r="AC1371" s="23" t="s">
        <v>7160</v>
      </c>
      <c r="AD1371" s="23">
        <v>0</v>
      </c>
      <c r="AE1371" s="23">
        <v>1</v>
      </c>
      <c r="AF1371" s="23" t="s">
        <v>3297</v>
      </c>
      <c r="AG1371" s="23" t="s">
        <v>7161</v>
      </c>
      <c r="AH1371" s="39">
        <v>44676</v>
      </c>
    </row>
    <row r="1372" spans="1:37">
      <c r="A1372" s="75" t="s">
        <v>7177</v>
      </c>
      <c r="B1372" s="23" t="s">
        <v>7178</v>
      </c>
      <c r="C1372" s="140">
        <v>44674</v>
      </c>
      <c r="D1372" s="23" t="s">
        <v>729</v>
      </c>
      <c r="E1372" s="23" t="s">
        <v>752</v>
      </c>
      <c r="F1372" s="23" t="s">
        <v>4899</v>
      </c>
      <c r="G1372" s="23" t="s">
        <v>1724</v>
      </c>
      <c r="P1372" s="23" t="s">
        <v>7179</v>
      </c>
      <c r="Q1372" s="140" t="s">
        <v>7180</v>
      </c>
      <c r="T1372" s="23" t="s">
        <v>12031</v>
      </c>
      <c r="U1372" s="23" t="s">
        <v>12031</v>
      </c>
      <c r="V1372" s="23" t="s">
        <v>298</v>
      </c>
      <c r="W1372" s="23" t="s">
        <v>6431</v>
      </c>
      <c r="Y1372" s="38">
        <v>22740</v>
      </c>
      <c r="Z1372" s="23">
        <v>68</v>
      </c>
      <c r="AB1372" s="23" t="s">
        <v>7181</v>
      </c>
      <c r="AC1372" s="23" t="s">
        <v>7182</v>
      </c>
      <c r="AD1372" s="23">
        <v>0</v>
      </c>
      <c r="AE1372" s="23">
        <v>3</v>
      </c>
      <c r="AF1372" s="23" t="s">
        <v>3297</v>
      </c>
      <c r="AG1372" s="23" t="s">
        <v>665</v>
      </c>
      <c r="AH1372" s="39">
        <v>44679</v>
      </c>
    </row>
    <row r="1373" spans="1:37">
      <c r="A1373" s="75" t="s">
        <v>7183</v>
      </c>
      <c r="B1373" s="23" t="s">
        <v>7184</v>
      </c>
      <c r="C1373" s="140">
        <v>44674</v>
      </c>
      <c r="F1373" s="23" t="s">
        <v>4899</v>
      </c>
      <c r="G1373" s="23" t="s">
        <v>1724</v>
      </c>
      <c r="P1373" s="23" t="s">
        <v>7179</v>
      </c>
      <c r="Q1373" s="140" t="s">
        <v>7180</v>
      </c>
      <c r="W1373" s="23" t="s">
        <v>6431</v>
      </c>
      <c r="Y1373" s="38">
        <v>22900</v>
      </c>
      <c r="Z1373" s="23">
        <v>68</v>
      </c>
      <c r="AB1373" s="23" t="s">
        <v>7185</v>
      </c>
      <c r="AC1373" s="23" t="s">
        <v>7186</v>
      </c>
      <c r="AF1373" s="23" t="s">
        <v>3297</v>
      </c>
      <c r="AG1373" s="23" t="s">
        <v>665</v>
      </c>
      <c r="AH1373" s="39">
        <v>44679</v>
      </c>
    </row>
    <row r="1374" spans="1:37">
      <c r="A1374" s="75" t="s">
        <v>7187</v>
      </c>
      <c r="B1374" s="23" t="s">
        <v>7188</v>
      </c>
      <c r="C1374" s="140">
        <v>44667</v>
      </c>
      <c r="F1374" s="23" t="s">
        <v>4899</v>
      </c>
      <c r="G1374" s="23" t="s">
        <v>1724</v>
      </c>
      <c r="P1374" s="23" t="s">
        <v>7189</v>
      </c>
      <c r="Q1374" s="140" t="s">
        <v>7190</v>
      </c>
      <c r="W1374" s="23" t="s">
        <v>498</v>
      </c>
      <c r="Y1374" s="37">
        <v>13998.47</v>
      </c>
      <c r="Z1374" s="23">
        <v>50</v>
      </c>
      <c r="AB1374" s="23" t="s">
        <v>7191</v>
      </c>
      <c r="AC1374" s="23" t="s">
        <v>7192</v>
      </c>
      <c r="AF1374" s="23" t="s">
        <v>3297</v>
      </c>
      <c r="AG1374" s="23" t="s">
        <v>5518</v>
      </c>
      <c r="AH1374" s="39">
        <v>44679</v>
      </c>
    </row>
    <row r="1375" spans="1:37">
      <c r="A1375" s="75" t="s">
        <v>7193</v>
      </c>
      <c r="B1375" s="23" t="s">
        <v>7194</v>
      </c>
      <c r="C1375" s="140">
        <v>44673</v>
      </c>
      <c r="D1375" s="23" t="s">
        <v>729</v>
      </c>
      <c r="E1375" s="23" t="s">
        <v>2919</v>
      </c>
      <c r="F1375" s="23" t="s">
        <v>4899</v>
      </c>
      <c r="G1375" s="23" t="s">
        <v>1724</v>
      </c>
      <c r="Q1375" s="140" t="s">
        <v>7195</v>
      </c>
      <c r="T1375" s="23" t="s">
        <v>3715</v>
      </c>
      <c r="U1375" s="23" t="s">
        <v>3715</v>
      </c>
      <c r="V1375" s="23" t="s">
        <v>298</v>
      </c>
      <c r="W1375" s="23" t="s">
        <v>6707</v>
      </c>
      <c r="Y1375" s="38">
        <v>10660</v>
      </c>
      <c r="Z1375" s="23">
        <v>68</v>
      </c>
      <c r="AB1375" s="23" t="s">
        <v>7196</v>
      </c>
      <c r="AC1375" s="23" t="s">
        <v>7197</v>
      </c>
      <c r="AD1375" s="23">
        <v>0</v>
      </c>
      <c r="AE1375" s="23">
        <v>1</v>
      </c>
      <c r="AF1375" s="23" t="s">
        <v>3297</v>
      </c>
      <c r="AG1375" s="23" t="s">
        <v>637</v>
      </c>
      <c r="AH1375" s="39">
        <v>44680</v>
      </c>
    </row>
    <row r="1376" spans="1:37">
      <c r="A1376" s="75" t="s">
        <v>7198</v>
      </c>
      <c r="B1376" s="23" t="s">
        <v>7199</v>
      </c>
      <c r="C1376" s="140">
        <v>44679</v>
      </c>
      <c r="D1376" s="23" t="s">
        <v>729</v>
      </c>
      <c r="E1376" s="23" t="s">
        <v>752</v>
      </c>
      <c r="F1376" s="23" t="s">
        <v>7082</v>
      </c>
      <c r="G1376" s="23" t="s">
        <v>1724</v>
      </c>
      <c r="P1376" s="23" t="s">
        <v>7200</v>
      </c>
      <c r="Q1376" s="140" t="s">
        <v>7201</v>
      </c>
      <c r="T1376" s="23" t="s">
        <v>12031</v>
      </c>
      <c r="U1376" s="23" t="s">
        <v>12031</v>
      </c>
      <c r="V1376" s="23" t="s">
        <v>298</v>
      </c>
      <c r="W1376" s="23" t="s">
        <v>6875</v>
      </c>
      <c r="Y1376" s="38">
        <v>15000</v>
      </c>
      <c r="Z1376" s="23">
        <v>68</v>
      </c>
      <c r="AB1376" s="23" t="s">
        <v>7202</v>
      </c>
      <c r="AC1376" s="23" t="s">
        <v>6877</v>
      </c>
      <c r="AD1376" s="23">
        <v>0</v>
      </c>
      <c r="AE1376" s="23">
        <v>3</v>
      </c>
      <c r="AF1376" s="23" t="s">
        <v>6122</v>
      </c>
      <c r="AG1376" s="23" t="s">
        <v>666</v>
      </c>
      <c r="AH1376" s="39">
        <v>44680</v>
      </c>
    </row>
    <row r="1377" spans="1:37">
      <c r="A1377" s="75" t="s">
        <v>7203</v>
      </c>
      <c r="B1377" s="23" t="s">
        <v>7204</v>
      </c>
      <c r="C1377" s="140">
        <v>44675</v>
      </c>
      <c r="F1377" s="23" t="s">
        <v>4899</v>
      </c>
      <c r="G1377" s="23" t="s">
        <v>1724</v>
      </c>
      <c r="P1377" s="23" t="s">
        <v>7200</v>
      </c>
      <c r="Q1377" s="140" t="s">
        <v>7201</v>
      </c>
      <c r="W1377" s="23" t="s">
        <v>6778</v>
      </c>
      <c r="Y1377" s="38">
        <v>15000</v>
      </c>
      <c r="Z1377" s="23">
        <v>68</v>
      </c>
      <c r="AB1377" s="23" t="s">
        <v>7205</v>
      </c>
      <c r="AC1377" s="23" t="s">
        <v>7206</v>
      </c>
      <c r="AF1377" s="23" t="s">
        <v>6122</v>
      </c>
      <c r="AG1377" s="23" t="s">
        <v>6573</v>
      </c>
      <c r="AH1377" s="39">
        <v>44680</v>
      </c>
    </row>
    <row r="1378" spans="1:37">
      <c r="A1378" s="75" t="s">
        <v>7207</v>
      </c>
      <c r="B1378" s="23" t="s">
        <v>7208</v>
      </c>
      <c r="C1378" s="140">
        <v>44675</v>
      </c>
      <c r="F1378" s="23" t="s">
        <v>4899</v>
      </c>
      <c r="G1378" s="23" t="s">
        <v>1724</v>
      </c>
      <c r="P1378" s="23" t="s">
        <v>7200</v>
      </c>
      <c r="Q1378" s="140" t="s">
        <v>7201</v>
      </c>
      <c r="W1378" s="23" t="s">
        <v>6778</v>
      </c>
      <c r="Y1378" s="38">
        <v>15000</v>
      </c>
      <c r="Z1378" s="23">
        <v>68</v>
      </c>
      <c r="AB1378" s="23" t="s">
        <v>7209</v>
      </c>
      <c r="AC1378" s="23" t="s">
        <v>7206</v>
      </c>
      <c r="AF1378" s="23" t="s">
        <v>6122</v>
      </c>
      <c r="AG1378" s="23" t="s">
        <v>666</v>
      </c>
      <c r="AH1378" s="39">
        <v>44680</v>
      </c>
    </row>
    <row r="1379" spans="1:37">
      <c r="A1379" s="75" t="s">
        <v>7210</v>
      </c>
      <c r="B1379" s="23" t="s">
        <v>7211</v>
      </c>
      <c r="C1379" s="140">
        <v>44675</v>
      </c>
      <c r="D1379" s="23" t="s">
        <v>729</v>
      </c>
      <c r="E1379" s="23" t="s">
        <v>752</v>
      </c>
      <c r="F1379" s="23" t="s">
        <v>5765</v>
      </c>
      <c r="G1379" s="23" t="s">
        <v>1724</v>
      </c>
      <c r="P1379" s="23" t="s">
        <v>7200</v>
      </c>
      <c r="Q1379" s="140" t="s">
        <v>7201</v>
      </c>
      <c r="T1379" s="23" t="s">
        <v>12031</v>
      </c>
      <c r="U1379" s="23" t="s">
        <v>12031</v>
      </c>
      <c r="V1379" s="23" t="s">
        <v>298</v>
      </c>
      <c r="W1379" s="23" t="s">
        <v>6359</v>
      </c>
      <c r="Y1379" s="38">
        <v>22490</v>
      </c>
      <c r="Z1379" s="23">
        <v>68</v>
      </c>
      <c r="AB1379" s="23" t="s">
        <v>7212</v>
      </c>
      <c r="AC1379" s="23" t="s">
        <v>7213</v>
      </c>
      <c r="AD1379" s="23">
        <v>0</v>
      </c>
      <c r="AE1379" s="23">
        <v>3</v>
      </c>
      <c r="AF1379" s="23" t="s">
        <v>6122</v>
      </c>
      <c r="AG1379" s="23" t="s">
        <v>665</v>
      </c>
      <c r="AH1379" s="39">
        <v>44680</v>
      </c>
      <c r="AJ1379" s="64" t="s">
        <v>7814</v>
      </c>
      <c r="AK1379" s="53">
        <v>44684</v>
      </c>
    </row>
    <row r="1380" spans="1:37">
      <c r="A1380" s="75" t="s">
        <v>7214</v>
      </c>
      <c r="B1380" s="23" t="s">
        <v>7215</v>
      </c>
      <c r="C1380" s="140">
        <v>44673</v>
      </c>
      <c r="F1380" s="23" t="s">
        <v>4899</v>
      </c>
      <c r="G1380" s="23" t="s">
        <v>1724</v>
      </c>
      <c r="P1380" s="23" t="s">
        <v>7200</v>
      </c>
      <c r="Q1380" s="140" t="s">
        <v>7201</v>
      </c>
      <c r="W1380" s="23" t="s">
        <v>6457</v>
      </c>
      <c r="Y1380" s="38">
        <v>19670</v>
      </c>
      <c r="Z1380" s="23">
        <v>68</v>
      </c>
      <c r="AB1380" s="23" t="s">
        <v>7216</v>
      </c>
      <c r="AC1380" s="23" t="s">
        <v>7217</v>
      </c>
      <c r="AF1380" s="23" t="s">
        <v>6122</v>
      </c>
      <c r="AG1380" s="23" t="s">
        <v>637</v>
      </c>
      <c r="AH1380" s="39">
        <v>44680</v>
      </c>
    </row>
    <row r="1381" spans="1:37">
      <c r="A1381" s="75" t="s">
        <v>7218</v>
      </c>
      <c r="B1381" s="23" t="s">
        <v>7219</v>
      </c>
      <c r="C1381" s="140">
        <v>44667</v>
      </c>
      <c r="F1381" s="23" t="s">
        <v>4899</v>
      </c>
      <c r="G1381" s="23" t="s">
        <v>1724</v>
      </c>
      <c r="P1381" s="23" t="s">
        <v>7220</v>
      </c>
      <c r="Q1381" s="140" t="s">
        <v>7201</v>
      </c>
      <c r="W1381" s="23" t="s">
        <v>498</v>
      </c>
      <c r="Y1381" s="23">
        <v>19046</v>
      </c>
      <c r="Z1381" s="23">
        <v>49</v>
      </c>
      <c r="AB1381" s="23" t="s">
        <v>7221</v>
      </c>
      <c r="AC1381" s="23" t="s">
        <v>7222</v>
      </c>
      <c r="AF1381" s="23" t="s">
        <v>3193</v>
      </c>
      <c r="AG1381" s="23" t="s">
        <v>7223</v>
      </c>
      <c r="AH1381" s="39">
        <v>44680</v>
      </c>
    </row>
    <row r="1382" spans="1:37">
      <c r="A1382" s="75" t="s">
        <v>7224</v>
      </c>
      <c r="B1382" s="23" t="s">
        <v>7225</v>
      </c>
      <c r="C1382" s="140">
        <v>44676</v>
      </c>
      <c r="D1382" s="23" t="s">
        <v>729</v>
      </c>
      <c r="E1382" s="23" t="s">
        <v>752</v>
      </c>
      <c r="F1382" s="23" t="s">
        <v>4899</v>
      </c>
      <c r="G1382" s="23" t="s">
        <v>1724</v>
      </c>
      <c r="P1382" s="23" t="s">
        <v>7226</v>
      </c>
      <c r="Q1382" s="140" t="s">
        <v>7227</v>
      </c>
      <c r="T1382" s="23" t="s">
        <v>12031</v>
      </c>
      <c r="U1382" s="23" t="s">
        <v>12031</v>
      </c>
      <c r="V1382" s="23" t="s">
        <v>298</v>
      </c>
      <c r="W1382" s="23" t="s">
        <v>6431</v>
      </c>
      <c r="Y1382" s="23">
        <v>22510</v>
      </c>
      <c r="Z1382" s="23">
        <v>68</v>
      </c>
      <c r="AB1382" s="23" t="s">
        <v>7228</v>
      </c>
      <c r="AC1382" s="23" t="s">
        <v>7229</v>
      </c>
      <c r="AD1382" s="23">
        <v>0</v>
      </c>
      <c r="AE1382" s="23">
        <v>4</v>
      </c>
      <c r="AF1382" s="23" t="s">
        <v>3297</v>
      </c>
      <c r="AG1382" s="23" t="s">
        <v>665</v>
      </c>
      <c r="AH1382" s="39">
        <v>44681</v>
      </c>
      <c r="AJ1382" s="64" t="s">
        <v>7815</v>
      </c>
      <c r="AK1382" s="53">
        <v>44684</v>
      </c>
    </row>
    <row r="1383" spans="1:37">
      <c r="A1383" s="75" t="s">
        <v>7230</v>
      </c>
      <c r="B1383" s="23" t="s">
        <v>7231</v>
      </c>
      <c r="C1383" s="140">
        <v>44676</v>
      </c>
      <c r="F1383" s="23" t="s">
        <v>4899</v>
      </c>
      <c r="G1383" s="23" t="s">
        <v>1724</v>
      </c>
      <c r="P1383" s="23" t="s">
        <v>7226</v>
      </c>
      <c r="Q1383" s="140" t="s">
        <v>7227</v>
      </c>
      <c r="W1383" s="23" t="s">
        <v>6431</v>
      </c>
      <c r="Y1383" s="23">
        <v>21170</v>
      </c>
      <c r="Z1383" s="23">
        <v>68</v>
      </c>
      <c r="AB1383" s="23" t="s">
        <v>7232</v>
      </c>
      <c r="AC1383" s="23" t="s">
        <v>7233</v>
      </c>
      <c r="AF1383" s="23" t="s">
        <v>3297</v>
      </c>
      <c r="AG1383" s="23" t="s">
        <v>665</v>
      </c>
      <c r="AH1383" s="39">
        <v>44681</v>
      </c>
    </row>
    <row r="1384" spans="1:37">
      <c r="A1384" s="75" t="s">
        <v>7234</v>
      </c>
      <c r="B1384" s="27" t="s">
        <v>7250</v>
      </c>
      <c r="C1384" s="140">
        <v>44668</v>
      </c>
      <c r="F1384" s="23" t="s">
        <v>4899</v>
      </c>
      <c r="G1384" s="23" t="s">
        <v>1724</v>
      </c>
      <c r="P1384" s="23" t="s">
        <v>7235</v>
      </c>
      <c r="Q1384" s="140" t="s">
        <v>7180</v>
      </c>
      <c r="W1384" s="23" t="s">
        <v>6457</v>
      </c>
      <c r="Y1384" s="23">
        <v>23100</v>
      </c>
      <c r="Z1384" s="23">
        <v>68</v>
      </c>
      <c r="AB1384" s="23" t="s">
        <v>7236</v>
      </c>
      <c r="AC1384" s="23" t="s">
        <v>7237</v>
      </c>
      <c r="AF1384" s="23" t="s">
        <v>6727</v>
      </c>
      <c r="AG1384" s="23" t="s">
        <v>637</v>
      </c>
      <c r="AH1384" s="39">
        <v>44681</v>
      </c>
    </row>
    <row r="1385" spans="1:37" ht="32">
      <c r="A1385" s="75" t="s">
        <v>7238</v>
      </c>
      <c r="B1385" s="23" t="s">
        <v>7239</v>
      </c>
      <c r="C1385" s="140">
        <v>44678</v>
      </c>
      <c r="F1385" s="23" t="s">
        <v>4899</v>
      </c>
      <c r="G1385" s="23" t="s">
        <v>1724</v>
      </c>
      <c r="P1385" s="23" t="s">
        <v>7226</v>
      </c>
      <c r="Q1385" s="140" t="s">
        <v>7227</v>
      </c>
      <c r="W1385" s="23" t="s">
        <v>6457</v>
      </c>
      <c r="Y1385" s="23">
        <v>15017</v>
      </c>
      <c r="Z1385" s="23">
        <v>65</v>
      </c>
      <c r="AB1385" s="19" t="s">
        <v>7240</v>
      </c>
      <c r="AC1385" s="23" t="s">
        <v>7241</v>
      </c>
      <c r="AF1385" s="23" t="s">
        <v>3297</v>
      </c>
      <c r="AG1385" s="23" t="s">
        <v>637</v>
      </c>
      <c r="AH1385" s="39">
        <v>44681</v>
      </c>
    </row>
    <row r="1386" spans="1:37" ht="64">
      <c r="A1386" s="75" t="s">
        <v>7242</v>
      </c>
      <c r="B1386" s="23" t="s">
        <v>7243</v>
      </c>
      <c r="C1386" s="140">
        <v>44676</v>
      </c>
      <c r="D1386" s="23" t="s">
        <v>729</v>
      </c>
      <c r="E1386" s="23" t="s">
        <v>752</v>
      </c>
      <c r="F1386" s="23" t="s">
        <v>4899</v>
      </c>
      <c r="G1386" s="23" t="s">
        <v>1724</v>
      </c>
      <c r="P1386" s="23" t="s">
        <v>7226</v>
      </c>
      <c r="Q1386" s="140" t="s">
        <v>7227</v>
      </c>
      <c r="T1386" s="23" t="s">
        <v>12031</v>
      </c>
      <c r="U1386" s="23" t="s">
        <v>12031</v>
      </c>
      <c r="V1386" s="23" t="s">
        <v>298</v>
      </c>
      <c r="W1386" s="23" t="s">
        <v>6431</v>
      </c>
      <c r="Y1386" s="23">
        <v>44850</v>
      </c>
      <c r="Z1386" s="23">
        <v>136</v>
      </c>
      <c r="AB1386" s="19" t="s">
        <v>7245</v>
      </c>
      <c r="AC1386" s="23" t="s">
        <v>7244</v>
      </c>
      <c r="AD1386" s="23">
        <v>0</v>
      </c>
      <c r="AE1386" s="23">
        <v>4</v>
      </c>
      <c r="AF1386" s="19" t="s">
        <v>3214</v>
      </c>
      <c r="AG1386" s="23" t="s">
        <v>665</v>
      </c>
      <c r="AH1386" s="39">
        <v>44681</v>
      </c>
      <c r="AJ1386" s="64" t="s">
        <v>7816</v>
      </c>
      <c r="AK1386" s="53">
        <v>44684</v>
      </c>
    </row>
    <row r="1387" spans="1:37" ht="64">
      <c r="A1387" s="75" t="s">
        <v>7246</v>
      </c>
      <c r="B1387" s="23" t="s">
        <v>7247</v>
      </c>
      <c r="C1387" s="140">
        <v>44676</v>
      </c>
      <c r="F1387" s="23" t="s">
        <v>4899</v>
      </c>
      <c r="G1387" s="23" t="s">
        <v>1724</v>
      </c>
      <c r="P1387" s="23" t="s">
        <v>7226</v>
      </c>
      <c r="Q1387" s="140" t="s">
        <v>7227</v>
      </c>
      <c r="W1387" s="23" t="s">
        <v>6431</v>
      </c>
      <c r="Y1387" s="23">
        <v>44900</v>
      </c>
      <c r="Z1387" s="23">
        <v>136</v>
      </c>
      <c r="AB1387" s="19" t="s">
        <v>7249</v>
      </c>
      <c r="AC1387" s="23" t="s">
        <v>7248</v>
      </c>
      <c r="AF1387" s="19" t="s">
        <v>3214</v>
      </c>
      <c r="AG1387" s="23" t="s">
        <v>665</v>
      </c>
      <c r="AH1387" s="39">
        <v>44681</v>
      </c>
    </row>
    <row r="1388" spans="1:37" ht="16">
      <c r="A1388" s="75" t="s">
        <v>7251</v>
      </c>
      <c r="B1388" s="23" t="s">
        <v>7252</v>
      </c>
      <c r="C1388" s="140">
        <v>44676</v>
      </c>
      <c r="D1388" s="23" t="s">
        <v>729</v>
      </c>
      <c r="E1388" s="23" t="s">
        <v>752</v>
      </c>
      <c r="F1388" s="23" t="s">
        <v>4899</v>
      </c>
      <c r="G1388" s="23" t="s">
        <v>1724</v>
      </c>
      <c r="P1388" s="23" t="s">
        <v>7226</v>
      </c>
      <c r="Q1388" s="140" t="s">
        <v>7227</v>
      </c>
      <c r="T1388" s="23" t="s">
        <v>12031</v>
      </c>
      <c r="U1388" s="23" t="s">
        <v>12031</v>
      </c>
      <c r="V1388" s="23" t="s">
        <v>298</v>
      </c>
      <c r="W1388" s="23" t="s">
        <v>7265</v>
      </c>
      <c r="Y1388" s="23">
        <v>14500</v>
      </c>
      <c r="Z1388" s="23">
        <v>68</v>
      </c>
      <c r="AB1388" s="23" t="s">
        <v>7263</v>
      </c>
      <c r="AC1388" s="23" t="s">
        <v>7264</v>
      </c>
      <c r="AD1388" s="23">
        <v>0</v>
      </c>
      <c r="AE1388" s="23">
        <v>4</v>
      </c>
      <c r="AF1388" s="19" t="s">
        <v>5478</v>
      </c>
      <c r="AG1388" s="23" t="s">
        <v>666</v>
      </c>
      <c r="AH1388" s="39">
        <v>44683</v>
      </c>
      <c r="AJ1388" s="64" t="s">
        <v>7817</v>
      </c>
      <c r="AK1388" s="53">
        <v>44684</v>
      </c>
    </row>
    <row r="1389" spans="1:37" ht="16">
      <c r="A1389" s="75" t="s">
        <v>7254</v>
      </c>
      <c r="B1389" s="23" t="s">
        <v>7255</v>
      </c>
      <c r="C1389" s="140">
        <v>44678</v>
      </c>
      <c r="F1389" s="23" t="s">
        <v>7082</v>
      </c>
      <c r="G1389" s="23" t="s">
        <v>1724</v>
      </c>
      <c r="W1389" s="23" t="s">
        <v>7080</v>
      </c>
      <c r="Y1389" s="23">
        <v>15000</v>
      </c>
      <c r="Z1389" s="23">
        <v>68</v>
      </c>
      <c r="AB1389" s="23" t="s">
        <v>7256</v>
      </c>
      <c r="AC1389" s="23" t="s">
        <v>7253</v>
      </c>
      <c r="AF1389" s="19" t="s">
        <v>5478</v>
      </c>
      <c r="AG1389" s="23" t="s">
        <v>6573</v>
      </c>
      <c r="AH1389" s="39">
        <v>44683</v>
      </c>
    </row>
    <row r="1390" spans="1:37" ht="16">
      <c r="A1390" s="75" t="s">
        <v>7257</v>
      </c>
      <c r="B1390" s="23" t="s">
        <v>7258</v>
      </c>
      <c r="C1390" s="140">
        <v>44676</v>
      </c>
      <c r="F1390" s="23" t="s">
        <v>7082</v>
      </c>
      <c r="G1390" s="23" t="s">
        <v>1724</v>
      </c>
      <c r="W1390" s="23" t="s">
        <v>6875</v>
      </c>
      <c r="Y1390" s="23">
        <v>15000</v>
      </c>
      <c r="Z1390" s="23">
        <v>68</v>
      </c>
      <c r="AB1390" s="23" t="s">
        <v>7259</v>
      </c>
      <c r="AC1390" s="23" t="s">
        <v>7253</v>
      </c>
      <c r="AF1390" s="19" t="s">
        <v>5478</v>
      </c>
      <c r="AG1390" s="23" t="s">
        <v>6573</v>
      </c>
      <c r="AH1390" s="39">
        <v>44683</v>
      </c>
    </row>
    <row r="1391" spans="1:37" ht="16">
      <c r="A1391" s="75" t="s">
        <v>7260</v>
      </c>
      <c r="B1391" s="23" t="s">
        <v>7261</v>
      </c>
      <c r="C1391" s="140">
        <v>44676</v>
      </c>
      <c r="F1391" s="23" t="s">
        <v>7082</v>
      </c>
      <c r="G1391" s="23" t="s">
        <v>1724</v>
      </c>
      <c r="W1391" s="23" t="s">
        <v>6875</v>
      </c>
      <c r="Y1391" s="23">
        <v>15000</v>
      </c>
      <c r="Z1391" s="23">
        <v>68</v>
      </c>
      <c r="AB1391" s="23" t="s">
        <v>7262</v>
      </c>
      <c r="AC1391" s="23" t="s">
        <v>7253</v>
      </c>
      <c r="AF1391" s="19" t="s">
        <v>5478</v>
      </c>
      <c r="AG1391" s="23" t="s">
        <v>6573</v>
      </c>
      <c r="AH1391" s="39">
        <v>44683</v>
      </c>
    </row>
    <row r="1392" spans="1:37">
      <c r="A1392" s="75" t="s">
        <v>7266</v>
      </c>
      <c r="B1392" s="23" t="s">
        <v>7267</v>
      </c>
      <c r="C1392" s="140">
        <v>44678</v>
      </c>
      <c r="D1392" s="23" t="s">
        <v>729</v>
      </c>
      <c r="E1392" s="23" t="s">
        <v>752</v>
      </c>
      <c r="F1392" s="23" t="s">
        <v>4899</v>
      </c>
      <c r="G1392" s="23" t="s">
        <v>1724</v>
      </c>
      <c r="P1392" s="23" t="s">
        <v>7226</v>
      </c>
      <c r="Q1392" s="140" t="s">
        <v>7227</v>
      </c>
      <c r="T1392" s="23" t="s">
        <v>12031</v>
      </c>
      <c r="U1392" s="23" t="s">
        <v>12031</v>
      </c>
      <c r="V1392" s="23" t="s">
        <v>298</v>
      </c>
      <c r="W1392" s="23" t="s">
        <v>6457</v>
      </c>
      <c r="Y1392" s="23">
        <v>17550</v>
      </c>
      <c r="Z1392" s="23">
        <v>68</v>
      </c>
      <c r="AB1392" s="23" t="s">
        <v>7268</v>
      </c>
      <c r="AC1392" s="23" t="s">
        <v>7269</v>
      </c>
      <c r="AD1392" s="23">
        <v>0</v>
      </c>
      <c r="AE1392" s="23">
        <v>3</v>
      </c>
      <c r="AF1392" s="23" t="s">
        <v>3297</v>
      </c>
      <c r="AG1392" s="23" t="s">
        <v>637</v>
      </c>
      <c r="AH1392" s="39">
        <v>44684</v>
      </c>
      <c r="AJ1392" s="64" t="s">
        <v>7818</v>
      </c>
      <c r="AK1392" s="53">
        <v>44685</v>
      </c>
    </row>
    <row r="1393" spans="1:37">
      <c r="A1393" s="75" t="s">
        <v>7270</v>
      </c>
      <c r="B1393" s="23" t="s">
        <v>7271</v>
      </c>
      <c r="C1393" s="140">
        <v>44679</v>
      </c>
      <c r="F1393" s="23" t="s">
        <v>4899</v>
      </c>
      <c r="G1393" s="23" t="s">
        <v>1724</v>
      </c>
      <c r="P1393" s="23" t="s">
        <v>7200</v>
      </c>
      <c r="Q1393" s="140" t="s">
        <v>7201</v>
      </c>
      <c r="W1393" s="23" t="s">
        <v>6457</v>
      </c>
      <c r="Y1393" s="38">
        <v>19980</v>
      </c>
      <c r="Z1393" s="23">
        <v>68</v>
      </c>
      <c r="AB1393" s="23" t="s">
        <v>7272</v>
      </c>
      <c r="AC1393" s="23" t="s">
        <v>7273</v>
      </c>
      <c r="AF1393" s="23" t="s">
        <v>6122</v>
      </c>
      <c r="AG1393" s="23" t="s">
        <v>637</v>
      </c>
      <c r="AH1393" s="39">
        <v>44684</v>
      </c>
    </row>
    <row r="1394" spans="1:37">
      <c r="A1394" s="75" t="s">
        <v>7275</v>
      </c>
      <c r="B1394" s="23" t="s">
        <v>7274</v>
      </c>
      <c r="C1394" s="140">
        <v>44676</v>
      </c>
      <c r="F1394" s="23" t="s">
        <v>4899</v>
      </c>
      <c r="G1394" s="23" t="s">
        <v>1724</v>
      </c>
      <c r="P1394" s="23" t="s">
        <v>7226</v>
      </c>
      <c r="Q1394" s="140" t="s">
        <v>7227</v>
      </c>
      <c r="W1394" s="23" t="s">
        <v>498</v>
      </c>
      <c r="Y1394" s="23">
        <v>11750</v>
      </c>
      <c r="Z1394" s="23">
        <v>68</v>
      </c>
      <c r="AB1394" s="23" t="s">
        <v>7276</v>
      </c>
      <c r="AC1394" s="23" t="s">
        <v>7277</v>
      </c>
      <c r="AF1394" s="23" t="s">
        <v>3297</v>
      </c>
      <c r="AG1394" s="23" t="s">
        <v>665</v>
      </c>
      <c r="AH1394" s="39">
        <v>44684</v>
      </c>
    </row>
    <row r="1395" spans="1:37">
      <c r="A1395" s="75" t="s">
        <v>7278</v>
      </c>
      <c r="B1395" s="23" t="s">
        <v>7279</v>
      </c>
      <c r="C1395" s="140">
        <v>44628</v>
      </c>
      <c r="D1395" s="23" t="s">
        <v>729</v>
      </c>
      <c r="E1395" s="23" t="s">
        <v>752</v>
      </c>
      <c r="F1395" s="23" t="s">
        <v>5697</v>
      </c>
      <c r="G1395" s="23" t="s">
        <v>5698</v>
      </c>
      <c r="P1395" s="23" t="s">
        <v>7280</v>
      </c>
      <c r="Q1395" s="140" t="s">
        <v>7281</v>
      </c>
      <c r="T1395" s="23" t="s">
        <v>12031</v>
      </c>
      <c r="U1395" s="23" t="s">
        <v>12031</v>
      </c>
      <c r="V1395" s="23" t="s">
        <v>298</v>
      </c>
      <c r="W1395" s="23" t="s">
        <v>7282</v>
      </c>
      <c r="Y1395" s="23">
        <v>5000</v>
      </c>
      <c r="Z1395" s="23">
        <v>40</v>
      </c>
      <c r="AB1395" s="23" t="s">
        <v>7283</v>
      </c>
      <c r="AC1395" s="23" t="s">
        <v>123</v>
      </c>
      <c r="AD1395" s="23">
        <v>0</v>
      </c>
      <c r="AE1395" s="23">
        <v>1</v>
      </c>
      <c r="AF1395" s="23" t="s">
        <v>3297</v>
      </c>
      <c r="AG1395" s="23" t="s">
        <v>2823</v>
      </c>
      <c r="AH1395" s="39">
        <v>44684</v>
      </c>
      <c r="AJ1395" s="64" t="s">
        <v>7819</v>
      </c>
      <c r="AK1395" s="53">
        <v>44685</v>
      </c>
    </row>
    <row r="1396" spans="1:37">
      <c r="A1396" s="75" t="s">
        <v>7288</v>
      </c>
      <c r="B1396" s="23" t="s">
        <v>7289</v>
      </c>
      <c r="C1396" s="140">
        <v>44665</v>
      </c>
      <c r="D1396" s="23" t="s">
        <v>729</v>
      </c>
      <c r="E1396" s="23" t="s">
        <v>752</v>
      </c>
      <c r="F1396" s="23" t="s">
        <v>7286</v>
      </c>
      <c r="G1396" s="23" t="s">
        <v>5698</v>
      </c>
      <c r="P1396" s="23" t="s">
        <v>7290</v>
      </c>
      <c r="Q1396" s="140" t="s">
        <v>7190</v>
      </c>
      <c r="T1396" s="23" t="s">
        <v>12031</v>
      </c>
      <c r="U1396" s="23" t="s">
        <v>12031</v>
      </c>
      <c r="V1396" s="23" t="s">
        <v>298</v>
      </c>
      <c r="W1396" s="23" t="s">
        <v>7291</v>
      </c>
      <c r="Y1396" s="23">
        <v>5300</v>
      </c>
      <c r="Z1396" s="23">
        <v>40</v>
      </c>
      <c r="AB1396" s="23" t="s">
        <v>7292</v>
      </c>
      <c r="AC1396" s="23" t="s">
        <v>123</v>
      </c>
      <c r="AD1396" s="23">
        <v>0</v>
      </c>
      <c r="AE1396" s="23">
        <v>1</v>
      </c>
      <c r="AF1396" s="23" t="s">
        <v>3297</v>
      </c>
      <c r="AG1396" s="23" t="s">
        <v>5196</v>
      </c>
      <c r="AH1396" s="39">
        <v>44684</v>
      </c>
      <c r="AJ1396" s="64" t="s">
        <v>7820</v>
      </c>
      <c r="AK1396" s="53">
        <v>44686</v>
      </c>
    </row>
    <row r="1397" spans="1:37">
      <c r="A1397" s="75" t="s">
        <v>7293</v>
      </c>
      <c r="B1397" s="23" t="s">
        <v>7294</v>
      </c>
      <c r="C1397" s="140">
        <v>44676</v>
      </c>
      <c r="D1397" s="23" t="s">
        <v>729</v>
      </c>
      <c r="E1397" s="23" t="s">
        <v>752</v>
      </c>
      <c r="F1397" s="23" t="s">
        <v>4899</v>
      </c>
      <c r="G1397" s="23" t="s">
        <v>1724</v>
      </c>
      <c r="P1397" s="23" t="s">
        <v>7295</v>
      </c>
      <c r="Q1397" s="140" t="s">
        <v>7296</v>
      </c>
      <c r="T1397" s="23" t="s">
        <v>12031</v>
      </c>
      <c r="U1397" s="23" t="s">
        <v>12031</v>
      </c>
      <c r="V1397" s="23" t="s">
        <v>298</v>
      </c>
      <c r="W1397" s="23" t="s">
        <v>6359</v>
      </c>
      <c r="Y1397" s="38">
        <v>22070</v>
      </c>
      <c r="Z1397" s="23">
        <v>68</v>
      </c>
      <c r="AB1397" s="23" t="s">
        <v>7297</v>
      </c>
      <c r="AC1397" s="23" t="s">
        <v>7298</v>
      </c>
      <c r="AD1397" s="23">
        <v>0</v>
      </c>
      <c r="AE1397" s="23">
        <v>3</v>
      </c>
      <c r="AF1397" s="23" t="s">
        <v>6122</v>
      </c>
      <c r="AG1397" s="23" t="s">
        <v>637</v>
      </c>
      <c r="AH1397" s="39">
        <v>44685</v>
      </c>
      <c r="AJ1397" s="64" t="s">
        <v>7821</v>
      </c>
      <c r="AK1397" s="53">
        <v>44686</v>
      </c>
    </row>
    <row r="1398" spans="1:37">
      <c r="A1398" s="75" t="s">
        <v>7299</v>
      </c>
      <c r="B1398" s="23" t="s">
        <v>7300</v>
      </c>
      <c r="C1398" s="140">
        <v>44680</v>
      </c>
      <c r="F1398" s="23" t="s">
        <v>4899</v>
      </c>
      <c r="G1398" s="23" t="s">
        <v>1724</v>
      </c>
      <c r="W1398" s="23" t="s">
        <v>6359</v>
      </c>
      <c r="Y1398" s="37">
        <v>12388.4</v>
      </c>
      <c r="Z1398" s="23">
        <v>67</v>
      </c>
      <c r="AB1398" s="23" t="s">
        <v>7301</v>
      </c>
      <c r="AC1398" s="23" t="s">
        <v>7306</v>
      </c>
      <c r="AF1398" s="23" t="s">
        <v>6122</v>
      </c>
      <c r="AG1398" s="23" t="s">
        <v>637</v>
      </c>
      <c r="AH1398" s="39">
        <v>44685</v>
      </c>
    </row>
    <row r="1399" spans="1:37">
      <c r="A1399" s="75" t="s">
        <v>7302</v>
      </c>
      <c r="B1399" s="23" t="s">
        <v>7303</v>
      </c>
      <c r="C1399" s="140">
        <v>44680</v>
      </c>
      <c r="F1399" s="23" t="s">
        <v>4899</v>
      </c>
      <c r="G1399" s="23" t="s">
        <v>1724</v>
      </c>
      <c r="W1399" s="23" t="s">
        <v>6431</v>
      </c>
      <c r="Y1399" s="38">
        <v>22150</v>
      </c>
      <c r="Z1399" s="23">
        <v>68</v>
      </c>
      <c r="AB1399" s="23" t="s">
        <v>7304</v>
      </c>
      <c r="AC1399" s="23" t="s">
        <v>7305</v>
      </c>
      <c r="AF1399" s="23" t="s">
        <v>6122</v>
      </c>
      <c r="AG1399" s="23" t="s">
        <v>7307</v>
      </c>
      <c r="AH1399" s="39">
        <v>44685</v>
      </c>
    </row>
    <row r="1400" spans="1:37">
      <c r="A1400" s="75" t="s">
        <v>7308</v>
      </c>
      <c r="B1400" s="23" t="s">
        <v>7309</v>
      </c>
      <c r="C1400" s="140">
        <v>44680</v>
      </c>
      <c r="D1400" s="23" t="s">
        <v>729</v>
      </c>
      <c r="E1400" s="23" t="s">
        <v>752</v>
      </c>
      <c r="F1400" s="23" t="s">
        <v>4899</v>
      </c>
      <c r="G1400" s="23" t="s">
        <v>1724</v>
      </c>
      <c r="P1400" s="23" t="s">
        <v>7295</v>
      </c>
      <c r="Q1400" s="140" t="s">
        <v>7296</v>
      </c>
      <c r="T1400" s="23" t="s">
        <v>12031</v>
      </c>
      <c r="U1400" s="23" t="s">
        <v>12031</v>
      </c>
      <c r="V1400" s="23" t="s">
        <v>298</v>
      </c>
      <c r="W1400" s="23" t="s">
        <v>6431</v>
      </c>
      <c r="Y1400" s="38">
        <v>21200</v>
      </c>
      <c r="Z1400" s="23">
        <v>68</v>
      </c>
      <c r="AB1400" s="23" t="s">
        <v>7310</v>
      </c>
      <c r="AC1400" s="23" t="s">
        <v>7311</v>
      </c>
      <c r="AD1400" s="23">
        <v>0</v>
      </c>
      <c r="AE1400" s="23">
        <v>2</v>
      </c>
      <c r="AF1400" s="23" t="s">
        <v>6122</v>
      </c>
      <c r="AG1400" s="23" t="s">
        <v>7307</v>
      </c>
      <c r="AH1400" s="39">
        <v>44685</v>
      </c>
      <c r="AJ1400" s="64" t="s">
        <v>7822</v>
      </c>
      <c r="AK1400" s="53">
        <v>44686</v>
      </c>
    </row>
    <row r="1401" spans="1:37">
      <c r="A1401" s="75" t="s">
        <v>7312</v>
      </c>
      <c r="B1401" s="23" t="s">
        <v>7313</v>
      </c>
      <c r="C1401" s="140">
        <v>44680</v>
      </c>
      <c r="F1401" s="23" t="s">
        <v>4899</v>
      </c>
      <c r="G1401" s="23" t="s">
        <v>1724</v>
      </c>
      <c r="P1401" s="23" t="s">
        <v>7295</v>
      </c>
      <c r="Q1401" s="140" t="s">
        <v>7296</v>
      </c>
      <c r="W1401" s="23" t="s">
        <v>6431</v>
      </c>
      <c r="Y1401" s="38">
        <v>23100</v>
      </c>
      <c r="Z1401" s="23">
        <v>68</v>
      </c>
      <c r="AB1401" s="23" t="s">
        <v>7314</v>
      </c>
      <c r="AC1401" s="23" t="s">
        <v>7315</v>
      </c>
      <c r="AF1401" s="23" t="s">
        <v>6122</v>
      </c>
      <c r="AG1401" s="23" t="s">
        <v>7307</v>
      </c>
      <c r="AH1401" s="39">
        <v>44685</v>
      </c>
    </row>
    <row r="1402" spans="1:37">
      <c r="A1402" s="75" t="s">
        <v>7316</v>
      </c>
      <c r="B1402" s="23" t="s">
        <v>7317</v>
      </c>
      <c r="C1402" s="140">
        <v>44678</v>
      </c>
      <c r="D1402" s="23" t="s">
        <v>729</v>
      </c>
      <c r="E1402" s="23" t="s">
        <v>752</v>
      </c>
      <c r="F1402" s="23" t="s">
        <v>7082</v>
      </c>
      <c r="G1402" s="23" t="s">
        <v>1724</v>
      </c>
      <c r="P1402" s="23" t="s">
        <v>7295</v>
      </c>
      <c r="Q1402" s="140" t="s">
        <v>7296</v>
      </c>
      <c r="T1402" s="23" t="s">
        <v>12031</v>
      </c>
      <c r="U1402" s="23" t="s">
        <v>12031</v>
      </c>
      <c r="V1402" s="23" t="s">
        <v>298</v>
      </c>
      <c r="W1402" s="23" t="s">
        <v>7080</v>
      </c>
      <c r="Y1402" s="38">
        <v>15000</v>
      </c>
      <c r="Z1402" s="23">
        <v>68</v>
      </c>
      <c r="AB1402" s="23" t="s">
        <v>7318</v>
      </c>
      <c r="AC1402" s="23" t="s">
        <v>7206</v>
      </c>
      <c r="AD1402" s="23">
        <v>0</v>
      </c>
      <c r="AE1402" s="23">
        <v>2</v>
      </c>
      <c r="AF1402" s="23" t="s">
        <v>6122</v>
      </c>
      <c r="AG1402" s="23" t="s">
        <v>666</v>
      </c>
      <c r="AH1402" s="39">
        <v>44685</v>
      </c>
      <c r="AJ1402" s="64" t="s">
        <v>7823</v>
      </c>
      <c r="AK1402" s="53">
        <v>44686</v>
      </c>
    </row>
    <row r="1403" spans="1:37">
      <c r="A1403" s="75" t="s">
        <v>7319</v>
      </c>
      <c r="B1403" s="23" t="s">
        <v>7320</v>
      </c>
      <c r="C1403" s="140">
        <v>44678</v>
      </c>
      <c r="F1403" s="23" t="s">
        <v>4899</v>
      </c>
      <c r="G1403" s="23" t="s">
        <v>1724</v>
      </c>
      <c r="W1403" s="23" t="s">
        <v>2280</v>
      </c>
      <c r="Y1403" s="38">
        <v>8050</v>
      </c>
      <c r="Z1403" s="23">
        <v>68</v>
      </c>
      <c r="AB1403" s="23" t="s">
        <v>7321</v>
      </c>
      <c r="AC1403" s="23" t="s">
        <v>5052</v>
      </c>
      <c r="AF1403" s="23" t="s">
        <v>6122</v>
      </c>
      <c r="AG1403" s="23" t="s">
        <v>666</v>
      </c>
      <c r="AH1403" s="39">
        <v>44685</v>
      </c>
    </row>
    <row r="1404" spans="1:37" ht="48">
      <c r="A1404" s="75" t="s">
        <v>7322</v>
      </c>
      <c r="B1404" s="23" t="s">
        <v>7323</v>
      </c>
      <c r="C1404" s="140">
        <v>44682</v>
      </c>
      <c r="D1404" s="23" t="s">
        <v>729</v>
      </c>
      <c r="E1404" s="23" t="s">
        <v>2919</v>
      </c>
      <c r="F1404" s="23" t="s">
        <v>4899</v>
      </c>
      <c r="G1404" s="23" t="s">
        <v>1724</v>
      </c>
      <c r="Q1404" s="140" t="s">
        <v>7296</v>
      </c>
      <c r="T1404" s="23" t="s">
        <v>3715</v>
      </c>
      <c r="U1404" s="23" t="s">
        <v>3715</v>
      </c>
      <c r="V1404" s="23" t="s">
        <v>298</v>
      </c>
      <c r="W1404" s="23" t="s">
        <v>6707</v>
      </c>
      <c r="Y1404" s="38">
        <v>33135</v>
      </c>
      <c r="Z1404" s="23">
        <v>201</v>
      </c>
      <c r="AB1404" s="19" t="s">
        <v>7324</v>
      </c>
      <c r="AC1404" s="23" t="s">
        <v>7325</v>
      </c>
      <c r="AD1404" s="23">
        <v>0</v>
      </c>
      <c r="AE1404" s="23">
        <v>4</v>
      </c>
      <c r="AF1404" s="19" t="s">
        <v>6206</v>
      </c>
      <c r="AG1404" s="23" t="s">
        <v>637</v>
      </c>
      <c r="AH1404" s="39">
        <v>44685</v>
      </c>
      <c r="AJ1404" s="64" t="s">
        <v>7824</v>
      </c>
      <c r="AK1404" s="53">
        <v>44686</v>
      </c>
    </row>
    <row r="1405" spans="1:37">
      <c r="A1405" s="75" t="s">
        <v>7326</v>
      </c>
      <c r="B1405" s="23" t="s">
        <v>7327</v>
      </c>
      <c r="C1405" s="140">
        <v>44683</v>
      </c>
      <c r="F1405" s="23" t="s">
        <v>7082</v>
      </c>
      <c r="G1405" s="23" t="s">
        <v>1724</v>
      </c>
      <c r="Q1405" s="140" t="s">
        <v>7296</v>
      </c>
      <c r="W1405" s="23" t="s">
        <v>7080</v>
      </c>
      <c r="Y1405" s="38">
        <v>15250</v>
      </c>
      <c r="Z1405" s="23">
        <v>66.8</v>
      </c>
      <c r="AB1405" s="23" t="s">
        <v>7330</v>
      </c>
      <c r="AC1405" s="23" t="s">
        <v>6296</v>
      </c>
      <c r="AF1405" s="23" t="s">
        <v>3260</v>
      </c>
      <c r="AG1405" s="23" t="s">
        <v>637</v>
      </c>
      <c r="AH1405" s="39">
        <v>44685</v>
      </c>
    </row>
    <row r="1406" spans="1:37">
      <c r="A1406" s="75" t="s">
        <v>7328</v>
      </c>
      <c r="B1406" s="23" t="s">
        <v>7329</v>
      </c>
      <c r="C1406" s="140">
        <v>44662</v>
      </c>
      <c r="D1406" s="23" t="s">
        <v>729</v>
      </c>
      <c r="E1406" s="23" t="s">
        <v>752</v>
      </c>
      <c r="F1406" s="23" t="s">
        <v>5472</v>
      </c>
      <c r="G1406" s="23" t="s">
        <v>5538</v>
      </c>
      <c r="H1406" s="23" t="s">
        <v>7331</v>
      </c>
      <c r="I1406" s="23" t="s">
        <v>7331</v>
      </c>
      <c r="J1406" s="140">
        <v>44642</v>
      </c>
      <c r="T1406" s="23" t="s">
        <v>12031</v>
      </c>
      <c r="U1406" s="23" t="s">
        <v>12031</v>
      </c>
      <c r="V1406" s="23" t="s">
        <v>299</v>
      </c>
      <c r="W1406" s="23" t="s">
        <v>7332</v>
      </c>
      <c r="AB1406" s="23" t="s">
        <v>7587</v>
      </c>
      <c r="AC1406" s="23">
        <v>2</v>
      </c>
      <c r="AD1406" s="23">
        <v>0</v>
      </c>
      <c r="AE1406" s="23">
        <v>1</v>
      </c>
      <c r="AG1406" s="23" t="s">
        <v>3856</v>
      </c>
      <c r="AH1406" s="39">
        <v>44685</v>
      </c>
      <c r="AI1406" s="53" t="s">
        <v>6748</v>
      </c>
      <c r="AJ1406" s="64" t="s">
        <v>7834</v>
      </c>
      <c r="AK1406" s="53">
        <v>44692</v>
      </c>
    </row>
    <row r="1407" spans="1:37" ht="64">
      <c r="A1407" s="75" t="s">
        <v>7333</v>
      </c>
      <c r="B1407" s="23" t="s">
        <v>7334</v>
      </c>
      <c r="C1407" s="140">
        <v>44683</v>
      </c>
      <c r="D1407" s="23" t="s">
        <v>729</v>
      </c>
      <c r="E1407" s="23" t="s">
        <v>752</v>
      </c>
      <c r="F1407" s="23" t="s">
        <v>4899</v>
      </c>
      <c r="G1407" s="23" t="s">
        <v>1724</v>
      </c>
      <c r="P1407" s="23" t="s">
        <v>7335</v>
      </c>
      <c r="Q1407" s="140" t="s">
        <v>7336</v>
      </c>
      <c r="T1407" s="23" t="s">
        <v>12031</v>
      </c>
      <c r="U1407" s="23" t="s">
        <v>12031</v>
      </c>
      <c r="V1407" s="23" t="s">
        <v>298</v>
      </c>
      <c r="W1407" s="23" t="s">
        <v>6431</v>
      </c>
      <c r="Y1407" s="23">
        <v>45910</v>
      </c>
      <c r="Z1407" s="23">
        <v>136</v>
      </c>
      <c r="AB1407" s="19" t="s">
        <v>7337</v>
      </c>
      <c r="AC1407" s="23" t="s">
        <v>7338</v>
      </c>
      <c r="AD1407" s="23">
        <v>0</v>
      </c>
      <c r="AE1407" s="23">
        <v>5</v>
      </c>
      <c r="AF1407" s="19" t="s">
        <v>3214</v>
      </c>
      <c r="AG1407" s="23" t="s">
        <v>665</v>
      </c>
      <c r="AH1407" s="39">
        <v>44686</v>
      </c>
      <c r="AJ1407" s="64" t="s">
        <v>7825</v>
      </c>
      <c r="AK1407" s="53">
        <v>44687</v>
      </c>
    </row>
    <row r="1408" spans="1:37" ht="64">
      <c r="A1408" s="75" t="s">
        <v>7339</v>
      </c>
      <c r="B1408" s="23" t="s">
        <v>7340</v>
      </c>
      <c r="C1408" s="140">
        <v>44683</v>
      </c>
      <c r="F1408" s="23" t="s">
        <v>4899</v>
      </c>
      <c r="G1408" s="23" t="s">
        <v>1724</v>
      </c>
      <c r="W1408" s="23" t="s">
        <v>6431</v>
      </c>
      <c r="Y1408" s="23">
        <v>42490</v>
      </c>
      <c r="Z1408" s="23">
        <v>136</v>
      </c>
      <c r="AB1408" s="19" t="s">
        <v>7342</v>
      </c>
      <c r="AC1408" s="23" t="s">
        <v>7341</v>
      </c>
      <c r="AF1408" s="19" t="s">
        <v>3214</v>
      </c>
      <c r="AG1408" s="23" t="s">
        <v>665</v>
      </c>
      <c r="AH1408" s="39">
        <v>44686</v>
      </c>
    </row>
    <row r="1409" spans="1:37">
      <c r="A1409" s="75" t="s">
        <v>7343</v>
      </c>
      <c r="B1409" s="23" t="s">
        <v>7344</v>
      </c>
      <c r="C1409" s="140">
        <v>44683</v>
      </c>
      <c r="F1409" s="23" t="s">
        <v>4899</v>
      </c>
      <c r="G1409" s="23" t="s">
        <v>1724</v>
      </c>
      <c r="W1409" s="23" t="s">
        <v>6431</v>
      </c>
      <c r="Y1409" s="23">
        <v>20220</v>
      </c>
      <c r="Z1409" s="23">
        <v>68</v>
      </c>
      <c r="AB1409" s="23" t="s">
        <v>7345</v>
      </c>
      <c r="AC1409" s="23" t="s">
        <v>7346</v>
      </c>
      <c r="AF1409" s="23" t="s">
        <v>3297</v>
      </c>
      <c r="AG1409" s="23" t="s">
        <v>665</v>
      </c>
      <c r="AH1409" s="39">
        <v>44686</v>
      </c>
    </row>
    <row r="1410" spans="1:37">
      <c r="A1410" s="104" t="s">
        <v>7347</v>
      </c>
      <c r="B1410" s="23" t="s">
        <v>7348</v>
      </c>
      <c r="C1410" s="140">
        <v>44685</v>
      </c>
      <c r="D1410" s="23" t="s">
        <v>729</v>
      </c>
      <c r="E1410" s="23" t="s">
        <v>752</v>
      </c>
      <c r="F1410" s="23" t="s">
        <v>57</v>
      </c>
      <c r="G1410" s="23" t="s">
        <v>57</v>
      </c>
      <c r="H1410" s="23" t="s">
        <v>7349</v>
      </c>
      <c r="I1410" s="23" t="s">
        <v>7349</v>
      </c>
      <c r="J1410" s="140">
        <v>44683</v>
      </c>
      <c r="K1410" s="23" t="s">
        <v>7938</v>
      </c>
      <c r="L1410" s="140">
        <v>44718</v>
      </c>
      <c r="S1410" s="23" t="s">
        <v>183</v>
      </c>
      <c r="T1410" s="23" t="s">
        <v>305</v>
      </c>
      <c r="U1410" s="23" t="s">
        <v>305</v>
      </c>
      <c r="V1410" s="23" t="s">
        <v>233</v>
      </c>
      <c r="W1410" s="23" t="s">
        <v>143</v>
      </c>
      <c r="X1410" s="23">
        <v>30552.2</v>
      </c>
      <c r="Y1410" s="23">
        <v>30763.1</v>
      </c>
      <c r="Z1410" s="23">
        <v>31254.93</v>
      </c>
      <c r="AA1410" s="23">
        <v>28338.93</v>
      </c>
      <c r="AB1410" s="23" t="s">
        <v>7350</v>
      </c>
      <c r="AC1410" s="23" t="s">
        <v>7351</v>
      </c>
      <c r="AD1410" s="23">
        <v>0</v>
      </c>
      <c r="AE1410" s="23">
        <v>2</v>
      </c>
      <c r="AF1410" s="23" t="s">
        <v>3297</v>
      </c>
      <c r="AG1410" s="23" t="s">
        <v>792</v>
      </c>
      <c r="AH1410" s="39">
        <v>44686</v>
      </c>
    </row>
    <row r="1411" spans="1:37">
      <c r="A1411" s="75" t="s">
        <v>7352</v>
      </c>
      <c r="B1411" s="23" t="s">
        <v>7353</v>
      </c>
      <c r="C1411" s="140">
        <v>44674</v>
      </c>
      <c r="D1411" s="23" t="s">
        <v>729</v>
      </c>
      <c r="E1411" s="23" t="s">
        <v>752</v>
      </c>
      <c r="F1411" s="23" t="s">
        <v>7162</v>
      </c>
      <c r="G1411" s="23" t="s">
        <v>1724</v>
      </c>
      <c r="P1411" s="23" t="s">
        <v>7354</v>
      </c>
      <c r="Q1411" s="140" t="s">
        <v>7355</v>
      </c>
      <c r="T1411" s="23" t="s">
        <v>12031</v>
      </c>
      <c r="U1411" s="23" t="s">
        <v>12031</v>
      </c>
      <c r="V1411" s="23" t="s">
        <v>298</v>
      </c>
      <c r="W1411" s="23" t="s">
        <v>7158</v>
      </c>
      <c r="Y1411" s="38">
        <v>12324</v>
      </c>
      <c r="Z1411" s="23">
        <v>45.5</v>
      </c>
      <c r="AB1411" s="23" t="s">
        <v>7356</v>
      </c>
      <c r="AC1411" s="23" t="s">
        <v>7364</v>
      </c>
      <c r="AD1411" s="23">
        <v>0</v>
      </c>
      <c r="AE1411" s="23">
        <v>4</v>
      </c>
      <c r="AF1411" s="23" t="s">
        <v>5478</v>
      </c>
      <c r="AG1411" s="23" t="s">
        <v>7161</v>
      </c>
      <c r="AH1411" s="39">
        <v>44687</v>
      </c>
      <c r="AJ1411" s="64" t="s">
        <v>7829</v>
      </c>
      <c r="AK1411" s="53">
        <v>44688</v>
      </c>
    </row>
    <row r="1412" spans="1:37">
      <c r="A1412" s="75" t="s">
        <v>7357</v>
      </c>
      <c r="B1412" s="23" t="s">
        <v>7358</v>
      </c>
      <c r="C1412" s="140">
        <v>44685</v>
      </c>
      <c r="F1412" s="23" t="s">
        <v>4899</v>
      </c>
      <c r="G1412" s="23" t="s">
        <v>1724</v>
      </c>
      <c r="P1412" s="23" t="s">
        <v>7359</v>
      </c>
      <c r="Q1412" s="140" t="s">
        <v>7360</v>
      </c>
      <c r="W1412" s="23" t="s">
        <v>6431</v>
      </c>
      <c r="Y1412" s="23">
        <v>22180</v>
      </c>
      <c r="Z1412" s="23">
        <v>68</v>
      </c>
      <c r="AB1412" s="23" t="s">
        <v>7361</v>
      </c>
      <c r="AC1412" s="23" t="s">
        <v>7362</v>
      </c>
      <c r="AF1412" s="23" t="s">
        <v>5478</v>
      </c>
      <c r="AG1412" s="23" t="s">
        <v>1196</v>
      </c>
      <c r="AH1412" s="39">
        <v>44687</v>
      </c>
    </row>
    <row r="1413" spans="1:37" ht="48">
      <c r="A1413" s="75" t="s">
        <v>7363</v>
      </c>
      <c r="B1413" s="23" t="s">
        <v>7365</v>
      </c>
      <c r="C1413" s="140">
        <v>44682</v>
      </c>
      <c r="F1413" s="23" t="s">
        <v>4899</v>
      </c>
      <c r="G1413" s="23" t="s">
        <v>1724</v>
      </c>
      <c r="P1413" s="23" t="s">
        <v>7335</v>
      </c>
      <c r="Q1413" s="140" t="s">
        <v>7336</v>
      </c>
      <c r="W1413" s="23" t="s">
        <v>6457</v>
      </c>
      <c r="Y1413" s="23">
        <v>42043</v>
      </c>
      <c r="Z1413" s="23">
        <v>133</v>
      </c>
      <c r="AB1413" s="19" t="s">
        <v>7366</v>
      </c>
      <c r="AC1413" s="23" t="s">
        <v>7367</v>
      </c>
      <c r="AF1413" s="19" t="s">
        <v>7368</v>
      </c>
      <c r="AG1413" s="23" t="s">
        <v>637</v>
      </c>
      <c r="AH1413" s="39">
        <v>44687</v>
      </c>
    </row>
    <row r="1414" spans="1:37" ht="64">
      <c r="A1414" s="75" t="s">
        <v>7369</v>
      </c>
      <c r="B1414" s="23" t="s">
        <v>7370</v>
      </c>
      <c r="C1414" s="140">
        <v>44680</v>
      </c>
      <c r="F1414" s="23" t="s">
        <v>4899</v>
      </c>
      <c r="G1414" s="23" t="s">
        <v>1724</v>
      </c>
      <c r="P1414" s="23" t="s">
        <v>7295</v>
      </c>
      <c r="Q1414" s="140" t="s">
        <v>7296</v>
      </c>
      <c r="T1414" s="23" t="s">
        <v>12031</v>
      </c>
      <c r="U1414" s="23" t="s">
        <v>12031</v>
      </c>
      <c r="V1414" s="23" t="s">
        <v>298</v>
      </c>
      <c r="W1414" s="23" t="s">
        <v>6457</v>
      </c>
      <c r="Y1414" s="38">
        <v>33030</v>
      </c>
      <c r="Z1414" s="23">
        <v>131</v>
      </c>
      <c r="AB1414" s="19" t="s">
        <v>7371</v>
      </c>
      <c r="AC1414" s="23" t="s">
        <v>7372</v>
      </c>
      <c r="AD1414" s="23">
        <v>0</v>
      </c>
      <c r="AE1414" s="23">
        <v>2</v>
      </c>
      <c r="AF1414" s="19" t="s">
        <v>6439</v>
      </c>
      <c r="AG1414" s="23" t="s">
        <v>637</v>
      </c>
      <c r="AH1414" s="39">
        <v>44687</v>
      </c>
      <c r="AJ1414" s="64" t="s">
        <v>7830</v>
      </c>
      <c r="AK1414" s="53">
        <v>44688</v>
      </c>
    </row>
    <row r="1415" spans="1:37">
      <c r="A1415" s="75" t="s">
        <v>7373</v>
      </c>
      <c r="B1415" s="23" t="s">
        <v>7374</v>
      </c>
      <c r="C1415" s="140">
        <v>44683</v>
      </c>
      <c r="D1415" s="23" t="s">
        <v>729</v>
      </c>
      <c r="E1415" s="23" t="s">
        <v>752</v>
      </c>
      <c r="F1415" s="23" t="s">
        <v>7082</v>
      </c>
      <c r="G1415" s="23" t="s">
        <v>1724</v>
      </c>
      <c r="P1415" s="23" t="s">
        <v>7335</v>
      </c>
      <c r="Q1415" s="140" t="s">
        <v>7336</v>
      </c>
      <c r="T1415" s="23" t="s">
        <v>12031</v>
      </c>
      <c r="U1415" s="23" t="s">
        <v>12031</v>
      </c>
      <c r="V1415" s="23" t="s">
        <v>298</v>
      </c>
      <c r="W1415" s="23" t="s">
        <v>6875</v>
      </c>
      <c r="Y1415" s="23">
        <v>15000</v>
      </c>
      <c r="Z1415" s="23">
        <v>68</v>
      </c>
      <c r="AB1415" s="23" t="s">
        <v>7375</v>
      </c>
      <c r="AC1415" s="23" t="s">
        <v>7253</v>
      </c>
      <c r="AD1415" s="23">
        <v>0</v>
      </c>
      <c r="AE1415" s="23">
        <v>3</v>
      </c>
      <c r="AF1415" s="23" t="s">
        <v>5478</v>
      </c>
      <c r="AG1415" s="23" t="s">
        <v>666</v>
      </c>
      <c r="AH1415" s="39">
        <v>44687</v>
      </c>
      <c r="AJ1415" s="64" t="s">
        <v>7826</v>
      </c>
      <c r="AK1415" s="53">
        <v>44688</v>
      </c>
    </row>
    <row r="1416" spans="1:37" ht="64">
      <c r="A1416" s="75" t="s">
        <v>7376</v>
      </c>
      <c r="B1416" s="23" t="s">
        <v>7377</v>
      </c>
      <c r="C1416" s="140">
        <v>44682</v>
      </c>
      <c r="F1416" s="23" t="s">
        <v>7082</v>
      </c>
      <c r="G1416" s="23" t="s">
        <v>1724</v>
      </c>
      <c r="W1416" s="23" t="s">
        <v>7080</v>
      </c>
      <c r="Y1416" s="23">
        <v>30000</v>
      </c>
      <c r="Z1416" s="23">
        <v>136</v>
      </c>
      <c r="AB1416" s="19" t="s">
        <v>7378</v>
      </c>
      <c r="AC1416" s="23" t="s">
        <v>7379</v>
      </c>
      <c r="AF1416" s="19" t="s">
        <v>7368</v>
      </c>
      <c r="AG1416" s="23" t="s">
        <v>666</v>
      </c>
      <c r="AH1416" s="39">
        <v>44687</v>
      </c>
    </row>
    <row r="1417" spans="1:37">
      <c r="A1417" s="75" t="s">
        <v>7380</v>
      </c>
      <c r="B1417" s="23" t="s">
        <v>7381</v>
      </c>
      <c r="C1417" s="140">
        <v>44683</v>
      </c>
      <c r="D1417" s="23" t="s">
        <v>729</v>
      </c>
      <c r="E1417" s="23" t="s">
        <v>752</v>
      </c>
      <c r="F1417" s="23" t="s">
        <v>7082</v>
      </c>
      <c r="G1417" s="23" t="s">
        <v>1724</v>
      </c>
      <c r="P1417" s="23" t="s">
        <v>7335</v>
      </c>
      <c r="Q1417" s="140" t="s">
        <v>7336</v>
      </c>
      <c r="T1417" s="23" t="s">
        <v>12031</v>
      </c>
      <c r="U1417" s="23" t="s">
        <v>12031</v>
      </c>
      <c r="V1417" s="23" t="s">
        <v>298</v>
      </c>
      <c r="W1417" s="23" t="s">
        <v>6875</v>
      </c>
      <c r="Y1417" s="23">
        <v>15000</v>
      </c>
      <c r="Z1417" s="23">
        <v>68</v>
      </c>
      <c r="AB1417" s="23" t="s">
        <v>7382</v>
      </c>
      <c r="AC1417" s="23" t="s">
        <v>7253</v>
      </c>
      <c r="AD1417" s="23">
        <v>0</v>
      </c>
      <c r="AE1417" s="23">
        <v>3</v>
      </c>
      <c r="AF1417" s="23" t="s">
        <v>5478</v>
      </c>
      <c r="AG1417" s="23" t="s">
        <v>6573</v>
      </c>
      <c r="AH1417" s="39">
        <v>44687</v>
      </c>
      <c r="AJ1417" s="64" t="s">
        <v>7827</v>
      </c>
      <c r="AK1417" s="53">
        <v>44688</v>
      </c>
    </row>
    <row r="1418" spans="1:37" ht="64">
      <c r="A1418" s="75" t="s">
        <v>7383</v>
      </c>
      <c r="B1418" s="23" t="s">
        <v>7384</v>
      </c>
      <c r="C1418" s="140">
        <v>44682</v>
      </c>
      <c r="F1418" s="23" t="s">
        <v>7082</v>
      </c>
      <c r="G1418" s="23" t="s">
        <v>1724</v>
      </c>
      <c r="W1418" s="23" t="s">
        <v>7080</v>
      </c>
      <c r="Y1418" s="23">
        <v>30000</v>
      </c>
      <c r="Z1418" s="23">
        <v>136</v>
      </c>
      <c r="AB1418" s="19" t="s">
        <v>7385</v>
      </c>
      <c r="AC1418" s="23" t="s">
        <v>7379</v>
      </c>
      <c r="AF1418" s="19" t="s">
        <v>7368</v>
      </c>
      <c r="AG1418" s="23" t="s">
        <v>666</v>
      </c>
      <c r="AH1418" s="39">
        <v>44687</v>
      </c>
    </row>
    <row r="1419" spans="1:37">
      <c r="A1419" s="75" t="s">
        <v>7386</v>
      </c>
      <c r="B1419" s="23" t="s">
        <v>7387</v>
      </c>
      <c r="C1419" s="140">
        <v>44678</v>
      </c>
      <c r="D1419" s="23" t="s">
        <v>729</v>
      </c>
      <c r="E1419" s="23" t="s">
        <v>752</v>
      </c>
      <c r="F1419" s="23" t="s">
        <v>7082</v>
      </c>
      <c r="G1419" s="23" t="s">
        <v>1724</v>
      </c>
      <c r="P1419" s="23" t="s">
        <v>7388</v>
      </c>
      <c r="Q1419" s="140" t="s">
        <v>7296</v>
      </c>
      <c r="T1419" s="23" t="s">
        <v>12031</v>
      </c>
      <c r="U1419" s="23" t="s">
        <v>12031</v>
      </c>
      <c r="V1419" s="23" t="s">
        <v>298</v>
      </c>
      <c r="W1419" s="23" t="s">
        <v>7080</v>
      </c>
      <c r="Y1419" s="23">
        <v>15000</v>
      </c>
      <c r="Z1419" s="23">
        <v>68</v>
      </c>
      <c r="AB1419" s="23" t="s">
        <v>7389</v>
      </c>
      <c r="AC1419" s="23" t="s">
        <v>7144</v>
      </c>
      <c r="AD1419" s="23">
        <v>0</v>
      </c>
      <c r="AE1419" s="23">
        <v>2</v>
      </c>
      <c r="AF1419" s="23" t="s">
        <v>3864</v>
      </c>
      <c r="AG1419" s="23" t="s">
        <v>1585</v>
      </c>
      <c r="AH1419" s="39">
        <v>44687</v>
      </c>
      <c r="AJ1419" s="64" t="s">
        <v>7828</v>
      </c>
      <c r="AK1419" s="53">
        <v>44688</v>
      </c>
    </row>
    <row r="1420" spans="1:37">
      <c r="A1420" s="75" t="s">
        <v>7390</v>
      </c>
      <c r="B1420" s="23" t="s">
        <v>7391</v>
      </c>
      <c r="C1420" s="140">
        <v>44678</v>
      </c>
      <c r="F1420" s="23" t="s">
        <v>4899</v>
      </c>
      <c r="G1420" s="23" t="s">
        <v>1724</v>
      </c>
      <c r="W1420" s="23" t="s">
        <v>2280</v>
      </c>
      <c r="Y1420" s="23">
        <v>8050</v>
      </c>
      <c r="Z1420" s="23">
        <v>68</v>
      </c>
      <c r="AB1420" s="23" t="s">
        <v>7392</v>
      </c>
      <c r="AC1420" s="23" t="s">
        <v>7393</v>
      </c>
      <c r="AF1420" s="23" t="s">
        <v>3864</v>
      </c>
      <c r="AG1420" s="23" t="s">
        <v>665</v>
      </c>
      <c r="AH1420" s="39">
        <v>44687</v>
      </c>
    </row>
    <row r="1421" spans="1:37">
      <c r="A1421" s="75" t="s">
        <v>7394</v>
      </c>
      <c r="B1421" s="23" t="s">
        <v>7417</v>
      </c>
      <c r="C1421" s="140">
        <v>44684</v>
      </c>
      <c r="D1421" s="23" t="s">
        <v>729</v>
      </c>
      <c r="E1421" s="23" t="s">
        <v>752</v>
      </c>
      <c r="F1421" s="23" t="s">
        <v>4899</v>
      </c>
      <c r="G1421" s="23" t="s">
        <v>1724</v>
      </c>
      <c r="Q1421" s="140" t="s">
        <v>7418</v>
      </c>
      <c r="T1421" s="23" t="s">
        <v>3715</v>
      </c>
      <c r="U1421" s="23" t="s">
        <v>3715</v>
      </c>
      <c r="V1421" s="23" t="s">
        <v>298</v>
      </c>
      <c r="W1421" s="23" t="s">
        <v>6707</v>
      </c>
      <c r="Y1421" s="38">
        <v>9800</v>
      </c>
      <c r="Z1421" s="23">
        <v>68</v>
      </c>
      <c r="AB1421" s="23" t="s">
        <v>7419</v>
      </c>
      <c r="AC1421" s="23" t="s">
        <v>7420</v>
      </c>
      <c r="AD1421" s="23">
        <v>0</v>
      </c>
      <c r="AE1421" s="23">
        <v>1</v>
      </c>
      <c r="AF1421" s="23" t="s">
        <v>3864</v>
      </c>
      <c r="AG1421" s="23" t="s">
        <v>637</v>
      </c>
      <c r="AH1421" s="39">
        <v>44690</v>
      </c>
      <c r="AJ1421" s="64" t="s">
        <v>7831</v>
      </c>
      <c r="AK1421" s="53">
        <v>44691</v>
      </c>
    </row>
    <row r="1422" spans="1:37">
      <c r="A1422" s="75" t="s">
        <v>7404</v>
      </c>
      <c r="B1422" s="23" t="s">
        <v>7395</v>
      </c>
      <c r="C1422" s="140">
        <v>44682</v>
      </c>
      <c r="D1422" s="23" t="s">
        <v>729</v>
      </c>
      <c r="E1422" s="23" t="s">
        <v>752</v>
      </c>
      <c r="F1422" s="23" t="s">
        <v>4899</v>
      </c>
      <c r="G1422" s="23" t="s">
        <v>1724</v>
      </c>
      <c r="P1422" s="23" t="s">
        <v>7388</v>
      </c>
      <c r="Q1422" s="140" t="s">
        <v>7296</v>
      </c>
      <c r="T1422" s="23" t="s">
        <v>12031</v>
      </c>
      <c r="U1422" s="23" t="s">
        <v>12031</v>
      </c>
      <c r="V1422" s="23" t="s">
        <v>298</v>
      </c>
      <c r="W1422" s="23" t="s">
        <v>6431</v>
      </c>
      <c r="Y1422" s="23">
        <v>20250</v>
      </c>
      <c r="Z1422" s="23">
        <v>67</v>
      </c>
      <c r="AB1422" s="23" t="s">
        <v>7396</v>
      </c>
      <c r="AC1422" s="23" t="s">
        <v>7397</v>
      </c>
      <c r="AD1422" s="23">
        <v>0</v>
      </c>
      <c r="AE1422" s="23">
        <v>5</v>
      </c>
      <c r="AF1422" s="23" t="s">
        <v>3864</v>
      </c>
      <c r="AG1422" s="23" t="s">
        <v>7307</v>
      </c>
      <c r="AH1422" s="39">
        <v>44690</v>
      </c>
      <c r="AJ1422" s="75" t="s">
        <v>7832</v>
      </c>
      <c r="AK1422" s="53">
        <v>44691</v>
      </c>
    </row>
    <row r="1423" spans="1:37">
      <c r="A1423" s="75" t="s">
        <v>7414</v>
      </c>
      <c r="B1423" s="23" t="s">
        <v>7398</v>
      </c>
      <c r="C1423" s="140">
        <v>44682</v>
      </c>
      <c r="F1423" s="23" t="s">
        <v>4899</v>
      </c>
      <c r="G1423" s="23" t="s">
        <v>1724</v>
      </c>
      <c r="W1423" s="23" t="s">
        <v>498</v>
      </c>
      <c r="Y1423" s="23">
        <v>18440</v>
      </c>
      <c r="Z1423" s="23">
        <v>67</v>
      </c>
      <c r="AB1423" s="23" t="s">
        <v>7399</v>
      </c>
      <c r="AC1423" s="23" t="s">
        <v>7400</v>
      </c>
      <c r="AF1423" s="23" t="s">
        <v>3864</v>
      </c>
      <c r="AG1423" s="23" t="s">
        <v>637</v>
      </c>
      <c r="AH1423" s="39">
        <v>44690</v>
      </c>
    </row>
    <row r="1424" spans="1:37" ht="32">
      <c r="A1424" s="75" t="s">
        <v>7415</v>
      </c>
      <c r="B1424" s="23" t="s">
        <v>7401</v>
      </c>
      <c r="C1424" s="140">
        <v>44682</v>
      </c>
      <c r="F1424" s="23" t="s">
        <v>4899</v>
      </c>
      <c r="G1424" s="23" t="s">
        <v>1724</v>
      </c>
      <c r="W1424" s="23" t="s">
        <v>6457</v>
      </c>
      <c r="Y1424" s="23">
        <v>26242</v>
      </c>
      <c r="Z1424" s="23">
        <v>136</v>
      </c>
      <c r="AB1424" s="19" t="s">
        <v>7402</v>
      </c>
      <c r="AC1424" s="23" t="s">
        <v>7403</v>
      </c>
      <c r="AF1424" s="19" t="s">
        <v>6379</v>
      </c>
      <c r="AG1424" s="23" t="s">
        <v>637</v>
      </c>
      <c r="AH1424" s="39">
        <v>44690</v>
      </c>
    </row>
    <row r="1425" spans="1:37">
      <c r="A1425" s="75" t="s">
        <v>7416</v>
      </c>
      <c r="B1425" s="23" t="s">
        <v>7405</v>
      </c>
      <c r="C1425" s="140">
        <v>44682</v>
      </c>
      <c r="F1425" s="23" t="s">
        <v>4899</v>
      </c>
      <c r="G1425" s="23" t="s">
        <v>1724</v>
      </c>
      <c r="P1425" s="23" t="s">
        <v>7388</v>
      </c>
      <c r="Q1425" s="140" t="s">
        <v>7296</v>
      </c>
      <c r="T1425" s="23" t="s">
        <v>12031</v>
      </c>
      <c r="U1425" s="23" t="s">
        <v>12031</v>
      </c>
      <c r="V1425" s="23" t="s">
        <v>298</v>
      </c>
      <c r="W1425" s="23" t="s">
        <v>532</v>
      </c>
      <c r="Y1425" s="23">
        <v>11280</v>
      </c>
      <c r="Z1425" s="23">
        <v>63.53</v>
      </c>
      <c r="AB1425" s="23" t="s">
        <v>7421</v>
      </c>
      <c r="AC1425" s="23" t="s">
        <v>7406</v>
      </c>
      <c r="AF1425" s="23" t="s">
        <v>3864</v>
      </c>
      <c r="AG1425" s="23" t="s">
        <v>665</v>
      </c>
      <c r="AH1425" s="39">
        <v>44690</v>
      </c>
    </row>
    <row r="1426" spans="1:37">
      <c r="A1426" s="75" t="s">
        <v>7407</v>
      </c>
      <c r="B1426" s="23" t="s">
        <v>7408</v>
      </c>
      <c r="C1426" s="140">
        <v>44653</v>
      </c>
      <c r="D1426" s="23" t="s">
        <v>729</v>
      </c>
      <c r="E1426" s="23" t="s">
        <v>752</v>
      </c>
      <c r="F1426" s="23" t="s">
        <v>5697</v>
      </c>
      <c r="G1426" s="23" t="s">
        <v>5698</v>
      </c>
      <c r="P1426" s="23" t="s">
        <v>7409</v>
      </c>
      <c r="Q1426" s="140" t="s">
        <v>7410</v>
      </c>
      <c r="T1426" s="23" t="s">
        <v>12031</v>
      </c>
      <c r="U1426" s="23" t="s">
        <v>12031</v>
      </c>
      <c r="V1426" s="23" t="s">
        <v>298</v>
      </c>
      <c r="W1426" s="23" t="s">
        <v>7411</v>
      </c>
      <c r="Y1426" s="23">
        <v>4000</v>
      </c>
      <c r="Z1426" s="23">
        <v>40</v>
      </c>
      <c r="AB1426" s="23" t="s">
        <v>7412</v>
      </c>
      <c r="AC1426" s="23" t="s">
        <v>123</v>
      </c>
      <c r="AD1426" s="23">
        <v>0</v>
      </c>
      <c r="AE1426" s="23">
        <v>1</v>
      </c>
      <c r="AF1426" s="23" t="s">
        <v>3864</v>
      </c>
      <c r="AG1426" s="23" t="s">
        <v>7413</v>
      </c>
      <c r="AH1426" s="39">
        <v>44690</v>
      </c>
      <c r="AJ1426" s="64" t="s">
        <v>7833</v>
      </c>
      <c r="AK1426" s="53">
        <v>44691</v>
      </c>
    </row>
    <row r="1427" spans="1:37">
      <c r="A1427" s="75" t="s">
        <v>7423</v>
      </c>
      <c r="B1427" s="23" t="s">
        <v>7424</v>
      </c>
      <c r="C1427" s="140">
        <v>44689</v>
      </c>
      <c r="D1427" s="23" t="s">
        <v>729</v>
      </c>
      <c r="E1427" s="23" t="s">
        <v>752</v>
      </c>
      <c r="F1427" s="23" t="s">
        <v>4899</v>
      </c>
      <c r="G1427" s="23" t="s">
        <v>1724</v>
      </c>
      <c r="P1427" s="23" t="s">
        <v>7425</v>
      </c>
      <c r="Q1427" s="140" t="s">
        <v>7426</v>
      </c>
      <c r="T1427" s="23" t="s">
        <v>12031</v>
      </c>
      <c r="U1427" s="23" t="s">
        <v>12031</v>
      </c>
      <c r="V1427" s="23" t="s">
        <v>298</v>
      </c>
      <c r="W1427" s="23" t="s">
        <v>498</v>
      </c>
      <c r="Y1427" s="38">
        <v>11790</v>
      </c>
      <c r="Z1427" s="23">
        <v>68</v>
      </c>
      <c r="AB1427" s="23" t="s">
        <v>7427</v>
      </c>
      <c r="AC1427" s="23" t="s">
        <v>7222</v>
      </c>
      <c r="AD1427" s="23">
        <v>0</v>
      </c>
      <c r="AE1427" s="23">
        <v>2</v>
      </c>
      <c r="AF1427" s="23" t="s">
        <v>7428</v>
      </c>
      <c r="AG1427" s="23" t="s">
        <v>665</v>
      </c>
      <c r="AH1427" s="39">
        <v>44692</v>
      </c>
      <c r="AJ1427" s="75" t="s">
        <v>7835</v>
      </c>
      <c r="AK1427" s="53">
        <v>44693</v>
      </c>
    </row>
    <row r="1428" spans="1:37">
      <c r="A1428" s="75" t="s">
        <v>7429</v>
      </c>
      <c r="B1428" s="23" t="s">
        <v>7430</v>
      </c>
      <c r="C1428" s="140">
        <v>44689</v>
      </c>
      <c r="F1428" s="23" t="s">
        <v>4899</v>
      </c>
      <c r="G1428" s="23" t="s">
        <v>1724</v>
      </c>
      <c r="W1428" s="23" t="s">
        <v>2280</v>
      </c>
      <c r="Y1428" s="23">
        <v>8050</v>
      </c>
      <c r="Z1428" s="23">
        <v>68</v>
      </c>
      <c r="AB1428" s="23" t="s">
        <v>7431</v>
      </c>
      <c r="AC1428" s="23" t="s">
        <v>5052</v>
      </c>
      <c r="AF1428" s="23" t="s">
        <v>7428</v>
      </c>
      <c r="AG1428" s="23" t="s">
        <v>7432</v>
      </c>
      <c r="AH1428" s="39">
        <v>44692</v>
      </c>
    </row>
    <row r="1429" spans="1:37">
      <c r="A1429" s="75" t="s">
        <v>7438</v>
      </c>
      <c r="B1429" s="23" t="s">
        <v>7443</v>
      </c>
      <c r="C1429" s="140">
        <v>44691</v>
      </c>
      <c r="D1429" s="23" t="s">
        <v>729</v>
      </c>
      <c r="E1429" s="23" t="s">
        <v>752</v>
      </c>
      <c r="F1429" s="23" t="s">
        <v>4899</v>
      </c>
      <c r="G1429" s="23" t="s">
        <v>1724</v>
      </c>
      <c r="P1429" s="23" t="s">
        <v>7444</v>
      </c>
      <c r="Q1429" s="140" t="s">
        <v>7445</v>
      </c>
      <c r="T1429" s="23" t="s">
        <v>12031</v>
      </c>
      <c r="U1429" s="23" t="s">
        <v>12031</v>
      </c>
      <c r="V1429" s="23" t="s">
        <v>298</v>
      </c>
      <c r="W1429" s="23" t="s">
        <v>7446</v>
      </c>
      <c r="Y1429" s="23">
        <v>12500</v>
      </c>
      <c r="Z1429" s="23">
        <v>68</v>
      </c>
      <c r="AB1429" s="23" t="s">
        <v>7447</v>
      </c>
      <c r="AC1429" s="23" t="s">
        <v>7448</v>
      </c>
      <c r="AD1429" s="23">
        <v>0</v>
      </c>
      <c r="AE1429" s="23">
        <v>2</v>
      </c>
      <c r="AF1429" s="23" t="s">
        <v>6434</v>
      </c>
      <c r="AG1429" s="23" t="s">
        <v>666</v>
      </c>
      <c r="AH1429" s="39">
        <v>44694</v>
      </c>
      <c r="AJ1429" s="64" t="s">
        <v>7836</v>
      </c>
      <c r="AK1429" s="53">
        <v>44695</v>
      </c>
    </row>
    <row r="1430" spans="1:37">
      <c r="A1430" s="75" t="s">
        <v>7439</v>
      </c>
      <c r="B1430" s="23" t="s">
        <v>7449</v>
      </c>
      <c r="C1430" s="140">
        <v>44691</v>
      </c>
      <c r="F1430" s="23" t="s">
        <v>4899</v>
      </c>
      <c r="G1430" s="23" t="s">
        <v>1724</v>
      </c>
      <c r="W1430" s="23" t="s">
        <v>2280</v>
      </c>
      <c r="Y1430" s="23">
        <v>8050</v>
      </c>
      <c r="Z1430" s="23">
        <v>68</v>
      </c>
      <c r="AB1430" s="23" t="s">
        <v>7450</v>
      </c>
      <c r="AC1430" s="23" t="s">
        <v>5052</v>
      </c>
      <c r="AF1430" s="23" t="s">
        <v>6434</v>
      </c>
      <c r="AG1430" s="23" t="s">
        <v>666</v>
      </c>
      <c r="AH1430" s="39">
        <v>44694</v>
      </c>
    </row>
    <row r="1431" spans="1:37">
      <c r="A1431" s="75" t="s">
        <v>7440</v>
      </c>
      <c r="B1431" s="23" t="s">
        <v>7451</v>
      </c>
      <c r="C1431" s="140">
        <v>44691</v>
      </c>
      <c r="D1431" s="23" t="s">
        <v>729</v>
      </c>
      <c r="E1431" s="23" t="s">
        <v>752</v>
      </c>
      <c r="F1431" s="23" t="s">
        <v>7082</v>
      </c>
      <c r="G1431" s="23" t="s">
        <v>1724</v>
      </c>
      <c r="P1431" s="23" t="s">
        <v>7444</v>
      </c>
      <c r="Q1431" s="140" t="s">
        <v>7445</v>
      </c>
      <c r="T1431" s="23" t="s">
        <v>12031</v>
      </c>
      <c r="U1431" s="23" t="s">
        <v>12031</v>
      </c>
      <c r="V1431" s="23" t="s">
        <v>298</v>
      </c>
      <c r="W1431" s="23" t="s">
        <v>7080</v>
      </c>
      <c r="Y1431" s="23">
        <v>15000</v>
      </c>
      <c r="Z1431" s="23">
        <v>68</v>
      </c>
      <c r="AB1431" s="23" t="s">
        <v>7452</v>
      </c>
      <c r="AC1431" s="23" t="s">
        <v>7206</v>
      </c>
      <c r="AD1431" s="23">
        <v>0</v>
      </c>
      <c r="AE1431" s="23">
        <v>3</v>
      </c>
      <c r="AF1431" s="23" t="s">
        <v>6434</v>
      </c>
      <c r="AG1431" s="23" t="s">
        <v>666</v>
      </c>
      <c r="AH1431" s="39">
        <v>44694</v>
      </c>
      <c r="AJ1431" s="64" t="s">
        <v>7837</v>
      </c>
      <c r="AK1431" s="53">
        <v>44695</v>
      </c>
    </row>
    <row r="1432" spans="1:37">
      <c r="A1432" s="75" t="s">
        <v>7441</v>
      </c>
      <c r="B1432" s="23" t="s">
        <v>7453</v>
      </c>
      <c r="C1432" s="140">
        <v>44691</v>
      </c>
      <c r="F1432" s="23" t="s">
        <v>7082</v>
      </c>
      <c r="G1432" s="23" t="s">
        <v>1724</v>
      </c>
      <c r="W1432" s="23" t="s">
        <v>7080</v>
      </c>
      <c r="Y1432" s="23">
        <v>15000</v>
      </c>
      <c r="Z1432" s="23">
        <v>68</v>
      </c>
      <c r="AB1432" s="23" t="s">
        <v>7454</v>
      </c>
      <c r="AC1432" s="23" t="s">
        <v>7206</v>
      </c>
      <c r="AF1432" s="23" t="s">
        <v>6434</v>
      </c>
      <c r="AG1432" s="23" t="s">
        <v>666</v>
      </c>
      <c r="AH1432" s="39">
        <v>44694</v>
      </c>
    </row>
    <row r="1433" spans="1:37">
      <c r="A1433" s="75" t="s">
        <v>7442</v>
      </c>
      <c r="B1433" s="23" t="s">
        <v>7455</v>
      </c>
      <c r="C1433" s="140">
        <v>44691</v>
      </c>
      <c r="F1433" s="23" t="s">
        <v>7082</v>
      </c>
      <c r="G1433" s="23" t="s">
        <v>1724</v>
      </c>
      <c r="W1433" s="23" t="s">
        <v>7080</v>
      </c>
      <c r="Y1433" s="23">
        <v>15000</v>
      </c>
      <c r="Z1433" s="23">
        <v>68</v>
      </c>
      <c r="AB1433" s="23" t="s">
        <v>7456</v>
      </c>
      <c r="AC1433" s="23" t="s">
        <v>7206</v>
      </c>
      <c r="AF1433" s="23" t="s">
        <v>6434</v>
      </c>
      <c r="AG1433" s="23" t="s">
        <v>666</v>
      </c>
      <c r="AH1433" s="39">
        <v>44694</v>
      </c>
    </row>
    <row r="1434" spans="1:37">
      <c r="A1434" s="75" t="s">
        <v>7459</v>
      </c>
      <c r="B1434" s="23" t="s">
        <v>7460</v>
      </c>
      <c r="C1434" s="140">
        <v>44688</v>
      </c>
      <c r="D1434" s="23" t="s">
        <v>729</v>
      </c>
      <c r="E1434" s="23" t="s">
        <v>752</v>
      </c>
      <c r="F1434" s="23" t="s">
        <v>4899</v>
      </c>
      <c r="G1434" s="23" t="s">
        <v>1724</v>
      </c>
      <c r="P1434" s="23" t="s">
        <v>7461</v>
      </c>
      <c r="Q1434" s="140" t="s">
        <v>7445</v>
      </c>
      <c r="T1434" s="23" t="s">
        <v>12031</v>
      </c>
      <c r="U1434" s="23" t="s">
        <v>12031</v>
      </c>
      <c r="V1434" s="23" t="s">
        <v>298</v>
      </c>
      <c r="W1434" s="23" t="s">
        <v>2280</v>
      </c>
      <c r="Y1434" s="23">
        <v>8050</v>
      </c>
      <c r="Z1434" s="23">
        <v>68</v>
      </c>
      <c r="AB1434" s="23" t="s">
        <v>7464</v>
      </c>
      <c r="AC1434" s="23" t="s">
        <v>7465</v>
      </c>
      <c r="AD1434" s="23">
        <v>0</v>
      </c>
      <c r="AE1434" s="23">
        <v>3</v>
      </c>
      <c r="AF1434" s="23" t="s">
        <v>5478</v>
      </c>
      <c r="AG1434" s="23" t="s">
        <v>637</v>
      </c>
      <c r="AH1434" s="39">
        <v>44697</v>
      </c>
      <c r="AJ1434" s="64" t="s">
        <v>5340</v>
      </c>
      <c r="AK1434" s="53">
        <v>44698</v>
      </c>
    </row>
    <row r="1435" spans="1:37">
      <c r="A1435" s="75" t="s">
        <v>7462</v>
      </c>
      <c r="B1435" s="23" t="s">
        <v>7463</v>
      </c>
      <c r="C1435" s="140">
        <v>44688</v>
      </c>
      <c r="F1435" s="23" t="s">
        <v>4899</v>
      </c>
      <c r="G1435" s="23" t="s">
        <v>1724</v>
      </c>
      <c r="W1435" s="23" t="s">
        <v>6457</v>
      </c>
      <c r="Y1435" s="38">
        <v>19450</v>
      </c>
      <c r="Z1435" s="23">
        <v>68</v>
      </c>
      <c r="AB1435" s="23" t="s">
        <v>7466</v>
      </c>
      <c r="AC1435" s="23" t="s">
        <v>7467</v>
      </c>
      <c r="AF1435" s="23" t="s">
        <v>5478</v>
      </c>
      <c r="AG1435" s="23" t="s">
        <v>637</v>
      </c>
      <c r="AH1435" s="39">
        <v>44697</v>
      </c>
    </row>
    <row r="1436" spans="1:37">
      <c r="A1436" s="75" t="s">
        <v>7468</v>
      </c>
      <c r="B1436" s="23" t="s">
        <v>7469</v>
      </c>
      <c r="C1436" s="140">
        <v>44687</v>
      </c>
      <c r="F1436" s="23" t="s">
        <v>4899</v>
      </c>
      <c r="G1436" s="23" t="s">
        <v>1724</v>
      </c>
      <c r="W1436" s="23" t="s">
        <v>498</v>
      </c>
      <c r="Y1436" s="23">
        <v>11795</v>
      </c>
      <c r="Z1436" s="23">
        <v>68</v>
      </c>
      <c r="AB1436" s="23" t="s">
        <v>7470</v>
      </c>
      <c r="AC1436" s="23" t="s">
        <v>7471</v>
      </c>
      <c r="AF1436" s="23" t="s">
        <v>5478</v>
      </c>
      <c r="AG1436" s="23" t="s">
        <v>1196</v>
      </c>
      <c r="AH1436" s="39">
        <v>44697</v>
      </c>
    </row>
    <row r="1437" spans="1:37" ht="64">
      <c r="A1437" s="75" t="s">
        <v>7472</v>
      </c>
      <c r="B1437" s="23" t="s">
        <v>7473</v>
      </c>
      <c r="C1437" s="140">
        <v>44688</v>
      </c>
      <c r="D1437" s="23" t="s">
        <v>729</v>
      </c>
      <c r="E1437" s="23" t="s">
        <v>752</v>
      </c>
      <c r="F1437" s="23" t="s">
        <v>4899</v>
      </c>
      <c r="G1437" s="23" t="s">
        <v>1724</v>
      </c>
      <c r="P1437" s="23" t="s">
        <v>7461</v>
      </c>
      <c r="Q1437" s="140" t="s">
        <v>7445</v>
      </c>
      <c r="T1437" s="23" t="s">
        <v>12031</v>
      </c>
      <c r="U1437" s="23" t="s">
        <v>12031</v>
      </c>
      <c r="V1437" s="23" t="s">
        <v>298</v>
      </c>
      <c r="W1437" s="23" t="s">
        <v>498</v>
      </c>
      <c r="Y1437" s="23">
        <v>23790</v>
      </c>
      <c r="Z1437" s="23">
        <v>136</v>
      </c>
      <c r="AB1437" s="19" t="s">
        <v>7478</v>
      </c>
      <c r="AC1437" s="23" t="s">
        <v>7474</v>
      </c>
      <c r="AD1437" s="23">
        <v>0</v>
      </c>
      <c r="AE1437" s="23">
        <v>3</v>
      </c>
      <c r="AF1437" s="23" t="s">
        <v>5478</v>
      </c>
      <c r="AG1437" s="23" t="s">
        <v>637</v>
      </c>
      <c r="AH1437" s="39">
        <v>44697</v>
      </c>
      <c r="AJ1437" s="64" t="s">
        <v>7838</v>
      </c>
      <c r="AK1437" s="53">
        <v>44698</v>
      </c>
    </row>
    <row r="1438" spans="1:37">
      <c r="A1438" s="75" t="s">
        <v>7475</v>
      </c>
      <c r="B1438" s="23" t="s">
        <v>7476</v>
      </c>
      <c r="C1438" s="140">
        <v>44687</v>
      </c>
      <c r="F1438" s="23" t="s">
        <v>4899</v>
      </c>
      <c r="G1438" s="23" t="s">
        <v>1724</v>
      </c>
      <c r="W1438" s="23" t="s">
        <v>6628</v>
      </c>
      <c r="Y1438" s="23">
        <v>21300</v>
      </c>
      <c r="Z1438" s="23">
        <v>67</v>
      </c>
      <c r="AB1438" s="23" t="s">
        <v>7479</v>
      </c>
      <c r="AC1438" s="23" t="s">
        <v>7477</v>
      </c>
      <c r="AF1438" s="23" t="s">
        <v>5478</v>
      </c>
      <c r="AG1438" s="23" t="s">
        <v>637</v>
      </c>
      <c r="AH1438" s="39">
        <v>44697</v>
      </c>
    </row>
    <row r="1439" spans="1:37" ht="112">
      <c r="A1439" s="75" t="s">
        <v>7483</v>
      </c>
      <c r="B1439" s="23" t="s">
        <v>7484</v>
      </c>
      <c r="C1439" s="140">
        <v>44652</v>
      </c>
      <c r="D1439" s="23" t="s">
        <v>729</v>
      </c>
      <c r="E1439" s="23" t="s">
        <v>752</v>
      </c>
      <c r="F1439" s="23" t="s">
        <v>2200</v>
      </c>
      <c r="G1439" s="23" t="s">
        <v>301</v>
      </c>
      <c r="H1439" s="23" t="s">
        <v>7485</v>
      </c>
      <c r="I1439" s="23" t="s">
        <v>7485</v>
      </c>
      <c r="J1439" s="140">
        <v>44643</v>
      </c>
      <c r="K1439" s="23" t="s">
        <v>9472</v>
      </c>
      <c r="L1439" s="140">
        <v>44699</v>
      </c>
      <c r="T1439" s="23" t="s">
        <v>305</v>
      </c>
      <c r="U1439" s="23" t="s">
        <v>305</v>
      </c>
      <c r="V1439" s="23" t="s">
        <v>299</v>
      </c>
      <c r="W1439" s="19" t="s">
        <v>7486</v>
      </c>
      <c r="AB1439" s="19" t="s">
        <v>7738</v>
      </c>
      <c r="AC1439" s="59">
        <v>19</v>
      </c>
      <c r="AD1439" s="23">
        <v>0</v>
      </c>
      <c r="AE1439" s="23">
        <v>7</v>
      </c>
      <c r="AG1439" s="23" t="s">
        <v>659</v>
      </c>
      <c r="AH1439" s="39">
        <v>44698</v>
      </c>
      <c r="AI1439" s="53" t="s">
        <v>5851</v>
      </c>
      <c r="AJ1439" s="75" t="s">
        <v>8034</v>
      </c>
      <c r="AK1439" s="53">
        <v>44699</v>
      </c>
    </row>
    <row r="1440" spans="1:37" ht="48">
      <c r="A1440" s="75" t="s">
        <v>7487</v>
      </c>
      <c r="B1440" s="23" t="s">
        <v>7488</v>
      </c>
      <c r="C1440" s="140">
        <v>44652</v>
      </c>
      <c r="D1440" s="23" t="s">
        <v>729</v>
      </c>
      <c r="E1440" s="23" t="s">
        <v>752</v>
      </c>
      <c r="F1440" s="23" t="s">
        <v>2200</v>
      </c>
      <c r="G1440" s="23" t="s">
        <v>301</v>
      </c>
      <c r="H1440" s="23" t="s">
        <v>7489</v>
      </c>
      <c r="I1440" s="23" t="s">
        <v>7489</v>
      </c>
      <c r="J1440" s="140">
        <v>44643</v>
      </c>
      <c r="K1440" s="23" t="s">
        <v>9473</v>
      </c>
      <c r="L1440" s="140">
        <v>44699</v>
      </c>
      <c r="T1440" s="23" t="s">
        <v>305</v>
      </c>
      <c r="U1440" s="23" t="s">
        <v>305</v>
      </c>
      <c r="V1440" s="23" t="s">
        <v>299</v>
      </c>
      <c r="W1440" s="23" t="s">
        <v>7490</v>
      </c>
      <c r="AB1440" s="60" t="s">
        <v>7500</v>
      </c>
      <c r="AC1440" s="59">
        <v>5</v>
      </c>
      <c r="AD1440" s="23">
        <v>0</v>
      </c>
      <c r="AE1440" s="23">
        <v>1</v>
      </c>
      <c r="AG1440" s="23" t="s">
        <v>659</v>
      </c>
      <c r="AH1440" s="39">
        <v>44698</v>
      </c>
      <c r="AI1440" s="53" t="s">
        <v>5851</v>
      </c>
    </row>
    <row r="1441" spans="1:37" ht="32">
      <c r="A1441" s="75" t="s">
        <v>7491</v>
      </c>
      <c r="B1441" s="23" t="s">
        <v>7492</v>
      </c>
      <c r="C1441" s="140">
        <v>44652</v>
      </c>
      <c r="D1441" s="23" t="s">
        <v>729</v>
      </c>
      <c r="E1441" s="23" t="s">
        <v>752</v>
      </c>
      <c r="F1441" s="23" t="s">
        <v>2200</v>
      </c>
      <c r="G1441" s="23" t="s">
        <v>301</v>
      </c>
      <c r="H1441" s="23">
        <v>20401496</v>
      </c>
      <c r="I1441" s="23">
        <v>20401496</v>
      </c>
      <c r="J1441" s="140">
        <v>44643</v>
      </c>
      <c r="K1441" s="23" t="s">
        <v>9474</v>
      </c>
      <c r="L1441" s="140">
        <v>44699</v>
      </c>
      <c r="T1441" s="23" t="s">
        <v>305</v>
      </c>
      <c r="U1441" s="23" t="s">
        <v>305</v>
      </c>
      <c r="V1441" s="23" t="s">
        <v>299</v>
      </c>
      <c r="W1441" s="23" t="s">
        <v>7493</v>
      </c>
      <c r="AB1441" s="60" t="s">
        <v>7501</v>
      </c>
      <c r="AC1441" s="59">
        <v>6</v>
      </c>
      <c r="AD1441" s="23">
        <v>0</v>
      </c>
      <c r="AE1441" s="23">
        <v>2</v>
      </c>
      <c r="AG1441" s="23" t="s">
        <v>659</v>
      </c>
      <c r="AH1441" s="39">
        <v>44698</v>
      </c>
      <c r="AI1441" s="53" t="s">
        <v>5851</v>
      </c>
      <c r="AJ1441" s="64" t="s">
        <v>7839</v>
      </c>
      <c r="AK1441" s="53">
        <v>44699</v>
      </c>
    </row>
    <row r="1442" spans="1:37">
      <c r="A1442" s="104" t="s">
        <v>7494</v>
      </c>
      <c r="B1442" s="23" t="s">
        <v>7495</v>
      </c>
      <c r="C1442" s="140">
        <v>44695</v>
      </c>
      <c r="D1442" s="23" t="s">
        <v>729</v>
      </c>
      <c r="E1442" s="23" t="s">
        <v>752</v>
      </c>
      <c r="F1442" s="23" t="s">
        <v>57</v>
      </c>
      <c r="G1442" s="23" t="s">
        <v>57</v>
      </c>
      <c r="H1442" s="23" t="s">
        <v>7496</v>
      </c>
      <c r="I1442" s="23" t="s">
        <v>7496</v>
      </c>
      <c r="J1442" s="140">
        <v>44693</v>
      </c>
      <c r="P1442" s="23" t="s">
        <v>7497</v>
      </c>
      <c r="Q1442" s="140" t="s">
        <v>7498</v>
      </c>
      <c r="S1442" s="23" t="s">
        <v>184</v>
      </c>
      <c r="T1442" s="23" t="s">
        <v>302</v>
      </c>
      <c r="U1442" s="23" t="s">
        <v>302</v>
      </c>
      <c r="V1442" s="23" t="s">
        <v>233</v>
      </c>
      <c r="W1442" s="23" t="s">
        <v>7499</v>
      </c>
      <c r="X1442" s="23">
        <v>11796.75</v>
      </c>
      <c r="Y1442" s="23">
        <v>12016.27</v>
      </c>
      <c r="Z1442" s="23">
        <v>28869.93</v>
      </c>
      <c r="AA1442" s="23">
        <v>27516.37</v>
      </c>
      <c r="AB1442" s="23" t="s">
        <v>7641</v>
      </c>
      <c r="AC1442" s="23" t="s">
        <v>4143</v>
      </c>
      <c r="AD1442" s="23">
        <v>0</v>
      </c>
      <c r="AE1442" s="23">
        <v>1</v>
      </c>
      <c r="AG1442" s="23" t="s">
        <v>787</v>
      </c>
      <c r="AH1442" s="39">
        <v>44698</v>
      </c>
    </row>
    <row r="1443" spans="1:37">
      <c r="A1443" s="75" t="s">
        <v>7502</v>
      </c>
      <c r="B1443" s="23" t="s">
        <v>7503</v>
      </c>
      <c r="C1443" s="140">
        <v>44696</v>
      </c>
      <c r="D1443" s="23" t="s">
        <v>729</v>
      </c>
      <c r="E1443" s="23" t="s">
        <v>752</v>
      </c>
      <c r="F1443" s="23" t="s">
        <v>5765</v>
      </c>
      <c r="G1443" s="23" t="s">
        <v>1724</v>
      </c>
      <c r="P1443" s="23" t="s">
        <v>7504</v>
      </c>
      <c r="Q1443" s="140" t="s">
        <v>7505</v>
      </c>
      <c r="T1443" s="23" t="s">
        <v>12031</v>
      </c>
      <c r="U1443" s="23" t="s">
        <v>12031</v>
      </c>
      <c r="V1443" s="23" t="s">
        <v>298</v>
      </c>
      <c r="W1443" s="23" t="s">
        <v>6359</v>
      </c>
      <c r="Y1443" s="38">
        <v>21160</v>
      </c>
      <c r="Z1443" s="23">
        <v>68</v>
      </c>
      <c r="AB1443" s="23" t="s">
        <v>7506</v>
      </c>
      <c r="AC1443" s="23" t="s">
        <v>7507</v>
      </c>
      <c r="AD1443" s="23">
        <v>0</v>
      </c>
      <c r="AE1443" s="23">
        <v>3</v>
      </c>
      <c r="AF1443" s="23" t="s">
        <v>7428</v>
      </c>
      <c r="AG1443" s="23" t="s">
        <v>637</v>
      </c>
      <c r="AH1443" s="39">
        <v>44698</v>
      </c>
      <c r="AJ1443" s="75" t="s">
        <v>7840</v>
      </c>
      <c r="AK1443" s="53">
        <v>44699</v>
      </c>
    </row>
    <row r="1444" spans="1:37">
      <c r="A1444" s="75" t="s">
        <v>7508</v>
      </c>
      <c r="B1444" s="23" t="s">
        <v>7509</v>
      </c>
      <c r="C1444" s="140">
        <v>44683</v>
      </c>
      <c r="F1444" s="23" t="s">
        <v>4899</v>
      </c>
      <c r="G1444" s="23" t="s">
        <v>1724</v>
      </c>
      <c r="P1444" s="23" t="s">
        <v>7510</v>
      </c>
      <c r="Q1444" s="140" t="s">
        <v>7445</v>
      </c>
      <c r="W1444" s="23" t="s">
        <v>498</v>
      </c>
      <c r="Y1444" s="37">
        <v>13991.23</v>
      </c>
      <c r="Z1444" s="23">
        <v>50</v>
      </c>
      <c r="AB1444" s="23" t="s">
        <v>7511</v>
      </c>
      <c r="AC1444" s="23" t="s">
        <v>7512</v>
      </c>
      <c r="AF1444" s="23" t="s">
        <v>5478</v>
      </c>
      <c r="AG1444" s="23" t="s">
        <v>5518</v>
      </c>
      <c r="AH1444" s="39">
        <v>44698</v>
      </c>
    </row>
    <row r="1445" spans="1:37">
      <c r="A1445" s="75" t="s">
        <v>7513</v>
      </c>
      <c r="B1445" s="23" t="s">
        <v>7514</v>
      </c>
      <c r="C1445" s="140">
        <v>44683</v>
      </c>
      <c r="F1445" s="23" t="s">
        <v>7162</v>
      </c>
      <c r="G1445" s="23" t="s">
        <v>1724</v>
      </c>
      <c r="W1445" s="23" t="s">
        <v>7158</v>
      </c>
      <c r="Y1445" s="38">
        <v>11676</v>
      </c>
      <c r="Z1445" s="23">
        <v>45.5</v>
      </c>
      <c r="AB1445" s="23" t="s">
        <v>7515</v>
      </c>
      <c r="AC1445" s="23" t="s">
        <v>7516</v>
      </c>
      <c r="AF1445" s="23" t="s">
        <v>5478</v>
      </c>
      <c r="AG1445" s="23" t="s">
        <v>7161</v>
      </c>
      <c r="AH1445" s="39">
        <v>44698</v>
      </c>
    </row>
    <row r="1446" spans="1:37" ht="144">
      <c r="A1446" s="75" t="s">
        <v>7517</v>
      </c>
      <c r="B1446" s="23" t="s">
        <v>7518</v>
      </c>
      <c r="C1446" s="140">
        <v>44696</v>
      </c>
      <c r="D1446" s="23" t="s">
        <v>729</v>
      </c>
      <c r="E1446" s="23" t="s">
        <v>752</v>
      </c>
      <c r="F1446" s="23" t="s">
        <v>5755</v>
      </c>
      <c r="G1446" s="23" t="s">
        <v>5538</v>
      </c>
      <c r="H1446" s="23" t="s">
        <v>7519</v>
      </c>
      <c r="I1446" s="23" t="s">
        <v>7519</v>
      </c>
      <c r="J1446" s="140">
        <v>44678</v>
      </c>
      <c r="T1446" s="23" t="s">
        <v>12031</v>
      </c>
      <c r="U1446" s="23" t="s">
        <v>12031</v>
      </c>
      <c r="V1446" s="23" t="s">
        <v>299</v>
      </c>
      <c r="W1446" s="23" t="s">
        <v>7520</v>
      </c>
      <c r="AB1446" s="19" t="s">
        <v>7739</v>
      </c>
      <c r="AC1446" s="23">
        <v>27</v>
      </c>
      <c r="AD1446" s="23">
        <v>0</v>
      </c>
      <c r="AE1446" s="23">
        <v>9</v>
      </c>
      <c r="AG1446" s="23" t="s">
        <v>665</v>
      </c>
      <c r="AH1446" s="39">
        <v>44699</v>
      </c>
      <c r="AI1446" s="53" t="s">
        <v>5757</v>
      </c>
      <c r="AJ1446" s="64" t="s">
        <v>7842</v>
      </c>
      <c r="AK1446" s="53">
        <v>44700</v>
      </c>
    </row>
    <row r="1447" spans="1:37">
      <c r="A1447" s="75" t="s">
        <v>7521</v>
      </c>
      <c r="B1447" s="23" t="s">
        <v>7522</v>
      </c>
      <c r="C1447" s="140">
        <v>44691</v>
      </c>
      <c r="D1447" s="23" t="s">
        <v>729</v>
      </c>
      <c r="E1447" s="23" t="s">
        <v>752</v>
      </c>
      <c r="F1447" s="23" t="s">
        <v>4899</v>
      </c>
      <c r="G1447" s="23" t="s">
        <v>1724</v>
      </c>
      <c r="P1447" s="23" t="s">
        <v>7523</v>
      </c>
      <c r="Q1447" s="140" t="s">
        <v>7526</v>
      </c>
      <c r="T1447" s="23" t="s">
        <v>12031</v>
      </c>
      <c r="U1447" s="23" t="s">
        <v>12031</v>
      </c>
      <c r="V1447" s="23" t="s">
        <v>298</v>
      </c>
      <c r="W1447" s="23" t="s">
        <v>7158</v>
      </c>
      <c r="Y1447" s="38">
        <v>7608</v>
      </c>
      <c r="Z1447" s="23">
        <v>24.5</v>
      </c>
      <c r="AB1447" s="23" t="s">
        <v>7524</v>
      </c>
      <c r="AC1447" s="23" t="s">
        <v>7525</v>
      </c>
      <c r="AD1447" s="23">
        <v>0</v>
      </c>
      <c r="AE1447" s="23">
        <v>1</v>
      </c>
      <c r="AF1447" s="23" t="s">
        <v>5478</v>
      </c>
      <c r="AG1447" s="23" t="s">
        <v>7161</v>
      </c>
      <c r="AH1447" s="39">
        <v>44699</v>
      </c>
      <c r="AJ1447" s="64" t="s">
        <v>7843</v>
      </c>
      <c r="AK1447" s="53">
        <v>44700</v>
      </c>
    </row>
    <row r="1448" spans="1:37">
      <c r="A1448" s="75" t="s">
        <v>7527</v>
      </c>
      <c r="B1448" s="23" t="s">
        <v>7528</v>
      </c>
      <c r="C1448" s="140">
        <v>44694</v>
      </c>
      <c r="D1448" s="23" t="s">
        <v>729</v>
      </c>
      <c r="E1448" s="23" t="s">
        <v>752</v>
      </c>
      <c r="F1448" s="23" t="s">
        <v>7082</v>
      </c>
      <c r="G1448" s="23" t="s">
        <v>1724</v>
      </c>
      <c r="P1448" s="23" t="s">
        <v>7529</v>
      </c>
      <c r="Q1448" s="140" t="s">
        <v>7505</v>
      </c>
      <c r="T1448" s="23" t="s">
        <v>12031</v>
      </c>
      <c r="U1448" s="23" t="s">
        <v>12031</v>
      </c>
      <c r="V1448" s="23" t="s">
        <v>298</v>
      </c>
      <c r="W1448" s="23" t="s">
        <v>6732</v>
      </c>
      <c r="Y1448" s="38">
        <v>22415</v>
      </c>
      <c r="Z1448" s="23">
        <v>68</v>
      </c>
      <c r="AB1448" s="23" t="s">
        <v>7530</v>
      </c>
      <c r="AC1448" s="23" t="s">
        <v>6684</v>
      </c>
      <c r="AD1448" s="23">
        <v>0</v>
      </c>
      <c r="AE1448" s="23">
        <v>1</v>
      </c>
      <c r="AF1448" s="23" t="s">
        <v>5478</v>
      </c>
      <c r="AG1448" s="23" t="s">
        <v>1196</v>
      </c>
      <c r="AH1448" s="39">
        <v>44699</v>
      </c>
      <c r="AJ1448" s="64" t="s">
        <v>7841</v>
      </c>
      <c r="AK1448" s="53">
        <v>44700</v>
      </c>
    </row>
    <row r="1449" spans="1:37">
      <c r="A1449" s="75" t="s">
        <v>7531</v>
      </c>
      <c r="B1449" s="23" t="s">
        <v>7532</v>
      </c>
      <c r="C1449" s="140">
        <v>44693</v>
      </c>
      <c r="D1449" s="23" t="s">
        <v>729</v>
      </c>
      <c r="E1449" s="23" t="s">
        <v>752</v>
      </c>
      <c r="F1449" s="23" t="s">
        <v>5765</v>
      </c>
      <c r="G1449" s="23" t="s">
        <v>1724</v>
      </c>
      <c r="P1449" s="23" t="s">
        <v>7533</v>
      </c>
      <c r="Q1449" s="140" t="s">
        <v>7526</v>
      </c>
      <c r="T1449" s="23" t="s">
        <v>12031</v>
      </c>
      <c r="U1449" s="23" t="s">
        <v>12031</v>
      </c>
      <c r="V1449" s="23" t="s">
        <v>298</v>
      </c>
      <c r="W1449" s="23" t="s">
        <v>6359</v>
      </c>
      <c r="Y1449" s="23">
        <v>22500</v>
      </c>
      <c r="Z1449" s="23">
        <v>68</v>
      </c>
      <c r="AB1449" s="23" t="s">
        <v>7534</v>
      </c>
      <c r="AC1449" s="23" t="s">
        <v>7535</v>
      </c>
      <c r="AD1449" s="23">
        <v>0</v>
      </c>
      <c r="AE1449" s="23">
        <v>4</v>
      </c>
      <c r="AF1449" s="23" t="s">
        <v>6434</v>
      </c>
      <c r="AG1449" s="23" t="s">
        <v>7307</v>
      </c>
      <c r="AH1449" s="39">
        <v>44701</v>
      </c>
      <c r="AJ1449" s="64" t="s">
        <v>7844</v>
      </c>
      <c r="AK1449" s="53">
        <v>44702</v>
      </c>
    </row>
    <row r="1450" spans="1:37" ht="64">
      <c r="A1450" s="75" t="s">
        <v>7536</v>
      </c>
      <c r="B1450" s="23" t="s">
        <v>7537</v>
      </c>
      <c r="C1450" s="140">
        <v>44696</v>
      </c>
      <c r="F1450" s="23" t="s">
        <v>5765</v>
      </c>
      <c r="G1450" s="23" t="s">
        <v>1724</v>
      </c>
      <c r="W1450" s="23" t="s">
        <v>6359</v>
      </c>
      <c r="Y1450" s="38">
        <v>44890</v>
      </c>
      <c r="Z1450" s="23">
        <v>136</v>
      </c>
      <c r="AB1450" s="19" t="s">
        <v>7542</v>
      </c>
      <c r="AC1450" s="23" t="s">
        <v>7538</v>
      </c>
      <c r="AF1450" s="19" t="s">
        <v>6439</v>
      </c>
      <c r="AG1450" s="23" t="s">
        <v>665</v>
      </c>
      <c r="AH1450" s="39">
        <v>44701</v>
      </c>
    </row>
    <row r="1451" spans="1:37">
      <c r="A1451" s="75" t="s">
        <v>7539</v>
      </c>
      <c r="B1451" s="23" t="s">
        <v>7540</v>
      </c>
      <c r="C1451" s="140">
        <v>44696</v>
      </c>
      <c r="F1451" s="23" t="s">
        <v>5765</v>
      </c>
      <c r="G1451" s="23" t="s">
        <v>1724</v>
      </c>
      <c r="W1451" s="23" t="s">
        <v>6359</v>
      </c>
      <c r="Y1451" s="38">
        <v>22470</v>
      </c>
      <c r="Z1451" s="23">
        <v>68</v>
      </c>
      <c r="AB1451" s="23" t="s">
        <v>7543</v>
      </c>
      <c r="AC1451" s="23" t="s">
        <v>7541</v>
      </c>
      <c r="AF1451" s="23" t="s">
        <v>6434</v>
      </c>
      <c r="AG1451" s="23" t="s">
        <v>7544</v>
      </c>
      <c r="AH1451" s="39">
        <v>44701</v>
      </c>
    </row>
    <row r="1452" spans="1:37">
      <c r="A1452" s="75" t="s">
        <v>7545</v>
      </c>
      <c r="B1452" s="23" t="s">
        <v>7546</v>
      </c>
      <c r="C1452" s="140">
        <v>44693</v>
      </c>
      <c r="D1452" s="23" t="s">
        <v>729</v>
      </c>
      <c r="E1452" s="23" t="s">
        <v>752</v>
      </c>
      <c r="F1452" s="23" t="s">
        <v>4899</v>
      </c>
      <c r="G1452" s="23" t="s">
        <v>1724</v>
      </c>
      <c r="P1452" s="23" t="s">
        <v>7533</v>
      </c>
      <c r="Q1452" s="140" t="s">
        <v>7526</v>
      </c>
      <c r="T1452" s="23" t="s">
        <v>12031</v>
      </c>
      <c r="U1452" s="23" t="s">
        <v>12031</v>
      </c>
      <c r="V1452" s="23" t="s">
        <v>298</v>
      </c>
      <c r="W1452" s="23" t="s">
        <v>6431</v>
      </c>
      <c r="Y1452" s="38">
        <v>21250</v>
      </c>
      <c r="Z1452" s="23">
        <v>68</v>
      </c>
      <c r="AB1452" s="23" t="s">
        <v>7547</v>
      </c>
      <c r="AC1452" s="23" t="s">
        <v>7548</v>
      </c>
      <c r="AD1452" s="23">
        <v>0</v>
      </c>
      <c r="AE1452" s="23">
        <v>5</v>
      </c>
      <c r="AF1452" s="23" t="s">
        <v>6434</v>
      </c>
      <c r="AG1452" s="23" t="s">
        <v>7307</v>
      </c>
      <c r="AH1452" s="39">
        <v>44701</v>
      </c>
      <c r="AJ1452" s="64" t="s">
        <v>7846</v>
      </c>
      <c r="AK1452" s="53">
        <v>44702</v>
      </c>
    </row>
    <row r="1453" spans="1:37">
      <c r="A1453" s="75" t="s">
        <v>7549</v>
      </c>
      <c r="B1453" s="23" t="s">
        <v>7550</v>
      </c>
      <c r="C1453" s="140">
        <v>44693</v>
      </c>
      <c r="F1453" s="23" t="s">
        <v>4899</v>
      </c>
      <c r="G1453" s="23" t="s">
        <v>1724</v>
      </c>
      <c r="W1453" s="23" t="s">
        <v>498</v>
      </c>
      <c r="Y1453" s="38">
        <v>11800</v>
      </c>
      <c r="Z1453" s="23">
        <v>68</v>
      </c>
      <c r="AB1453" s="23" t="s">
        <v>7551</v>
      </c>
      <c r="AC1453" s="23" t="s">
        <v>7552</v>
      </c>
      <c r="AF1453" s="23" t="s">
        <v>6434</v>
      </c>
      <c r="AG1453" s="23" t="s">
        <v>7307</v>
      </c>
      <c r="AH1453" s="39">
        <v>44701</v>
      </c>
      <c r="AJ1453" s="64"/>
    </row>
    <row r="1454" spans="1:37">
      <c r="A1454" s="75" t="s">
        <v>7553</v>
      </c>
      <c r="B1454" s="23" t="s">
        <v>7554</v>
      </c>
      <c r="C1454" s="140">
        <v>44696</v>
      </c>
      <c r="F1454" s="23" t="s">
        <v>4899</v>
      </c>
      <c r="G1454" s="23" t="s">
        <v>1724</v>
      </c>
      <c r="W1454" s="23" t="s">
        <v>6431</v>
      </c>
      <c r="Y1454" s="38">
        <v>21520</v>
      </c>
      <c r="Z1454" s="23">
        <v>68</v>
      </c>
      <c r="AB1454" s="23" t="s">
        <v>7555</v>
      </c>
      <c r="AC1454" s="23" t="s">
        <v>7556</v>
      </c>
      <c r="AF1454" s="23" t="s">
        <v>6434</v>
      </c>
      <c r="AG1454" s="23" t="s">
        <v>7544</v>
      </c>
      <c r="AH1454" s="39">
        <v>44701</v>
      </c>
    </row>
    <row r="1455" spans="1:37" ht="64">
      <c r="A1455" s="75" t="s">
        <v>7557</v>
      </c>
      <c r="B1455" s="23" t="s">
        <v>7558</v>
      </c>
      <c r="C1455" s="140">
        <v>44696</v>
      </c>
      <c r="F1455" s="23" t="s">
        <v>4899</v>
      </c>
      <c r="G1455" s="23" t="s">
        <v>1724</v>
      </c>
      <c r="W1455" s="23" t="s">
        <v>6431</v>
      </c>
      <c r="Y1455" s="38">
        <v>42130</v>
      </c>
      <c r="Z1455" s="23">
        <v>136</v>
      </c>
      <c r="AB1455" s="19" t="s">
        <v>7560</v>
      </c>
      <c r="AC1455" s="23" t="s">
        <v>7559</v>
      </c>
      <c r="AF1455" s="19" t="s">
        <v>6439</v>
      </c>
      <c r="AG1455" s="23" t="s">
        <v>665</v>
      </c>
      <c r="AH1455" s="39">
        <v>44701</v>
      </c>
    </row>
    <row r="1456" spans="1:37">
      <c r="A1456" s="75" t="s">
        <v>7561</v>
      </c>
      <c r="B1456" s="23" t="s">
        <v>7562</v>
      </c>
      <c r="C1456" s="140">
        <v>44699</v>
      </c>
      <c r="D1456" s="23" t="s">
        <v>729</v>
      </c>
      <c r="E1456" s="23" t="s">
        <v>752</v>
      </c>
      <c r="F1456" s="23" t="s">
        <v>5765</v>
      </c>
      <c r="G1456" s="23" t="s">
        <v>1724</v>
      </c>
      <c r="P1456" s="23" t="s">
        <v>7563</v>
      </c>
      <c r="Q1456" s="140" t="s">
        <v>7564</v>
      </c>
      <c r="T1456" s="23" t="s">
        <v>12031</v>
      </c>
      <c r="U1456" s="23" t="s">
        <v>12031</v>
      </c>
      <c r="V1456" s="23" t="s">
        <v>298</v>
      </c>
      <c r="W1456" s="23" t="s">
        <v>6359</v>
      </c>
      <c r="Y1456" s="23">
        <v>22600</v>
      </c>
      <c r="Z1456" s="23">
        <v>68</v>
      </c>
      <c r="AB1456" s="23" t="s">
        <v>7565</v>
      </c>
      <c r="AC1456" s="23" t="s">
        <v>7566</v>
      </c>
      <c r="AD1456" s="23">
        <v>0</v>
      </c>
      <c r="AE1456" s="23">
        <v>2</v>
      </c>
      <c r="AF1456" s="23" t="s">
        <v>5478</v>
      </c>
      <c r="AG1456" s="23" t="s">
        <v>1196</v>
      </c>
      <c r="AH1456" s="39">
        <v>44701</v>
      </c>
      <c r="AJ1456" s="64" t="s">
        <v>7845</v>
      </c>
      <c r="AK1456" s="53">
        <v>44702</v>
      </c>
    </row>
    <row r="1457" spans="1:37">
      <c r="A1457" s="75" t="s">
        <v>7567</v>
      </c>
      <c r="B1457" s="23" t="s">
        <v>7568</v>
      </c>
      <c r="C1457" s="140">
        <v>44699</v>
      </c>
      <c r="F1457" s="23" t="s">
        <v>5765</v>
      </c>
      <c r="G1457" s="23" t="s">
        <v>1724</v>
      </c>
      <c r="W1457" s="23" t="s">
        <v>6359</v>
      </c>
      <c r="Y1457" s="23">
        <v>21370</v>
      </c>
      <c r="Z1457" s="23">
        <v>68</v>
      </c>
      <c r="AB1457" s="23" t="s">
        <v>7569</v>
      </c>
      <c r="AC1457" s="23" t="s">
        <v>6696</v>
      </c>
      <c r="AF1457" s="23" t="s">
        <v>5478</v>
      </c>
      <c r="AG1457" s="23" t="s">
        <v>1196</v>
      </c>
      <c r="AH1457" s="39">
        <v>44701</v>
      </c>
    </row>
    <row r="1458" spans="1:37">
      <c r="A1458" s="75" t="s">
        <v>7570</v>
      </c>
      <c r="B1458" s="23" t="s">
        <v>7571</v>
      </c>
      <c r="C1458" s="140">
        <v>44699</v>
      </c>
      <c r="D1458" s="23" t="s">
        <v>729</v>
      </c>
      <c r="E1458" s="23" t="s">
        <v>752</v>
      </c>
      <c r="F1458" s="23" t="s">
        <v>4899</v>
      </c>
      <c r="G1458" s="23" t="s">
        <v>1724</v>
      </c>
      <c r="P1458" s="23" t="s">
        <v>7563</v>
      </c>
      <c r="Q1458" s="140" t="s">
        <v>7564</v>
      </c>
      <c r="T1458" s="23" t="s">
        <v>12031</v>
      </c>
      <c r="U1458" s="23" t="s">
        <v>12031</v>
      </c>
      <c r="V1458" s="23" t="s">
        <v>298</v>
      </c>
      <c r="W1458" s="23" t="s">
        <v>6431</v>
      </c>
      <c r="Y1458" s="23">
        <v>23400</v>
      </c>
      <c r="Z1458" s="23">
        <v>68</v>
      </c>
      <c r="AB1458" s="23" t="s">
        <v>7572</v>
      </c>
      <c r="AC1458" s="23" t="s">
        <v>6500</v>
      </c>
      <c r="AD1458" s="23">
        <v>0</v>
      </c>
      <c r="AE1458" s="23">
        <v>3</v>
      </c>
      <c r="AF1458" s="23" t="s">
        <v>5478</v>
      </c>
      <c r="AG1458" s="23" t="s">
        <v>1196</v>
      </c>
      <c r="AH1458" s="39">
        <v>44701</v>
      </c>
      <c r="AJ1458" s="64" t="s">
        <v>7847</v>
      </c>
      <c r="AK1458" s="53">
        <v>44702</v>
      </c>
    </row>
    <row r="1459" spans="1:37">
      <c r="A1459" s="75" t="s">
        <v>7573</v>
      </c>
      <c r="B1459" s="23" t="s">
        <v>7574</v>
      </c>
      <c r="C1459" s="140">
        <v>44699</v>
      </c>
      <c r="F1459" s="23" t="s">
        <v>4899</v>
      </c>
      <c r="G1459" s="23" t="s">
        <v>1724</v>
      </c>
      <c r="W1459" s="23" t="s">
        <v>6431</v>
      </c>
      <c r="Y1459" s="23">
        <v>22800</v>
      </c>
      <c r="Z1459" s="23">
        <v>68</v>
      </c>
      <c r="AB1459" s="23" t="s">
        <v>7575</v>
      </c>
      <c r="AC1459" s="23" t="s">
        <v>7576</v>
      </c>
      <c r="AF1459" s="23" t="s">
        <v>5478</v>
      </c>
      <c r="AG1459" s="23" t="s">
        <v>1196</v>
      </c>
      <c r="AH1459" s="39">
        <v>44701</v>
      </c>
    </row>
    <row r="1460" spans="1:37">
      <c r="A1460" s="75" t="s">
        <v>7577</v>
      </c>
      <c r="B1460" s="23" t="s">
        <v>7578</v>
      </c>
      <c r="C1460" s="140">
        <v>44699</v>
      </c>
      <c r="F1460" s="23" t="s">
        <v>7082</v>
      </c>
      <c r="G1460" s="23" t="s">
        <v>1724</v>
      </c>
      <c r="W1460" s="23" t="s">
        <v>6732</v>
      </c>
      <c r="Y1460" s="23">
        <v>22410</v>
      </c>
      <c r="Z1460" s="23">
        <v>68</v>
      </c>
      <c r="AB1460" s="23" t="s">
        <v>7579</v>
      </c>
      <c r="AC1460" s="23" t="s">
        <v>7580</v>
      </c>
      <c r="AF1460" s="23" t="s">
        <v>5478</v>
      </c>
      <c r="AG1460" s="23" t="s">
        <v>1196</v>
      </c>
      <c r="AH1460" s="39">
        <v>44701</v>
      </c>
    </row>
    <row r="1461" spans="1:37">
      <c r="A1461" s="104" t="s">
        <v>7581</v>
      </c>
      <c r="B1461" s="23" t="s">
        <v>7582</v>
      </c>
      <c r="C1461" s="140">
        <v>44692</v>
      </c>
      <c r="D1461" s="23" t="s">
        <v>729</v>
      </c>
      <c r="E1461" s="23" t="s">
        <v>752</v>
      </c>
      <c r="F1461" s="23" t="s">
        <v>57</v>
      </c>
      <c r="G1461" s="23" t="s">
        <v>57</v>
      </c>
      <c r="H1461" s="23" t="s">
        <v>7583</v>
      </c>
      <c r="I1461" s="23" t="s">
        <v>7583</v>
      </c>
      <c r="J1461" s="140">
        <v>44690</v>
      </c>
      <c r="K1461" s="23" t="s">
        <v>7937</v>
      </c>
      <c r="L1461" s="140">
        <v>44718</v>
      </c>
      <c r="P1461" s="23" t="s">
        <v>7584</v>
      </c>
      <c r="Q1461" s="140" t="s">
        <v>7526</v>
      </c>
      <c r="S1461" s="23" t="s">
        <v>183</v>
      </c>
      <c r="T1461" s="23" t="s">
        <v>305</v>
      </c>
      <c r="U1461" s="23" t="s">
        <v>305</v>
      </c>
      <c r="V1461" s="23" t="s">
        <v>233</v>
      </c>
      <c r="W1461" s="23" t="s">
        <v>143</v>
      </c>
      <c r="X1461" s="23">
        <v>28630.799999999999</v>
      </c>
      <c r="Y1461" s="23">
        <v>28843.200000000001</v>
      </c>
      <c r="Z1461" s="23">
        <v>28894.78</v>
      </c>
      <c r="AA1461" s="23">
        <v>25978.78</v>
      </c>
      <c r="AB1461" s="23" t="s">
        <v>7585</v>
      </c>
      <c r="AC1461" s="23" t="s">
        <v>791</v>
      </c>
      <c r="AD1461" s="23">
        <v>0</v>
      </c>
      <c r="AE1461" s="23">
        <v>2</v>
      </c>
      <c r="AF1461" s="23" t="s">
        <v>5478</v>
      </c>
      <c r="AG1461" s="23" t="s">
        <v>792</v>
      </c>
      <c r="AH1461" s="39">
        <v>44701</v>
      </c>
    </row>
    <row r="1462" spans="1:37">
      <c r="A1462" s="75" t="s">
        <v>7589</v>
      </c>
      <c r="B1462" s="23" t="s">
        <v>7590</v>
      </c>
      <c r="C1462" s="140">
        <v>44700</v>
      </c>
      <c r="D1462" s="23" t="s">
        <v>729</v>
      </c>
      <c r="E1462" s="23" t="s">
        <v>752</v>
      </c>
      <c r="F1462" s="23" t="s">
        <v>4899</v>
      </c>
      <c r="G1462" s="23" t="s">
        <v>1724</v>
      </c>
      <c r="P1462" s="23" t="s">
        <v>7563</v>
      </c>
      <c r="Q1462" s="140" t="s">
        <v>7591</v>
      </c>
      <c r="T1462" s="23" t="s">
        <v>12031</v>
      </c>
      <c r="U1462" s="23" t="s">
        <v>12031</v>
      </c>
      <c r="V1462" s="23" t="s">
        <v>298</v>
      </c>
      <c r="W1462" s="23" t="s">
        <v>498</v>
      </c>
      <c r="Y1462" s="23">
        <v>11800</v>
      </c>
      <c r="Z1462" s="23">
        <v>68</v>
      </c>
      <c r="AB1462" s="23" t="s">
        <v>7592</v>
      </c>
      <c r="AC1462" s="23" t="s">
        <v>7593</v>
      </c>
      <c r="AD1462" s="23">
        <v>0</v>
      </c>
      <c r="AE1462" s="23">
        <v>2</v>
      </c>
      <c r="AF1462" s="23" t="s">
        <v>3864</v>
      </c>
      <c r="AG1462" s="23" t="s">
        <v>7307</v>
      </c>
      <c r="AH1462" s="39">
        <v>44704</v>
      </c>
      <c r="AJ1462" s="64" t="s">
        <v>7848</v>
      </c>
      <c r="AK1462" s="53">
        <v>44705</v>
      </c>
    </row>
    <row r="1463" spans="1:37">
      <c r="A1463" s="75" t="s">
        <v>7594</v>
      </c>
      <c r="B1463" s="23" t="s">
        <v>7595</v>
      </c>
      <c r="C1463" s="140">
        <v>44700</v>
      </c>
      <c r="F1463" s="23" t="s">
        <v>7082</v>
      </c>
      <c r="G1463" s="23" t="s">
        <v>1724</v>
      </c>
      <c r="W1463" s="23" t="s">
        <v>6732</v>
      </c>
      <c r="Y1463" s="23">
        <v>22420</v>
      </c>
      <c r="Z1463" s="23">
        <v>68</v>
      </c>
      <c r="AB1463" s="23" t="s">
        <v>7603</v>
      </c>
      <c r="AC1463" s="23" t="s">
        <v>7596</v>
      </c>
      <c r="AF1463" s="23" t="s">
        <v>3864</v>
      </c>
      <c r="AG1463" s="23" t="s">
        <v>7307</v>
      </c>
      <c r="AH1463" s="39">
        <v>44704</v>
      </c>
    </row>
    <row r="1464" spans="1:37">
      <c r="A1464" s="75" t="s">
        <v>7597</v>
      </c>
      <c r="B1464" s="23" t="s">
        <v>7598</v>
      </c>
      <c r="C1464" s="140">
        <v>44700</v>
      </c>
      <c r="D1464" s="23" t="s">
        <v>729</v>
      </c>
      <c r="E1464" s="23" t="s">
        <v>752</v>
      </c>
      <c r="F1464" s="23" t="s">
        <v>7082</v>
      </c>
      <c r="G1464" s="23" t="s">
        <v>1724</v>
      </c>
      <c r="P1464" s="23" t="s">
        <v>7563</v>
      </c>
      <c r="Q1464" s="140" t="s">
        <v>7591</v>
      </c>
      <c r="T1464" s="23" t="s">
        <v>12031</v>
      </c>
      <c r="U1464" s="23" t="s">
        <v>12031</v>
      </c>
      <c r="V1464" s="23" t="s">
        <v>298</v>
      </c>
      <c r="W1464" s="23" t="s">
        <v>6732</v>
      </c>
      <c r="Y1464" s="23">
        <v>22400</v>
      </c>
      <c r="Z1464" s="23">
        <v>68</v>
      </c>
      <c r="AB1464" s="23" t="s">
        <v>7602</v>
      </c>
      <c r="AC1464" s="23" t="s">
        <v>7599</v>
      </c>
      <c r="AD1464" s="23">
        <v>0</v>
      </c>
      <c r="AE1464" s="23">
        <v>2</v>
      </c>
      <c r="AF1464" s="23" t="s">
        <v>3864</v>
      </c>
      <c r="AG1464" s="23" t="s">
        <v>7307</v>
      </c>
      <c r="AH1464" s="39">
        <v>44704</v>
      </c>
      <c r="AJ1464" s="64" t="s">
        <v>7849</v>
      </c>
      <c r="AK1464" s="53">
        <v>44705</v>
      </c>
    </row>
    <row r="1465" spans="1:37">
      <c r="A1465" s="75" t="s">
        <v>7600</v>
      </c>
      <c r="B1465" s="23" t="s">
        <v>7601</v>
      </c>
      <c r="C1465" s="140">
        <v>44700</v>
      </c>
      <c r="F1465" s="23" t="s">
        <v>5765</v>
      </c>
      <c r="G1465" s="23" t="s">
        <v>1724</v>
      </c>
      <c r="W1465" s="23" t="s">
        <v>6359</v>
      </c>
      <c r="Y1465" s="23">
        <v>23000</v>
      </c>
      <c r="Z1465" s="23">
        <v>68</v>
      </c>
      <c r="AB1465" s="23" t="s">
        <v>7604</v>
      </c>
      <c r="AC1465" s="23" t="s">
        <v>7605</v>
      </c>
      <c r="AF1465" s="23" t="s">
        <v>3864</v>
      </c>
      <c r="AG1465" s="23" t="s">
        <v>7307</v>
      </c>
      <c r="AH1465" s="39">
        <v>44704</v>
      </c>
    </row>
    <row r="1466" spans="1:37">
      <c r="A1466" s="75" t="s">
        <v>7606</v>
      </c>
      <c r="B1466" s="23" t="s">
        <v>7607</v>
      </c>
      <c r="C1466" s="140">
        <v>44683</v>
      </c>
      <c r="D1466" s="23" t="s">
        <v>729</v>
      </c>
      <c r="E1466" s="23" t="s">
        <v>752</v>
      </c>
      <c r="F1466" s="23" t="s">
        <v>7286</v>
      </c>
      <c r="G1466" s="23" t="s">
        <v>5698</v>
      </c>
      <c r="P1466" s="23" t="s">
        <v>7608</v>
      </c>
      <c r="Q1466" s="140" t="s">
        <v>7526</v>
      </c>
      <c r="T1466" s="23" t="s">
        <v>12031</v>
      </c>
      <c r="U1466" s="23" t="s">
        <v>12031</v>
      </c>
      <c r="V1466" s="23" t="s">
        <v>298</v>
      </c>
      <c r="W1466" s="23" t="s">
        <v>7411</v>
      </c>
      <c r="Y1466" s="23">
        <v>5300</v>
      </c>
      <c r="Z1466" s="23">
        <v>40</v>
      </c>
      <c r="AB1466" s="23" t="s">
        <v>7609</v>
      </c>
      <c r="AC1466" s="23" t="s">
        <v>123</v>
      </c>
      <c r="AD1466" s="23">
        <v>0</v>
      </c>
      <c r="AE1466" s="23">
        <v>1</v>
      </c>
      <c r="AF1466" s="23" t="s">
        <v>3864</v>
      </c>
      <c r="AG1466" s="23" t="s">
        <v>5585</v>
      </c>
      <c r="AH1466" s="39">
        <v>44705</v>
      </c>
      <c r="AJ1466" s="64" t="s">
        <v>7850</v>
      </c>
      <c r="AK1466" s="53">
        <v>44706</v>
      </c>
    </row>
    <row r="1467" spans="1:37">
      <c r="A1467" s="75" t="s">
        <v>7610</v>
      </c>
      <c r="B1467" s="23" t="s">
        <v>7611</v>
      </c>
      <c r="C1467" s="140">
        <v>44702</v>
      </c>
      <c r="D1467" s="23" t="s">
        <v>729</v>
      </c>
      <c r="E1467" s="23" t="s">
        <v>752</v>
      </c>
      <c r="F1467" s="23" t="s">
        <v>7082</v>
      </c>
      <c r="G1467" s="23" t="s">
        <v>1724</v>
      </c>
      <c r="P1467" s="23" t="s">
        <v>7612</v>
      </c>
      <c r="Q1467" s="140" t="s">
        <v>7591</v>
      </c>
      <c r="T1467" s="23" t="s">
        <v>12031</v>
      </c>
      <c r="U1467" s="23" t="s">
        <v>12031</v>
      </c>
      <c r="V1467" s="23" t="s">
        <v>298</v>
      </c>
      <c r="W1467" s="23" t="s">
        <v>7080</v>
      </c>
      <c r="Y1467" s="23">
        <v>15000</v>
      </c>
      <c r="Z1467" s="23">
        <v>68</v>
      </c>
      <c r="AB1467" s="23" t="s">
        <v>7613</v>
      </c>
      <c r="AC1467" s="23" t="s">
        <v>7253</v>
      </c>
      <c r="AD1467" s="23">
        <v>0</v>
      </c>
      <c r="AE1467" s="23">
        <v>3</v>
      </c>
      <c r="AF1467" s="23" t="s">
        <v>5478</v>
      </c>
      <c r="AG1467" s="23" t="s">
        <v>6573</v>
      </c>
      <c r="AH1467" s="39">
        <v>44705</v>
      </c>
      <c r="AJ1467" s="64" t="s">
        <v>7851</v>
      </c>
      <c r="AK1467" s="53">
        <v>44706</v>
      </c>
    </row>
    <row r="1468" spans="1:37">
      <c r="A1468" s="75" t="s">
        <v>7614</v>
      </c>
      <c r="B1468" s="23" t="s">
        <v>7615</v>
      </c>
      <c r="C1468" s="140">
        <v>44702</v>
      </c>
      <c r="F1468" s="23" t="s">
        <v>7082</v>
      </c>
      <c r="G1468" s="23" t="s">
        <v>1724</v>
      </c>
      <c r="W1468" s="23" t="s">
        <v>6732</v>
      </c>
      <c r="Y1468" s="23">
        <v>15620</v>
      </c>
      <c r="Z1468" s="23">
        <v>68</v>
      </c>
      <c r="AB1468" s="23" t="s">
        <v>7616</v>
      </c>
      <c r="AC1468" s="23" t="s">
        <v>7617</v>
      </c>
      <c r="AF1468" s="23" t="s">
        <v>5478</v>
      </c>
      <c r="AG1468" s="23" t="s">
        <v>637</v>
      </c>
      <c r="AH1468" s="39">
        <v>44705</v>
      </c>
    </row>
    <row r="1469" spans="1:37">
      <c r="A1469" s="75" t="s">
        <v>7618</v>
      </c>
      <c r="B1469" s="23" t="s">
        <v>7619</v>
      </c>
      <c r="C1469" s="140">
        <v>44702</v>
      </c>
      <c r="F1469" s="23" t="s">
        <v>4899</v>
      </c>
      <c r="G1469" s="23" t="s">
        <v>1724</v>
      </c>
      <c r="W1469" s="23" t="s">
        <v>2280</v>
      </c>
      <c r="Y1469" s="23">
        <v>8050</v>
      </c>
      <c r="Z1469" s="23">
        <v>68</v>
      </c>
      <c r="AB1469" s="23" t="s">
        <v>7620</v>
      </c>
      <c r="AC1469" s="23" t="s">
        <v>7621</v>
      </c>
      <c r="AF1469" s="23" t="s">
        <v>5478</v>
      </c>
      <c r="AG1469" s="23" t="s">
        <v>666</v>
      </c>
      <c r="AH1469" s="39">
        <v>44705</v>
      </c>
    </row>
    <row r="1470" spans="1:37">
      <c r="A1470" s="75" t="s">
        <v>7624</v>
      </c>
      <c r="B1470" s="23" t="s">
        <v>7625</v>
      </c>
      <c r="C1470" s="140">
        <v>44704</v>
      </c>
      <c r="D1470" s="23" t="s">
        <v>729</v>
      </c>
      <c r="E1470" s="23" t="s">
        <v>752</v>
      </c>
      <c r="F1470" s="23" t="s">
        <v>7082</v>
      </c>
      <c r="G1470" s="23" t="s">
        <v>1724</v>
      </c>
      <c r="P1470" s="23" t="s">
        <v>7626</v>
      </c>
      <c r="Q1470" s="140" t="s">
        <v>7591</v>
      </c>
      <c r="T1470" s="23" t="s">
        <v>12031</v>
      </c>
      <c r="U1470" s="23" t="s">
        <v>12031</v>
      </c>
      <c r="V1470" s="23" t="s">
        <v>298</v>
      </c>
      <c r="W1470" s="23" t="s">
        <v>6732</v>
      </c>
      <c r="Y1470" s="23">
        <v>22400</v>
      </c>
      <c r="Z1470" s="23">
        <v>68</v>
      </c>
      <c r="AB1470" s="23" t="s">
        <v>7627</v>
      </c>
      <c r="AC1470" s="23" t="s">
        <v>7639</v>
      </c>
      <c r="AD1470" s="23">
        <v>0</v>
      </c>
      <c r="AE1470" s="23">
        <v>4</v>
      </c>
      <c r="AF1470" s="23" t="s">
        <v>3864</v>
      </c>
      <c r="AG1470" s="23" t="s">
        <v>7307</v>
      </c>
      <c r="AH1470" s="39">
        <v>44706</v>
      </c>
      <c r="AJ1470" s="64" t="s">
        <v>7852</v>
      </c>
      <c r="AK1470" s="53">
        <v>44707</v>
      </c>
    </row>
    <row r="1471" spans="1:37" ht="32">
      <c r="A1471" s="75" t="s">
        <v>7628</v>
      </c>
      <c r="B1471" s="23" t="s">
        <v>7629</v>
      </c>
      <c r="C1471" s="140">
        <v>44704</v>
      </c>
      <c r="F1471" s="23" t="s">
        <v>5765</v>
      </c>
      <c r="G1471" s="23" t="s">
        <v>1724</v>
      </c>
      <c r="W1471" s="23" t="s">
        <v>6359</v>
      </c>
      <c r="Y1471" s="23">
        <v>30182</v>
      </c>
      <c r="Z1471" s="23">
        <v>135</v>
      </c>
      <c r="AB1471" s="19" t="s">
        <v>7630</v>
      </c>
      <c r="AC1471" s="23" t="s">
        <v>7640</v>
      </c>
      <c r="AF1471" s="19" t="s">
        <v>6379</v>
      </c>
      <c r="AG1471" s="23" t="s">
        <v>637</v>
      </c>
      <c r="AH1471" s="39">
        <v>44706</v>
      </c>
    </row>
    <row r="1472" spans="1:37">
      <c r="A1472" s="75" t="s">
        <v>7631</v>
      </c>
      <c r="B1472" s="23" t="s">
        <v>7632</v>
      </c>
      <c r="C1472" s="140">
        <v>44704</v>
      </c>
      <c r="F1472" s="23" t="s">
        <v>5765</v>
      </c>
      <c r="G1472" s="23" t="s">
        <v>1724</v>
      </c>
      <c r="W1472" s="23" t="s">
        <v>6359</v>
      </c>
      <c r="Y1472" s="23">
        <v>21700</v>
      </c>
      <c r="Z1472" s="23">
        <v>65</v>
      </c>
      <c r="AB1472" s="23" t="s">
        <v>7633</v>
      </c>
      <c r="AC1472" s="23" t="s">
        <v>7634</v>
      </c>
      <c r="AF1472" s="23" t="s">
        <v>3864</v>
      </c>
      <c r="AG1472" s="23" t="s">
        <v>7307</v>
      </c>
      <c r="AH1472" s="39">
        <v>44706</v>
      </c>
    </row>
    <row r="1473" spans="1:37" ht="64">
      <c r="A1473" s="75" t="s">
        <v>7635</v>
      </c>
      <c r="B1473" s="23" t="s">
        <v>7636</v>
      </c>
      <c r="C1473" s="140">
        <v>44695</v>
      </c>
      <c r="D1473" s="23" t="s">
        <v>729</v>
      </c>
      <c r="E1473" s="23" t="s">
        <v>752</v>
      </c>
      <c r="F1473" s="23" t="s">
        <v>5765</v>
      </c>
      <c r="G1473" s="23" t="s">
        <v>1724</v>
      </c>
      <c r="P1473" s="23" t="s">
        <v>7612</v>
      </c>
      <c r="Q1473" s="140" t="s">
        <v>7591</v>
      </c>
      <c r="T1473" s="23" t="s">
        <v>12031</v>
      </c>
      <c r="U1473" s="23" t="s">
        <v>12031</v>
      </c>
      <c r="V1473" s="23" t="s">
        <v>298</v>
      </c>
      <c r="W1473" s="23" t="s">
        <v>6359</v>
      </c>
      <c r="Y1473" s="23">
        <v>50550</v>
      </c>
      <c r="Z1473" s="23">
        <v>203</v>
      </c>
      <c r="AB1473" s="19" t="s">
        <v>7637</v>
      </c>
      <c r="AC1473" s="23" t="s">
        <v>7638</v>
      </c>
      <c r="AD1473" s="23">
        <v>0</v>
      </c>
      <c r="AE1473" s="23">
        <v>3</v>
      </c>
      <c r="AF1473" s="23" t="s">
        <v>5478</v>
      </c>
      <c r="AG1473" s="23" t="s">
        <v>637</v>
      </c>
      <c r="AH1473" s="39">
        <v>44706</v>
      </c>
      <c r="AJ1473" s="64" t="s">
        <v>7853</v>
      </c>
      <c r="AK1473" s="53">
        <v>44707</v>
      </c>
    </row>
    <row r="1474" spans="1:37">
      <c r="A1474" s="75" t="s">
        <v>7642</v>
      </c>
      <c r="B1474" s="23" t="s">
        <v>7643</v>
      </c>
      <c r="C1474" s="140">
        <v>44705</v>
      </c>
      <c r="D1474" s="23" t="s">
        <v>729</v>
      </c>
      <c r="E1474" s="23" t="s">
        <v>2919</v>
      </c>
      <c r="F1474" s="23" t="s">
        <v>4899</v>
      </c>
      <c r="G1474" s="23" t="s">
        <v>1724</v>
      </c>
      <c r="Q1474" s="140" t="s">
        <v>7644</v>
      </c>
      <c r="T1474" s="23" t="s">
        <v>3715</v>
      </c>
      <c r="U1474" s="23" t="s">
        <v>3715</v>
      </c>
      <c r="V1474" s="23" t="s">
        <v>298</v>
      </c>
      <c r="W1474" s="23" t="s">
        <v>6707</v>
      </c>
      <c r="Y1474" s="38">
        <v>12120</v>
      </c>
      <c r="Z1474" s="23">
        <v>66.8</v>
      </c>
      <c r="AB1474" s="23" t="s">
        <v>7645</v>
      </c>
      <c r="AC1474" s="23" t="s">
        <v>7647</v>
      </c>
      <c r="AD1474" s="23">
        <v>0</v>
      </c>
      <c r="AE1474" s="23">
        <v>1</v>
      </c>
      <c r="AF1474" s="23" t="s">
        <v>7646</v>
      </c>
      <c r="AG1474" s="23" t="s">
        <v>637</v>
      </c>
      <c r="AH1474" s="39">
        <v>44707</v>
      </c>
      <c r="AJ1474" s="64" t="s">
        <v>7854</v>
      </c>
      <c r="AK1474" s="53">
        <v>44708</v>
      </c>
    </row>
    <row r="1475" spans="1:37" ht="32">
      <c r="A1475" s="75" t="s">
        <v>7648</v>
      </c>
      <c r="B1475" s="23" t="s">
        <v>7649</v>
      </c>
      <c r="C1475" s="140">
        <v>44704</v>
      </c>
      <c r="D1475" s="23" t="s">
        <v>729</v>
      </c>
      <c r="E1475" s="23" t="s">
        <v>752</v>
      </c>
      <c r="F1475" s="23" t="s">
        <v>4899</v>
      </c>
      <c r="G1475" s="23" t="s">
        <v>1724</v>
      </c>
      <c r="P1475" s="23" t="s">
        <v>7626</v>
      </c>
      <c r="Q1475" s="140" t="s">
        <v>7591</v>
      </c>
      <c r="T1475" s="23" t="s">
        <v>12031</v>
      </c>
      <c r="U1475" s="23" t="s">
        <v>12031</v>
      </c>
      <c r="V1475" s="23" t="s">
        <v>298</v>
      </c>
      <c r="W1475" s="23" t="s">
        <v>7650</v>
      </c>
      <c r="Y1475" s="23">
        <v>29000</v>
      </c>
      <c r="Z1475" s="23">
        <v>136</v>
      </c>
      <c r="AB1475" s="19" t="s">
        <v>7652</v>
      </c>
      <c r="AC1475" s="23" t="s">
        <v>7651</v>
      </c>
      <c r="AD1475" s="23">
        <v>0</v>
      </c>
      <c r="AE1475" s="23">
        <v>6</v>
      </c>
      <c r="AF1475" s="19" t="s">
        <v>6379</v>
      </c>
      <c r="AG1475" s="23" t="s">
        <v>666</v>
      </c>
      <c r="AH1475" s="39">
        <v>44707</v>
      </c>
      <c r="AJ1475" s="64" t="s">
        <v>7855</v>
      </c>
      <c r="AK1475" s="53">
        <v>44708</v>
      </c>
    </row>
    <row r="1476" spans="1:37">
      <c r="A1476" s="75" t="s">
        <v>7653</v>
      </c>
      <c r="B1476" s="23" t="s">
        <v>7654</v>
      </c>
      <c r="C1476" s="140">
        <v>44704</v>
      </c>
      <c r="F1476" s="23" t="s">
        <v>4899</v>
      </c>
      <c r="G1476" s="23" t="s">
        <v>1724</v>
      </c>
      <c r="P1476" s="23" t="s">
        <v>7655</v>
      </c>
      <c r="Q1476" s="140" t="s">
        <v>7644</v>
      </c>
      <c r="W1476" s="23" t="s">
        <v>6866</v>
      </c>
      <c r="Y1476" s="23">
        <v>19000</v>
      </c>
      <c r="Z1476" s="23">
        <v>68</v>
      </c>
      <c r="AB1476" s="23" t="s">
        <v>7656</v>
      </c>
      <c r="AC1476" s="23" t="s">
        <v>7101</v>
      </c>
      <c r="AF1476" s="23" t="s">
        <v>7428</v>
      </c>
      <c r="AG1476" s="23" t="s">
        <v>666</v>
      </c>
      <c r="AH1476" s="39">
        <v>44707</v>
      </c>
    </row>
    <row r="1477" spans="1:37" ht="96">
      <c r="A1477" s="75" t="s">
        <v>7657</v>
      </c>
      <c r="B1477" s="23" t="s">
        <v>7661</v>
      </c>
      <c r="C1477" s="140">
        <v>44704</v>
      </c>
      <c r="F1477" s="23" t="s">
        <v>4899</v>
      </c>
      <c r="G1477" s="23" t="s">
        <v>1724</v>
      </c>
      <c r="W1477" s="23" t="s">
        <v>7003</v>
      </c>
      <c r="Y1477" s="23">
        <v>45000</v>
      </c>
      <c r="Z1477" s="23">
        <v>204</v>
      </c>
      <c r="AB1477" s="19" t="s">
        <v>7658</v>
      </c>
      <c r="AC1477" s="23" t="s">
        <v>7659</v>
      </c>
      <c r="AF1477" s="19" t="s">
        <v>7660</v>
      </c>
      <c r="AG1477" s="23" t="s">
        <v>666</v>
      </c>
      <c r="AH1477" s="39">
        <v>44707</v>
      </c>
    </row>
    <row r="1478" spans="1:37" ht="80">
      <c r="A1478" s="75" t="s">
        <v>7662</v>
      </c>
      <c r="B1478" s="23" t="s">
        <v>7667</v>
      </c>
      <c r="C1478" s="140">
        <v>44699</v>
      </c>
      <c r="D1478" s="23" t="s">
        <v>729</v>
      </c>
      <c r="E1478" s="23" t="s">
        <v>752</v>
      </c>
      <c r="F1478" s="23" t="s">
        <v>7668</v>
      </c>
      <c r="G1478" s="23" t="s">
        <v>1989</v>
      </c>
      <c r="H1478" s="23" t="s">
        <v>7672</v>
      </c>
      <c r="I1478" s="23" t="s">
        <v>7672</v>
      </c>
      <c r="J1478" s="140">
        <v>44699</v>
      </c>
      <c r="T1478" s="23" t="s">
        <v>12031</v>
      </c>
      <c r="U1478" s="23" t="s">
        <v>12031</v>
      </c>
      <c r="V1478" s="23" t="s">
        <v>299</v>
      </c>
      <c r="W1478" s="23" t="s">
        <v>7669</v>
      </c>
      <c r="AB1478" s="19" t="s">
        <v>7670</v>
      </c>
      <c r="AC1478" s="23">
        <v>10</v>
      </c>
      <c r="AD1478" s="23">
        <v>0</v>
      </c>
      <c r="AE1478" s="23">
        <v>5</v>
      </c>
      <c r="AG1478" s="23" t="s">
        <v>665</v>
      </c>
      <c r="AH1478" s="39">
        <v>44708</v>
      </c>
      <c r="AI1478" s="53" t="s">
        <v>3857</v>
      </c>
      <c r="AJ1478" s="75" t="s">
        <v>8314</v>
      </c>
      <c r="AK1478" s="53">
        <v>44709</v>
      </c>
    </row>
    <row r="1479" spans="1:37" ht="64">
      <c r="A1479" s="75" t="s">
        <v>7671</v>
      </c>
      <c r="B1479" s="23" t="s">
        <v>7673</v>
      </c>
      <c r="C1479" s="140">
        <v>44699</v>
      </c>
      <c r="D1479" s="23" t="s">
        <v>729</v>
      </c>
      <c r="E1479" s="23" t="s">
        <v>752</v>
      </c>
      <c r="F1479" s="23" t="s">
        <v>3456</v>
      </c>
      <c r="G1479" s="23" t="s">
        <v>1989</v>
      </c>
      <c r="H1479" s="23" t="s">
        <v>7674</v>
      </c>
      <c r="I1479" s="23" t="s">
        <v>7674</v>
      </c>
      <c r="J1479" s="140">
        <v>44699</v>
      </c>
      <c r="T1479" s="23" t="s">
        <v>12031</v>
      </c>
      <c r="U1479" s="23" t="s">
        <v>12031</v>
      </c>
      <c r="V1479" s="23" t="s">
        <v>299</v>
      </c>
      <c r="W1479" s="23" t="s">
        <v>7669</v>
      </c>
      <c r="AB1479" s="19" t="s">
        <v>7675</v>
      </c>
      <c r="AC1479" s="23">
        <v>8</v>
      </c>
      <c r="AD1479" s="23">
        <v>0</v>
      </c>
      <c r="AE1479" s="23">
        <v>4</v>
      </c>
      <c r="AG1479" s="23" t="s">
        <v>665</v>
      </c>
      <c r="AH1479" s="39">
        <v>44708</v>
      </c>
      <c r="AI1479" s="53" t="s">
        <v>3857</v>
      </c>
      <c r="AJ1479" s="75" t="s">
        <v>8315</v>
      </c>
      <c r="AK1479" s="53">
        <v>44709</v>
      </c>
    </row>
    <row r="1480" spans="1:37">
      <c r="A1480" s="75" t="s">
        <v>7678</v>
      </c>
      <c r="B1480" s="23" t="s">
        <v>7679</v>
      </c>
      <c r="C1480" s="140">
        <v>44702</v>
      </c>
      <c r="D1480" s="23" t="s">
        <v>729</v>
      </c>
      <c r="E1480" s="23" t="s">
        <v>752</v>
      </c>
      <c r="F1480" s="23" t="s">
        <v>5765</v>
      </c>
      <c r="G1480" s="23" t="s">
        <v>1724</v>
      </c>
      <c r="P1480" s="23" t="s">
        <v>7680</v>
      </c>
      <c r="Q1480" s="140" t="s">
        <v>7591</v>
      </c>
      <c r="T1480" s="23" t="s">
        <v>12031</v>
      </c>
      <c r="U1480" s="23" t="s">
        <v>12031</v>
      </c>
      <c r="V1480" s="23" t="s">
        <v>298</v>
      </c>
      <c r="W1480" s="23" t="s">
        <v>6359</v>
      </c>
      <c r="Y1480" s="23">
        <v>22310</v>
      </c>
      <c r="Z1480" s="23">
        <v>68</v>
      </c>
      <c r="AB1480" s="23" t="s">
        <v>7681</v>
      </c>
      <c r="AC1480" s="23" t="s">
        <v>7682</v>
      </c>
      <c r="AD1480" s="23">
        <v>0</v>
      </c>
      <c r="AE1480" s="23">
        <v>1</v>
      </c>
      <c r="AF1480" s="23" t="s">
        <v>5478</v>
      </c>
      <c r="AG1480" s="23" t="s">
        <v>665</v>
      </c>
      <c r="AH1480" s="39">
        <v>44711</v>
      </c>
      <c r="AJ1480" s="64" t="s">
        <v>7856</v>
      </c>
      <c r="AK1480" s="53">
        <v>44711</v>
      </c>
    </row>
    <row r="1481" spans="1:37">
      <c r="A1481" s="75" t="s">
        <v>7683</v>
      </c>
      <c r="B1481" s="23" t="s">
        <v>7684</v>
      </c>
      <c r="C1481" s="140">
        <v>44706</v>
      </c>
      <c r="D1481" s="23" t="s">
        <v>729</v>
      </c>
      <c r="E1481" s="23" t="s">
        <v>752</v>
      </c>
      <c r="F1481" s="23" t="s">
        <v>4899</v>
      </c>
      <c r="G1481" s="23" t="s">
        <v>1724</v>
      </c>
      <c r="P1481" s="23" t="s">
        <v>7689</v>
      </c>
      <c r="Q1481" s="140" t="s">
        <v>7685</v>
      </c>
      <c r="T1481" s="23" t="s">
        <v>12031</v>
      </c>
      <c r="U1481" s="23" t="s">
        <v>12031</v>
      </c>
      <c r="V1481" s="23" t="s">
        <v>298</v>
      </c>
      <c r="W1481" s="23" t="s">
        <v>6457</v>
      </c>
      <c r="Y1481" s="23">
        <v>21410</v>
      </c>
      <c r="Z1481" s="23">
        <v>68</v>
      </c>
      <c r="AB1481" s="23" t="s">
        <v>7686</v>
      </c>
      <c r="AC1481" s="23" t="s">
        <v>7687</v>
      </c>
      <c r="AD1481" s="23">
        <v>0</v>
      </c>
      <c r="AE1481" s="23">
        <v>3</v>
      </c>
      <c r="AF1481" s="23" t="s">
        <v>5478</v>
      </c>
      <c r="AG1481" s="23" t="s">
        <v>665</v>
      </c>
      <c r="AH1481" s="39">
        <v>44711</v>
      </c>
      <c r="AJ1481" s="64" t="s">
        <v>7857</v>
      </c>
      <c r="AK1481" s="53">
        <v>44712</v>
      </c>
    </row>
    <row r="1482" spans="1:37">
      <c r="A1482" s="75" t="s">
        <v>7688</v>
      </c>
      <c r="B1482" s="23" t="s">
        <v>7690</v>
      </c>
      <c r="C1482" s="140">
        <v>44706</v>
      </c>
      <c r="F1482" s="23" t="s">
        <v>4899</v>
      </c>
      <c r="G1482" s="23" t="s">
        <v>1724</v>
      </c>
      <c r="W1482" s="23" t="s">
        <v>6457</v>
      </c>
      <c r="Y1482" s="23">
        <v>23200</v>
      </c>
      <c r="Z1482" s="23">
        <v>68</v>
      </c>
      <c r="AB1482" s="23" t="s">
        <v>7691</v>
      </c>
      <c r="AC1482" s="23" t="s">
        <v>7692</v>
      </c>
      <c r="AF1482" s="23" t="s">
        <v>5478</v>
      </c>
      <c r="AG1482" s="23" t="s">
        <v>665</v>
      </c>
      <c r="AH1482" s="39">
        <v>44711</v>
      </c>
    </row>
    <row r="1483" spans="1:37">
      <c r="A1483" s="75" t="s">
        <v>7693</v>
      </c>
      <c r="B1483" s="23" t="s">
        <v>7694</v>
      </c>
      <c r="C1483" s="140">
        <v>44704</v>
      </c>
      <c r="F1483" s="23" t="s">
        <v>5765</v>
      </c>
      <c r="G1483" s="23" t="s">
        <v>1724</v>
      </c>
      <c r="P1483" s="23" t="s">
        <v>7626</v>
      </c>
      <c r="Q1483" s="140" t="s">
        <v>7591</v>
      </c>
      <c r="W1483" s="23" t="s">
        <v>6359</v>
      </c>
      <c r="Y1483" s="23">
        <v>22320</v>
      </c>
      <c r="Z1483" s="23">
        <v>68</v>
      </c>
      <c r="AB1483" s="23" t="s">
        <v>7695</v>
      </c>
      <c r="AC1483" s="23" t="s">
        <v>7696</v>
      </c>
      <c r="AF1483" s="23" t="s">
        <v>3864</v>
      </c>
      <c r="AG1483" s="23" t="s">
        <v>7544</v>
      </c>
      <c r="AH1483" s="39">
        <v>44711</v>
      </c>
    </row>
    <row r="1484" spans="1:37">
      <c r="A1484" s="75" t="s">
        <v>7697</v>
      </c>
      <c r="B1484" s="23" t="s">
        <v>7698</v>
      </c>
      <c r="C1484" s="140">
        <v>44703</v>
      </c>
      <c r="D1484" s="23" t="s">
        <v>729</v>
      </c>
      <c r="E1484" s="23" t="s">
        <v>752</v>
      </c>
      <c r="F1484" s="23" t="s">
        <v>7082</v>
      </c>
      <c r="G1484" s="23" t="s">
        <v>1724</v>
      </c>
      <c r="P1484" s="23" t="s">
        <v>7689</v>
      </c>
      <c r="Q1484" s="140" t="s">
        <v>7685</v>
      </c>
      <c r="T1484" s="23" t="s">
        <v>12031</v>
      </c>
      <c r="U1484" s="23" t="s">
        <v>12031</v>
      </c>
      <c r="V1484" s="23" t="s">
        <v>298</v>
      </c>
      <c r="W1484" s="23" t="s">
        <v>7080</v>
      </c>
      <c r="Y1484" s="23">
        <v>15000</v>
      </c>
      <c r="Z1484" s="23">
        <v>68</v>
      </c>
      <c r="AB1484" s="23" t="s">
        <v>7699</v>
      </c>
      <c r="AC1484" s="23" t="s">
        <v>7253</v>
      </c>
      <c r="AD1484" s="23">
        <v>0</v>
      </c>
      <c r="AE1484" s="23">
        <v>4</v>
      </c>
      <c r="AF1484" s="23" t="s">
        <v>5478</v>
      </c>
      <c r="AG1484" s="23" t="s">
        <v>7700</v>
      </c>
      <c r="AH1484" s="39">
        <v>44711</v>
      </c>
      <c r="AJ1484" s="75" t="s">
        <v>7858</v>
      </c>
      <c r="AK1484" s="53">
        <v>44712</v>
      </c>
    </row>
    <row r="1485" spans="1:37">
      <c r="A1485" s="75" t="s">
        <v>7701</v>
      </c>
      <c r="B1485" s="23" t="s">
        <v>7702</v>
      </c>
      <c r="C1485" s="140">
        <v>44706</v>
      </c>
      <c r="F1485" s="23" t="s">
        <v>7082</v>
      </c>
      <c r="G1485" s="23" t="s">
        <v>1724</v>
      </c>
      <c r="W1485" s="23" t="s">
        <v>7080</v>
      </c>
      <c r="Y1485" s="23">
        <v>15000</v>
      </c>
      <c r="Z1485" s="23">
        <v>68</v>
      </c>
      <c r="AB1485" s="23" t="s">
        <v>7703</v>
      </c>
      <c r="AC1485" s="23" t="s">
        <v>7253</v>
      </c>
      <c r="AF1485" s="23" t="s">
        <v>5478</v>
      </c>
      <c r="AG1485" s="23" t="s">
        <v>7700</v>
      </c>
      <c r="AH1485" s="39">
        <v>44711</v>
      </c>
    </row>
    <row r="1486" spans="1:37" ht="64">
      <c r="A1486" s="75" t="s">
        <v>7704</v>
      </c>
      <c r="B1486" s="23" t="s">
        <v>7705</v>
      </c>
      <c r="C1486" s="140">
        <v>44706</v>
      </c>
      <c r="F1486" s="23" t="s">
        <v>4899</v>
      </c>
      <c r="G1486" s="23" t="s">
        <v>1724</v>
      </c>
      <c r="W1486" s="23" t="s">
        <v>2280</v>
      </c>
      <c r="Y1486" s="23">
        <v>16100</v>
      </c>
      <c r="Z1486" s="23">
        <v>136</v>
      </c>
      <c r="AB1486" s="19" t="s">
        <v>7706</v>
      </c>
      <c r="AC1486" s="23" t="s">
        <v>7707</v>
      </c>
      <c r="AF1486" s="19" t="s">
        <v>7368</v>
      </c>
      <c r="AG1486" s="23" t="s">
        <v>666</v>
      </c>
      <c r="AH1486" s="39">
        <v>44711</v>
      </c>
    </row>
    <row r="1487" spans="1:37">
      <c r="A1487" s="75" t="s">
        <v>7708</v>
      </c>
      <c r="B1487" s="23" t="s">
        <v>7709</v>
      </c>
      <c r="C1487" s="140">
        <v>44703</v>
      </c>
      <c r="D1487" s="23" t="s">
        <v>729</v>
      </c>
      <c r="E1487" s="23" t="s">
        <v>752</v>
      </c>
      <c r="F1487" s="23" t="s">
        <v>4899</v>
      </c>
      <c r="G1487" s="23" t="s">
        <v>1724</v>
      </c>
      <c r="P1487" s="23" t="s">
        <v>7689</v>
      </c>
      <c r="Q1487" s="140" t="s">
        <v>7685</v>
      </c>
      <c r="T1487" s="23" t="s">
        <v>12031</v>
      </c>
      <c r="U1487" s="23" t="s">
        <v>12031</v>
      </c>
      <c r="V1487" s="23" t="s">
        <v>298</v>
      </c>
      <c r="W1487" s="23" t="s">
        <v>7446</v>
      </c>
      <c r="Y1487" s="23">
        <v>15000</v>
      </c>
      <c r="Z1487" s="23">
        <v>68</v>
      </c>
      <c r="AB1487" s="23" t="s">
        <v>7710</v>
      </c>
      <c r="AC1487" s="23" t="s">
        <v>7711</v>
      </c>
      <c r="AD1487" s="23">
        <v>0</v>
      </c>
      <c r="AE1487" s="23">
        <v>4</v>
      </c>
      <c r="AF1487" s="23" t="s">
        <v>5478</v>
      </c>
      <c r="AG1487" s="23" t="s">
        <v>637</v>
      </c>
      <c r="AH1487" s="39">
        <v>44711</v>
      </c>
      <c r="AJ1487" s="64" t="s">
        <v>7859</v>
      </c>
      <c r="AK1487" s="53">
        <v>44712</v>
      </c>
    </row>
    <row r="1488" spans="1:37">
      <c r="A1488" s="75" t="s">
        <v>7712</v>
      </c>
      <c r="B1488" s="23" t="s">
        <v>7713</v>
      </c>
      <c r="C1488" s="140">
        <v>44706</v>
      </c>
      <c r="F1488" s="23" t="s">
        <v>4899</v>
      </c>
      <c r="G1488" s="23" t="s">
        <v>1724</v>
      </c>
      <c r="W1488" s="23" t="s">
        <v>7446</v>
      </c>
      <c r="Y1488" s="23">
        <v>12500</v>
      </c>
      <c r="Z1488" s="23">
        <v>68</v>
      </c>
      <c r="AB1488" s="23" t="s">
        <v>7714</v>
      </c>
      <c r="AC1488" s="23" t="s">
        <v>7715</v>
      </c>
      <c r="AF1488" s="23" t="s">
        <v>5478</v>
      </c>
      <c r="AG1488" s="23" t="s">
        <v>666</v>
      </c>
      <c r="AH1488" s="39">
        <v>44711</v>
      </c>
    </row>
    <row r="1489" spans="1:37">
      <c r="A1489" s="75" t="s">
        <v>7716</v>
      </c>
      <c r="B1489" s="23" t="s">
        <v>7717</v>
      </c>
      <c r="C1489" s="140">
        <v>44702</v>
      </c>
      <c r="F1489" s="23" t="s">
        <v>4899</v>
      </c>
      <c r="G1489" s="23" t="s">
        <v>1724</v>
      </c>
      <c r="W1489" s="23" t="s">
        <v>6866</v>
      </c>
      <c r="Y1489" s="23">
        <v>14500</v>
      </c>
      <c r="Z1489" s="23">
        <v>68</v>
      </c>
      <c r="AB1489" s="23" t="s">
        <v>7718</v>
      </c>
      <c r="AC1489" s="23" t="s">
        <v>7264</v>
      </c>
      <c r="AF1489" s="23" t="s">
        <v>5478</v>
      </c>
      <c r="AG1489" s="23" t="s">
        <v>7719</v>
      </c>
      <c r="AH1489" s="39">
        <v>44711</v>
      </c>
    </row>
    <row r="1490" spans="1:37">
      <c r="A1490" s="75" t="s">
        <v>7720</v>
      </c>
      <c r="B1490" s="23" t="s">
        <v>7721</v>
      </c>
      <c r="C1490" s="140">
        <v>44706</v>
      </c>
      <c r="F1490" s="23" t="s">
        <v>4899</v>
      </c>
      <c r="G1490" s="23" t="s">
        <v>1724</v>
      </c>
      <c r="W1490" s="23" t="s">
        <v>7080</v>
      </c>
      <c r="Y1490" s="23">
        <v>15000</v>
      </c>
      <c r="Z1490" s="23">
        <v>68</v>
      </c>
      <c r="AB1490" s="23" t="s">
        <v>7722</v>
      </c>
      <c r="AC1490" s="23" t="s">
        <v>7253</v>
      </c>
      <c r="AF1490" s="23" t="s">
        <v>5478</v>
      </c>
      <c r="AG1490" s="23" t="s">
        <v>666</v>
      </c>
      <c r="AH1490" s="39">
        <v>44711</v>
      </c>
    </row>
    <row r="1491" spans="1:37">
      <c r="A1491" s="75" t="s">
        <v>7723</v>
      </c>
      <c r="B1491" s="23" t="s">
        <v>7724</v>
      </c>
      <c r="C1491" s="140">
        <v>44698</v>
      </c>
      <c r="D1491" s="23" t="s">
        <v>729</v>
      </c>
      <c r="E1491" s="23" t="s">
        <v>752</v>
      </c>
      <c r="F1491" s="23" t="s">
        <v>5765</v>
      </c>
      <c r="G1491" s="23" t="s">
        <v>1724</v>
      </c>
      <c r="P1491" s="23" t="s">
        <v>7725</v>
      </c>
      <c r="Q1491" s="140" t="s">
        <v>7726</v>
      </c>
      <c r="T1491" s="23" t="s">
        <v>12031</v>
      </c>
      <c r="U1491" s="23" t="s">
        <v>12031</v>
      </c>
      <c r="V1491" s="23" t="s">
        <v>298</v>
      </c>
      <c r="W1491" s="23" t="s">
        <v>4803</v>
      </c>
      <c r="Y1491" s="37">
        <v>13788.3</v>
      </c>
      <c r="Z1491" s="23">
        <v>37.933</v>
      </c>
      <c r="AB1491" s="23" t="s">
        <v>7727</v>
      </c>
      <c r="AC1491" s="23" t="s">
        <v>7728</v>
      </c>
      <c r="AD1491" s="23">
        <v>0</v>
      </c>
      <c r="AE1491" s="23">
        <v>1</v>
      </c>
      <c r="AF1491" s="23" t="s">
        <v>5478</v>
      </c>
      <c r="AG1491" s="23" t="s">
        <v>5518</v>
      </c>
      <c r="AH1491" s="39">
        <v>44711</v>
      </c>
      <c r="AJ1491" s="64" t="s">
        <v>7860</v>
      </c>
      <c r="AK1491" s="53">
        <v>44712</v>
      </c>
    </row>
    <row r="1492" spans="1:37">
      <c r="A1492" s="75" t="s">
        <v>7729</v>
      </c>
      <c r="B1492" s="23" t="s">
        <v>7730</v>
      </c>
      <c r="C1492" s="140">
        <v>44703</v>
      </c>
      <c r="D1492" s="23" t="s">
        <v>729</v>
      </c>
      <c r="E1492" s="23" t="s">
        <v>752</v>
      </c>
      <c r="F1492" s="23" t="s">
        <v>4899</v>
      </c>
      <c r="G1492" s="23" t="s">
        <v>1724</v>
      </c>
      <c r="P1492" s="23" t="s">
        <v>7689</v>
      </c>
      <c r="Q1492" s="140" t="s">
        <v>7685</v>
      </c>
      <c r="T1492" s="23" t="s">
        <v>12031</v>
      </c>
      <c r="U1492" s="23" t="s">
        <v>12031</v>
      </c>
      <c r="V1492" s="23" t="s">
        <v>298</v>
      </c>
      <c r="W1492" s="23" t="s">
        <v>6457</v>
      </c>
      <c r="Y1492" s="23">
        <v>22950</v>
      </c>
      <c r="Z1492" s="23">
        <v>68</v>
      </c>
      <c r="AB1492" s="23" t="s">
        <v>7731</v>
      </c>
      <c r="AC1492" s="23" t="s">
        <v>7732</v>
      </c>
      <c r="AD1492" s="23">
        <v>0</v>
      </c>
      <c r="AE1492" s="23">
        <v>1</v>
      </c>
      <c r="AF1492" s="23" t="s">
        <v>5478</v>
      </c>
      <c r="AG1492" s="23" t="s">
        <v>7544</v>
      </c>
      <c r="AH1492" s="39">
        <v>44711</v>
      </c>
      <c r="AJ1492" s="64" t="s">
        <v>7861</v>
      </c>
      <c r="AK1492" s="53">
        <v>44712</v>
      </c>
    </row>
    <row r="1493" spans="1:37">
      <c r="A1493" s="75" t="s">
        <v>7733</v>
      </c>
      <c r="B1493" s="23" t="s">
        <v>7734</v>
      </c>
      <c r="C1493" s="140">
        <v>44699</v>
      </c>
      <c r="D1493" s="23" t="s">
        <v>729</v>
      </c>
      <c r="E1493" s="23" t="s">
        <v>752</v>
      </c>
      <c r="F1493" s="23" t="s">
        <v>3456</v>
      </c>
      <c r="G1493" s="23" t="s">
        <v>1989</v>
      </c>
      <c r="H1493" s="23" t="s">
        <v>7735</v>
      </c>
      <c r="I1493" s="23" t="s">
        <v>7735</v>
      </c>
      <c r="J1493" s="140">
        <v>44699</v>
      </c>
      <c r="T1493" s="23" t="s">
        <v>12031</v>
      </c>
      <c r="U1493" s="23" t="s">
        <v>12031</v>
      </c>
      <c r="V1493" s="23" t="s">
        <v>299</v>
      </c>
      <c r="W1493" s="23" t="s">
        <v>7736</v>
      </c>
      <c r="AB1493" s="23" t="s">
        <v>7737</v>
      </c>
      <c r="AC1493" s="23">
        <v>2</v>
      </c>
      <c r="AD1493" s="23">
        <v>0</v>
      </c>
      <c r="AE1493" s="23">
        <v>1</v>
      </c>
      <c r="AG1493" s="23" t="s">
        <v>665</v>
      </c>
      <c r="AH1493" s="39">
        <v>44712</v>
      </c>
      <c r="AI1493" s="53" t="s">
        <v>3857</v>
      </c>
      <c r="AJ1493" s="75" t="s">
        <v>8316</v>
      </c>
      <c r="AK1493" s="53">
        <v>44713</v>
      </c>
    </row>
    <row r="1494" spans="1:37">
      <c r="A1494" s="75" t="s">
        <v>7741</v>
      </c>
      <c r="B1494" s="23" t="s">
        <v>7742</v>
      </c>
      <c r="C1494" s="140">
        <v>44702</v>
      </c>
      <c r="D1494" s="23" t="s">
        <v>729</v>
      </c>
      <c r="E1494" s="23" t="s">
        <v>752</v>
      </c>
      <c r="F1494" s="23" t="s">
        <v>4899</v>
      </c>
      <c r="G1494" s="23" t="s">
        <v>1724</v>
      </c>
      <c r="P1494" s="23" t="s">
        <v>7743</v>
      </c>
      <c r="Q1494" s="140" t="s">
        <v>7746</v>
      </c>
      <c r="T1494" s="23" t="s">
        <v>12031</v>
      </c>
      <c r="U1494" s="23" t="s">
        <v>12031</v>
      </c>
      <c r="V1494" s="23" t="s">
        <v>298</v>
      </c>
      <c r="W1494" s="23" t="s">
        <v>6457</v>
      </c>
      <c r="Y1494" s="38">
        <v>16050</v>
      </c>
      <c r="Z1494" s="23">
        <v>68</v>
      </c>
      <c r="AB1494" s="23" t="s">
        <v>7744</v>
      </c>
      <c r="AC1494" s="23" t="s">
        <v>7745</v>
      </c>
      <c r="AD1494" s="23">
        <v>0</v>
      </c>
      <c r="AE1494" s="23">
        <v>1</v>
      </c>
      <c r="AF1494" s="23" t="s">
        <v>5478</v>
      </c>
      <c r="AG1494" s="23" t="s">
        <v>637</v>
      </c>
      <c r="AH1494" s="39">
        <v>44712</v>
      </c>
      <c r="AJ1494" s="64" t="s">
        <v>7862</v>
      </c>
      <c r="AK1494" s="53">
        <v>44713</v>
      </c>
    </row>
    <row r="1495" spans="1:37">
      <c r="A1495" s="75" t="s">
        <v>7749</v>
      </c>
      <c r="B1495" s="27" t="s">
        <v>7761</v>
      </c>
      <c r="C1495" s="140">
        <v>44700</v>
      </c>
      <c r="D1495" s="23" t="s">
        <v>729</v>
      </c>
      <c r="E1495" s="23" t="s">
        <v>752</v>
      </c>
      <c r="F1495" s="23" t="s">
        <v>4899</v>
      </c>
      <c r="G1495" s="23" t="s">
        <v>1724</v>
      </c>
      <c r="P1495" s="23" t="s">
        <v>7750</v>
      </c>
      <c r="Q1495" s="140" t="s">
        <v>7751</v>
      </c>
      <c r="T1495" s="23" t="s">
        <v>12031</v>
      </c>
      <c r="U1495" s="23" t="s">
        <v>12031</v>
      </c>
      <c r="V1495" s="23" t="s">
        <v>298</v>
      </c>
      <c r="W1495" s="23" t="s">
        <v>6457</v>
      </c>
      <c r="Y1495" s="23">
        <v>23000</v>
      </c>
      <c r="Z1495" s="23">
        <v>68</v>
      </c>
      <c r="AB1495" s="23" t="s">
        <v>7752</v>
      </c>
      <c r="AC1495" s="23" t="s">
        <v>7753</v>
      </c>
      <c r="AD1495" s="23">
        <v>0</v>
      </c>
      <c r="AE1495" s="23">
        <v>3</v>
      </c>
      <c r="AF1495" s="23" t="s">
        <v>7754</v>
      </c>
      <c r="AG1495" s="23" t="s">
        <v>1196</v>
      </c>
      <c r="AH1495" s="39">
        <v>44713</v>
      </c>
      <c r="AJ1495" s="75" t="s">
        <v>7863</v>
      </c>
      <c r="AK1495" s="53">
        <v>44714</v>
      </c>
    </row>
    <row r="1496" spans="1:37">
      <c r="A1496" s="75" t="s">
        <v>7755</v>
      </c>
      <c r="B1496" s="27" t="s">
        <v>7762</v>
      </c>
      <c r="C1496" s="140">
        <v>44697</v>
      </c>
      <c r="F1496" s="23" t="s">
        <v>4899</v>
      </c>
      <c r="G1496" s="23" t="s">
        <v>1724</v>
      </c>
      <c r="W1496" s="23" t="s">
        <v>6457</v>
      </c>
      <c r="Y1496" s="23">
        <v>17170</v>
      </c>
      <c r="Z1496" s="23">
        <v>64</v>
      </c>
      <c r="AB1496" s="23" t="s">
        <v>7756</v>
      </c>
      <c r="AC1496" s="23" t="s">
        <v>7757</v>
      </c>
      <c r="AF1496" s="23" t="s">
        <v>7754</v>
      </c>
      <c r="AG1496" s="23" t="s">
        <v>637</v>
      </c>
      <c r="AH1496" s="39">
        <v>44713</v>
      </c>
    </row>
    <row r="1497" spans="1:37">
      <c r="A1497" s="75" t="s">
        <v>7758</v>
      </c>
      <c r="B1497" s="27" t="s">
        <v>7763</v>
      </c>
      <c r="C1497" s="140">
        <v>44700</v>
      </c>
      <c r="F1497" s="23" t="s">
        <v>4899</v>
      </c>
      <c r="G1497" s="23" t="s">
        <v>1724</v>
      </c>
      <c r="W1497" s="23" t="s">
        <v>6457</v>
      </c>
      <c r="Y1497" s="23">
        <v>22900</v>
      </c>
      <c r="Z1497" s="23">
        <v>68</v>
      </c>
      <c r="AB1497" s="23" t="s">
        <v>7759</v>
      </c>
      <c r="AC1497" s="23" t="s">
        <v>7760</v>
      </c>
      <c r="AF1497" s="23" t="s">
        <v>7754</v>
      </c>
      <c r="AH1497" s="39">
        <v>44713</v>
      </c>
    </row>
    <row r="1498" spans="1:37" ht="32">
      <c r="A1498" s="75" t="s">
        <v>7764</v>
      </c>
      <c r="B1498" s="23" t="s">
        <v>7765</v>
      </c>
      <c r="C1498" s="140">
        <v>44710</v>
      </c>
      <c r="D1498" s="23" t="s">
        <v>729</v>
      </c>
      <c r="E1498" s="23" t="s">
        <v>752</v>
      </c>
      <c r="F1498" s="23" t="s">
        <v>6113</v>
      </c>
      <c r="G1498" s="23" t="s">
        <v>5538</v>
      </c>
      <c r="H1498" s="23" t="s">
        <v>7766</v>
      </c>
      <c r="I1498" s="23" t="s">
        <v>7766</v>
      </c>
      <c r="J1498" s="140">
        <v>44658</v>
      </c>
      <c r="T1498" s="23" t="s">
        <v>12031</v>
      </c>
      <c r="U1498" s="23" t="s">
        <v>12031</v>
      </c>
      <c r="V1498" s="23" t="s">
        <v>299</v>
      </c>
      <c r="W1498" s="23" t="s">
        <v>7767</v>
      </c>
      <c r="AB1498" s="133" t="s">
        <v>7768</v>
      </c>
      <c r="AC1498" s="23">
        <v>6</v>
      </c>
      <c r="AD1498" s="23">
        <v>0</v>
      </c>
      <c r="AE1498" s="23">
        <v>2</v>
      </c>
      <c r="AG1498" s="23" t="s">
        <v>5879</v>
      </c>
      <c r="AH1498" s="39">
        <v>44713</v>
      </c>
      <c r="AI1498" s="53" t="s">
        <v>5027</v>
      </c>
      <c r="AJ1498" s="64" t="s">
        <v>7864</v>
      </c>
      <c r="AK1498" s="53">
        <v>44714</v>
      </c>
    </row>
    <row r="1499" spans="1:37">
      <c r="A1499" s="75" t="s">
        <v>7769</v>
      </c>
      <c r="B1499" s="23" t="s">
        <v>7770</v>
      </c>
      <c r="C1499" s="140">
        <v>44711</v>
      </c>
      <c r="D1499" s="23" t="s">
        <v>729</v>
      </c>
      <c r="E1499" s="23" t="s">
        <v>752</v>
      </c>
      <c r="F1499" s="23" t="s">
        <v>4899</v>
      </c>
      <c r="G1499" s="23" t="s">
        <v>1724</v>
      </c>
      <c r="P1499" s="23" t="s">
        <v>7771</v>
      </c>
      <c r="Q1499" s="140" t="s">
        <v>7772</v>
      </c>
      <c r="T1499" s="23" t="s">
        <v>12031</v>
      </c>
      <c r="U1499" s="23" t="s">
        <v>12031</v>
      </c>
      <c r="V1499" s="23" t="s">
        <v>298</v>
      </c>
      <c r="W1499" s="23" t="s">
        <v>6457</v>
      </c>
      <c r="Y1499" s="23">
        <v>14368</v>
      </c>
      <c r="Z1499" s="23">
        <v>68</v>
      </c>
      <c r="AB1499" s="23" t="s">
        <v>7773</v>
      </c>
      <c r="AC1499" s="23" t="s">
        <v>7774</v>
      </c>
      <c r="AD1499" s="23">
        <v>0</v>
      </c>
      <c r="AE1499" s="23">
        <v>4</v>
      </c>
      <c r="AF1499" s="23" t="s">
        <v>7428</v>
      </c>
      <c r="AG1499" s="23" t="s">
        <v>637</v>
      </c>
      <c r="AH1499" s="39">
        <v>44713</v>
      </c>
      <c r="AJ1499" s="64" t="s">
        <v>7865</v>
      </c>
      <c r="AK1499" s="53">
        <v>44714</v>
      </c>
    </row>
    <row r="1500" spans="1:37">
      <c r="A1500" s="75" t="s">
        <v>7775</v>
      </c>
      <c r="B1500" s="23" t="s">
        <v>7776</v>
      </c>
      <c r="C1500" s="140">
        <v>44705</v>
      </c>
      <c r="F1500" s="23" t="s">
        <v>4899</v>
      </c>
      <c r="G1500" s="23" t="s">
        <v>1724</v>
      </c>
      <c r="W1500" s="23" t="s">
        <v>6431</v>
      </c>
      <c r="Y1500" s="23">
        <v>23310</v>
      </c>
      <c r="Z1500" s="23">
        <v>68</v>
      </c>
      <c r="AB1500" s="23" t="s">
        <v>7777</v>
      </c>
      <c r="AC1500" s="23" t="s">
        <v>7778</v>
      </c>
      <c r="AF1500" s="23" t="s">
        <v>7428</v>
      </c>
      <c r="AG1500" s="23" t="s">
        <v>666</v>
      </c>
      <c r="AH1500" s="39">
        <v>44713</v>
      </c>
    </row>
    <row r="1501" spans="1:37">
      <c r="A1501" s="75" t="s">
        <v>7779</v>
      </c>
      <c r="B1501" s="23" t="s">
        <v>7780</v>
      </c>
      <c r="C1501" s="140">
        <v>44705</v>
      </c>
      <c r="F1501" s="23" t="s">
        <v>4899</v>
      </c>
      <c r="G1501" s="23" t="s">
        <v>1724</v>
      </c>
      <c r="W1501" s="23" t="s">
        <v>6457</v>
      </c>
      <c r="Y1501" s="23">
        <v>22640</v>
      </c>
      <c r="Z1501" s="23">
        <v>68</v>
      </c>
      <c r="AB1501" s="23" t="s">
        <v>7781</v>
      </c>
      <c r="AC1501" s="23" t="s">
        <v>7782</v>
      </c>
      <c r="AF1501" s="23" t="s">
        <v>7428</v>
      </c>
      <c r="AG1501" s="23" t="s">
        <v>666</v>
      </c>
      <c r="AH1501" s="39">
        <v>44713</v>
      </c>
    </row>
    <row r="1502" spans="1:37">
      <c r="A1502" s="75" t="s">
        <v>7783</v>
      </c>
      <c r="B1502" s="23" t="s">
        <v>7784</v>
      </c>
      <c r="C1502" s="140">
        <v>44711</v>
      </c>
      <c r="F1502" s="23" t="s">
        <v>7082</v>
      </c>
      <c r="G1502" s="23" t="s">
        <v>1724</v>
      </c>
      <c r="W1502" s="23" t="s">
        <v>6732</v>
      </c>
      <c r="Y1502" s="23">
        <v>22415</v>
      </c>
      <c r="Z1502" s="23">
        <v>60</v>
      </c>
      <c r="AB1502" s="23" t="s">
        <v>7789</v>
      </c>
      <c r="AC1502" s="23" t="s">
        <v>7785</v>
      </c>
      <c r="AF1502" s="23" t="s">
        <v>7428</v>
      </c>
      <c r="AG1502" s="23" t="s">
        <v>637</v>
      </c>
      <c r="AH1502" s="39">
        <v>44713</v>
      </c>
    </row>
    <row r="1503" spans="1:37">
      <c r="A1503" s="75" t="s">
        <v>7786</v>
      </c>
      <c r="B1503" s="23" t="s">
        <v>7787</v>
      </c>
      <c r="C1503" s="140">
        <v>44710</v>
      </c>
      <c r="D1503" s="23" t="s">
        <v>729</v>
      </c>
      <c r="E1503" s="23" t="s">
        <v>752</v>
      </c>
      <c r="F1503" s="23" t="s">
        <v>4899</v>
      </c>
      <c r="G1503" s="23" t="s">
        <v>1724</v>
      </c>
      <c r="P1503" s="23" t="s">
        <v>7771</v>
      </c>
      <c r="Q1503" s="140" t="s">
        <v>7772</v>
      </c>
      <c r="T1503" s="23" t="s">
        <v>12031</v>
      </c>
      <c r="U1503" s="23" t="s">
        <v>12031</v>
      </c>
      <c r="V1503" s="23" t="s">
        <v>298</v>
      </c>
      <c r="W1503" s="23" t="s">
        <v>7788</v>
      </c>
      <c r="Y1503" s="23">
        <v>16000</v>
      </c>
      <c r="Z1503" s="23">
        <v>68</v>
      </c>
      <c r="AB1503" s="23" t="s">
        <v>7790</v>
      </c>
      <c r="AC1503" s="23" t="s">
        <v>7791</v>
      </c>
      <c r="AD1503" s="23">
        <v>0</v>
      </c>
      <c r="AE1503" s="23">
        <v>3</v>
      </c>
      <c r="AF1503" s="23" t="s">
        <v>7428</v>
      </c>
      <c r="AG1503" s="23" t="s">
        <v>666</v>
      </c>
      <c r="AH1503" s="39">
        <v>44714</v>
      </c>
      <c r="AJ1503" s="64" t="s">
        <v>7878</v>
      </c>
      <c r="AK1503" s="53">
        <v>44715</v>
      </c>
    </row>
    <row r="1504" spans="1:37">
      <c r="A1504" s="75" t="s">
        <v>7792</v>
      </c>
      <c r="B1504" s="23" t="s">
        <v>7793</v>
      </c>
      <c r="C1504" s="140">
        <v>44705</v>
      </c>
      <c r="F1504" s="23" t="s">
        <v>4899</v>
      </c>
      <c r="G1504" s="23" t="s">
        <v>1724</v>
      </c>
      <c r="W1504" s="23" t="s">
        <v>7446</v>
      </c>
      <c r="Y1504" s="23">
        <v>15000</v>
      </c>
      <c r="Z1504" s="23">
        <v>68</v>
      </c>
      <c r="AB1504" s="23" t="s">
        <v>7794</v>
      </c>
      <c r="AC1504" s="23" t="s">
        <v>3087</v>
      </c>
      <c r="AF1504" s="23" t="s">
        <v>7428</v>
      </c>
      <c r="AG1504" s="23" t="s">
        <v>666</v>
      </c>
      <c r="AH1504" s="39">
        <v>44714</v>
      </c>
    </row>
    <row r="1505" spans="1:37">
      <c r="A1505" s="75" t="s">
        <v>7796</v>
      </c>
      <c r="B1505" s="23" t="s">
        <v>7797</v>
      </c>
      <c r="C1505" s="140">
        <v>44710</v>
      </c>
      <c r="F1505" s="23" t="s">
        <v>4899</v>
      </c>
      <c r="G1505" s="23" t="s">
        <v>1724</v>
      </c>
      <c r="W1505" s="23" t="s">
        <v>7446</v>
      </c>
      <c r="Y1505" s="23">
        <v>14500</v>
      </c>
      <c r="Z1505" s="23">
        <v>68</v>
      </c>
      <c r="AB1505" s="23" t="s">
        <v>7798</v>
      </c>
      <c r="AC1505" s="23" t="s">
        <v>7791</v>
      </c>
      <c r="AF1505" s="23" t="s">
        <v>7428</v>
      </c>
      <c r="AG1505" s="23" t="s">
        <v>666</v>
      </c>
      <c r="AH1505" s="39">
        <v>44714</v>
      </c>
    </row>
    <row r="1506" spans="1:37">
      <c r="A1506" s="75" t="s">
        <v>7799</v>
      </c>
      <c r="B1506" s="23">
        <v>218410101</v>
      </c>
      <c r="C1506" s="140">
        <v>44711</v>
      </c>
      <c r="D1506" s="23" t="s">
        <v>729</v>
      </c>
      <c r="E1506" s="23" t="s">
        <v>752</v>
      </c>
      <c r="F1506" s="23" t="s">
        <v>4899</v>
      </c>
      <c r="G1506" s="23" t="s">
        <v>1724</v>
      </c>
      <c r="P1506" s="23" t="s">
        <v>7750</v>
      </c>
      <c r="Q1506" s="140" t="s">
        <v>7751</v>
      </c>
      <c r="T1506" s="23" t="s">
        <v>12031</v>
      </c>
      <c r="U1506" s="23" t="s">
        <v>12031</v>
      </c>
      <c r="V1506" s="23" t="s">
        <v>298</v>
      </c>
      <c r="W1506" s="23" t="s">
        <v>2280</v>
      </c>
      <c r="Y1506" s="23">
        <v>8040</v>
      </c>
      <c r="Z1506" s="23">
        <v>68</v>
      </c>
      <c r="AB1506" s="23" t="s">
        <v>7800</v>
      </c>
      <c r="AC1506" s="23" t="s">
        <v>3030</v>
      </c>
      <c r="AD1506" s="23">
        <v>0</v>
      </c>
      <c r="AE1506" s="23">
        <v>2</v>
      </c>
      <c r="AF1506" s="23" t="s">
        <v>7754</v>
      </c>
      <c r="AG1506" s="23" t="s">
        <v>666</v>
      </c>
      <c r="AH1506" s="39">
        <v>44714</v>
      </c>
      <c r="AJ1506" s="64" t="s">
        <v>7879</v>
      </c>
      <c r="AK1506" s="53">
        <v>44715</v>
      </c>
    </row>
    <row r="1507" spans="1:37">
      <c r="A1507" s="75" t="s">
        <v>7795</v>
      </c>
      <c r="B1507" s="23">
        <v>218541516</v>
      </c>
      <c r="C1507" s="140">
        <v>44711</v>
      </c>
      <c r="F1507" s="23" t="s">
        <v>4899</v>
      </c>
      <c r="G1507" s="23" t="s">
        <v>1724</v>
      </c>
      <c r="W1507" s="23" t="s">
        <v>498</v>
      </c>
      <c r="Y1507" s="23">
        <v>11810</v>
      </c>
      <c r="Z1507" s="23">
        <v>68</v>
      </c>
      <c r="AB1507" s="23" t="s">
        <v>7801</v>
      </c>
      <c r="AC1507" s="23" t="s">
        <v>5044</v>
      </c>
      <c r="AF1507" s="23" t="s">
        <v>7754</v>
      </c>
      <c r="AG1507" s="23" t="s">
        <v>1196</v>
      </c>
      <c r="AH1507" s="39">
        <v>44714</v>
      </c>
    </row>
    <row r="1508" spans="1:37">
      <c r="A1508" s="75" t="s">
        <v>7802</v>
      </c>
      <c r="B1508" s="23" t="s">
        <v>7803</v>
      </c>
      <c r="C1508" s="140">
        <v>44705</v>
      </c>
      <c r="D1508" s="23" t="s">
        <v>729</v>
      </c>
      <c r="E1508" s="23" t="s">
        <v>752</v>
      </c>
      <c r="F1508" s="23" t="s">
        <v>4899</v>
      </c>
      <c r="G1508" s="23" t="s">
        <v>1724</v>
      </c>
      <c r="P1508" s="23" t="s">
        <v>7771</v>
      </c>
      <c r="Q1508" s="140" t="s">
        <v>7772</v>
      </c>
      <c r="T1508" s="23" t="s">
        <v>12031</v>
      </c>
      <c r="U1508" s="23" t="s">
        <v>12031</v>
      </c>
      <c r="V1508" s="23" t="s">
        <v>298</v>
      </c>
      <c r="W1508" s="23" t="s">
        <v>6457</v>
      </c>
      <c r="Y1508" s="23">
        <v>23100</v>
      </c>
      <c r="Z1508" s="23">
        <v>68</v>
      </c>
      <c r="AB1508" s="23" t="s">
        <v>7804</v>
      </c>
      <c r="AC1508" s="23" t="s">
        <v>7805</v>
      </c>
      <c r="AD1508" s="23">
        <v>0</v>
      </c>
      <c r="AE1508" s="23">
        <v>2</v>
      </c>
      <c r="AF1508" s="23" t="s">
        <v>7428</v>
      </c>
      <c r="AG1508" s="23" t="s">
        <v>666</v>
      </c>
      <c r="AH1508" s="39">
        <v>44715</v>
      </c>
      <c r="AJ1508" s="64" t="s">
        <v>7940</v>
      </c>
      <c r="AK1508" s="53">
        <v>44716</v>
      </c>
    </row>
    <row r="1509" spans="1:37">
      <c r="A1509" s="75" t="s">
        <v>7806</v>
      </c>
      <c r="B1509" s="23" t="s">
        <v>7807</v>
      </c>
      <c r="C1509" s="140">
        <v>44710</v>
      </c>
      <c r="F1509" s="23" t="s">
        <v>5765</v>
      </c>
      <c r="G1509" s="23" t="s">
        <v>1724</v>
      </c>
      <c r="P1509" s="23" t="s">
        <v>7808</v>
      </c>
      <c r="Q1509" s="140" t="s">
        <v>7772</v>
      </c>
      <c r="W1509" s="23" t="s">
        <v>6359</v>
      </c>
      <c r="Y1509" s="38">
        <v>22130</v>
      </c>
      <c r="Z1509" s="23">
        <v>68</v>
      </c>
      <c r="AB1509" s="23" t="s">
        <v>7809</v>
      </c>
      <c r="AC1509" s="23" t="s">
        <v>7810</v>
      </c>
      <c r="AF1509" s="23" t="s">
        <v>6434</v>
      </c>
      <c r="AG1509" s="23" t="s">
        <v>7544</v>
      </c>
      <c r="AH1509" s="39">
        <v>44715</v>
      </c>
    </row>
    <row r="1510" spans="1:37">
      <c r="A1510" s="75" t="s">
        <v>7866</v>
      </c>
      <c r="B1510" s="23" t="s">
        <v>7867</v>
      </c>
      <c r="C1510" s="140">
        <v>44710</v>
      </c>
      <c r="D1510" s="23" t="s">
        <v>729</v>
      </c>
      <c r="E1510" s="23" t="s">
        <v>752</v>
      </c>
      <c r="F1510" s="23" t="s">
        <v>4899</v>
      </c>
      <c r="G1510" s="23" t="s">
        <v>1724</v>
      </c>
      <c r="P1510" s="23" t="s">
        <v>7808</v>
      </c>
      <c r="Q1510" s="140" t="s">
        <v>7772</v>
      </c>
      <c r="T1510" s="23" t="s">
        <v>12031</v>
      </c>
      <c r="U1510" s="23" t="s">
        <v>12031</v>
      </c>
      <c r="V1510" s="23" t="s">
        <v>298</v>
      </c>
      <c r="W1510" s="23" t="s">
        <v>6866</v>
      </c>
      <c r="Y1510" s="38">
        <v>16000</v>
      </c>
      <c r="Z1510" s="23">
        <v>68</v>
      </c>
      <c r="AB1510" s="23" t="s">
        <v>7868</v>
      </c>
      <c r="AC1510" s="23" t="s">
        <v>7791</v>
      </c>
      <c r="AD1510" s="23">
        <v>0</v>
      </c>
      <c r="AE1510" s="23">
        <v>4</v>
      </c>
      <c r="AF1510" s="23" t="s">
        <v>6434</v>
      </c>
      <c r="AG1510" s="23" t="s">
        <v>666</v>
      </c>
      <c r="AH1510" s="39">
        <v>44715</v>
      </c>
      <c r="AJ1510" s="64" t="s">
        <v>7941</v>
      </c>
      <c r="AK1510" s="53">
        <v>44716</v>
      </c>
    </row>
    <row r="1511" spans="1:37">
      <c r="A1511" s="75" t="s">
        <v>7869</v>
      </c>
      <c r="B1511" s="23" t="s">
        <v>7870</v>
      </c>
      <c r="C1511" s="140">
        <v>44697</v>
      </c>
      <c r="F1511" s="23" t="s">
        <v>4899</v>
      </c>
      <c r="G1511" s="23" t="s">
        <v>1724</v>
      </c>
      <c r="W1511" s="23" t="s">
        <v>6866</v>
      </c>
      <c r="Y1511" s="38">
        <v>14500</v>
      </c>
      <c r="Z1511" s="23">
        <v>68</v>
      </c>
      <c r="AB1511" s="23" t="s">
        <v>7871</v>
      </c>
      <c r="AC1511" s="23" t="s">
        <v>7009</v>
      </c>
      <c r="AF1511" s="23" t="s">
        <v>6434</v>
      </c>
      <c r="AG1511" s="23" t="s">
        <v>1585</v>
      </c>
      <c r="AH1511" s="39">
        <v>44715</v>
      </c>
    </row>
    <row r="1512" spans="1:37">
      <c r="A1512" s="75" t="s">
        <v>7872</v>
      </c>
      <c r="B1512" s="23" t="s">
        <v>7873</v>
      </c>
      <c r="C1512" s="140">
        <v>44681</v>
      </c>
      <c r="F1512" s="23" t="s">
        <v>7082</v>
      </c>
      <c r="G1512" s="23" t="s">
        <v>1724</v>
      </c>
      <c r="W1512" s="23" t="s">
        <v>7080</v>
      </c>
      <c r="Y1512" s="38">
        <v>15000</v>
      </c>
      <c r="Z1512" s="23">
        <v>68</v>
      </c>
      <c r="AB1512" s="23" t="s">
        <v>7874</v>
      </c>
      <c r="AC1512" s="23" t="s">
        <v>7206</v>
      </c>
      <c r="AF1512" s="23" t="s">
        <v>6434</v>
      </c>
      <c r="AG1512" s="23" t="s">
        <v>666</v>
      </c>
      <c r="AH1512" s="39">
        <v>44715</v>
      </c>
    </row>
    <row r="1513" spans="1:37">
      <c r="A1513" s="75" t="s">
        <v>7875</v>
      </c>
      <c r="B1513" s="23" t="s">
        <v>7876</v>
      </c>
      <c r="C1513" s="140">
        <v>44692</v>
      </c>
      <c r="F1513" s="23" t="s">
        <v>7082</v>
      </c>
      <c r="G1513" s="23" t="s">
        <v>1724</v>
      </c>
      <c r="W1513" s="23" t="s">
        <v>7080</v>
      </c>
      <c r="Y1513" s="38">
        <v>15000</v>
      </c>
      <c r="Z1513" s="23">
        <v>68</v>
      </c>
      <c r="AB1513" s="23" t="s">
        <v>7877</v>
      </c>
      <c r="AC1513" s="23" t="s">
        <v>7206</v>
      </c>
      <c r="AF1513" s="23" t="s">
        <v>6434</v>
      </c>
      <c r="AG1513" s="23" t="s">
        <v>666</v>
      </c>
      <c r="AH1513" s="39">
        <v>44715</v>
      </c>
    </row>
    <row r="1514" spans="1:37">
      <c r="A1514" s="75" t="s">
        <v>7880</v>
      </c>
      <c r="B1514" s="23" t="s">
        <v>7881</v>
      </c>
      <c r="C1514" s="140">
        <v>44705</v>
      </c>
      <c r="D1514" s="23" t="s">
        <v>729</v>
      </c>
      <c r="E1514" s="23" t="s">
        <v>752</v>
      </c>
      <c r="F1514" s="23" t="s">
        <v>4899</v>
      </c>
      <c r="G1514" s="23" t="s">
        <v>1724</v>
      </c>
      <c r="P1514" s="23" t="s">
        <v>7882</v>
      </c>
      <c r="Q1514" s="140" t="s">
        <v>7883</v>
      </c>
      <c r="T1514" s="23" t="s">
        <v>12031</v>
      </c>
      <c r="U1514" s="23" t="s">
        <v>12031</v>
      </c>
      <c r="V1514" s="23" t="s">
        <v>298</v>
      </c>
      <c r="W1514" s="23" t="s">
        <v>7158</v>
      </c>
      <c r="Y1514" s="23">
        <v>15401</v>
      </c>
      <c r="Z1514" s="23">
        <v>45.5</v>
      </c>
      <c r="AB1514" s="23" t="s">
        <v>7884</v>
      </c>
      <c r="AC1514" s="23" t="s">
        <v>7885</v>
      </c>
      <c r="AD1514" s="23">
        <v>0</v>
      </c>
      <c r="AE1514" s="23">
        <v>4</v>
      </c>
      <c r="AF1514" s="23" t="s">
        <v>5478</v>
      </c>
      <c r="AG1514" s="23" t="s">
        <v>7161</v>
      </c>
      <c r="AH1514" s="39">
        <v>44715</v>
      </c>
      <c r="AJ1514" s="64" t="s">
        <v>7942</v>
      </c>
      <c r="AK1514" s="53">
        <v>44716</v>
      </c>
    </row>
    <row r="1515" spans="1:37">
      <c r="A1515" s="75" t="s">
        <v>7886</v>
      </c>
      <c r="B1515" s="23" t="s">
        <v>7887</v>
      </c>
      <c r="C1515" s="140">
        <v>44711</v>
      </c>
      <c r="F1515" s="23" t="s">
        <v>4899</v>
      </c>
      <c r="G1515" s="23" t="s">
        <v>1724</v>
      </c>
      <c r="P1515" s="23" t="s">
        <v>7888</v>
      </c>
      <c r="Q1515" s="140" t="s">
        <v>7889</v>
      </c>
      <c r="W1515" s="23" t="s">
        <v>6457</v>
      </c>
      <c r="Y1515" s="23">
        <v>13720</v>
      </c>
      <c r="Z1515" s="23">
        <v>68</v>
      </c>
      <c r="AB1515" s="23" t="s">
        <v>7890</v>
      </c>
      <c r="AC1515" s="23" t="s">
        <v>7891</v>
      </c>
      <c r="AF1515" s="23" t="s">
        <v>5478</v>
      </c>
      <c r="AG1515" s="23" t="s">
        <v>637</v>
      </c>
      <c r="AH1515" s="39">
        <v>44715</v>
      </c>
    </row>
    <row r="1516" spans="1:37">
      <c r="A1516" s="75" t="s">
        <v>7892</v>
      </c>
      <c r="B1516" s="23" t="s">
        <v>7893</v>
      </c>
      <c r="C1516" s="140">
        <v>44711</v>
      </c>
      <c r="F1516" s="23" t="s">
        <v>4899</v>
      </c>
      <c r="G1516" s="23" t="s">
        <v>1724</v>
      </c>
      <c r="W1516" s="23" t="s">
        <v>6457</v>
      </c>
      <c r="Y1516" s="23">
        <v>22000</v>
      </c>
      <c r="Z1516" s="23">
        <v>68</v>
      </c>
      <c r="AB1516" s="23" t="s">
        <v>7894</v>
      </c>
      <c r="AC1516" s="23" t="s">
        <v>7895</v>
      </c>
      <c r="AF1516" s="23" t="s">
        <v>5478</v>
      </c>
      <c r="AG1516" s="23" t="s">
        <v>637</v>
      </c>
      <c r="AH1516" s="39">
        <v>44715</v>
      </c>
    </row>
    <row r="1517" spans="1:37">
      <c r="A1517" s="75" t="s">
        <v>7896</v>
      </c>
      <c r="B1517" s="23" t="s">
        <v>7897</v>
      </c>
      <c r="C1517" s="140">
        <v>44715</v>
      </c>
      <c r="F1517" s="23" t="s">
        <v>5765</v>
      </c>
      <c r="G1517" s="23" t="s">
        <v>1724</v>
      </c>
      <c r="W1517" s="23" t="s">
        <v>6359</v>
      </c>
      <c r="Y1517" s="23">
        <v>17754</v>
      </c>
      <c r="Z1517" s="23">
        <v>68</v>
      </c>
      <c r="AB1517" s="23" t="s">
        <v>7898</v>
      </c>
      <c r="AC1517" s="23" t="s">
        <v>7899</v>
      </c>
      <c r="AF1517" s="23" t="s">
        <v>5478</v>
      </c>
      <c r="AG1517" s="23" t="s">
        <v>637</v>
      </c>
      <c r="AH1517" s="39">
        <v>44715</v>
      </c>
    </row>
    <row r="1518" spans="1:37">
      <c r="A1518" s="75" t="s">
        <v>7900</v>
      </c>
      <c r="B1518" s="23" t="s">
        <v>7901</v>
      </c>
      <c r="C1518" s="140">
        <v>44684</v>
      </c>
      <c r="D1518" s="23" t="s">
        <v>729</v>
      </c>
      <c r="E1518" s="23" t="s">
        <v>752</v>
      </c>
      <c r="F1518" s="23" t="s">
        <v>2200</v>
      </c>
      <c r="G1518" s="23" t="s">
        <v>301</v>
      </c>
      <c r="H1518" s="23">
        <v>55009619</v>
      </c>
      <c r="I1518" s="23">
        <v>55009619</v>
      </c>
      <c r="J1518" s="140">
        <v>44680</v>
      </c>
      <c r="K1518" s="23" t="s">
        <v>7902</v>
      </c>
      <c r="L1518" s="140">
        <v>44687</v>
      </c>
      <c r="P1518" s="23" t="s">
        <v>7908</v>
      </c>
      <c r="Q1518" s="140" t="s">
        <v>7772</v>
      </c>
      <c r="T1518" s="23" t="s">
        <v>305</v>
      </c>
      <c r="U1518" s="23" t="s">
        <v>305</v>
      </c>
      <c r="V1518" s="23" t="s">
        <v>298</v>
      </c>
      <c r="W1518" s="23" t="s">
        <v>3141</v>
      </c>
      <c r="Y1518" s="38">
        <v>7320</v>
      </c>
      <c r="Z1518" s="23">
        <v>63.9</v>
      </c>
      <c r="AB1518" s="59" t="s">
        <v>7903</v>
      </c>
      <c r="AC1518" s="23" t="s">
        <v>3516</v>
      </c>
      <c r="AD1518" s="23">
        <v>0</v>
      </c>
      <c r="AE1518" s="23">
        <v>1</v>
      </c>
      <c r="AF1518" s="23" t="s">
        <v>5478</v>
      </c>
      <c r="AG1518" s="23" t="s">
        <v>5602</v>
      </c>
      <c r="AH1518" s="39">
        <v>44718</v>
      </c>
      <c r="AJ1518" s="75" t="s">
        <v>8072</v>
      </c>
      <c r="AK1518" s="53">
        <v>44723</v>
      </c>
    </row>
    <row r="1519" spans="1:37">
      <c r="A1519" s="75" t="s">
        <v>7904</v>
      </c>
      <c r="B1519" s="23" t="s">
        <v>7905</v>
      </c>
      <c r="C1519" s="140">
        <v>44684</v>
      </c>
      <c r="D1519" s="23" t="s">
        <v>729</v>
      </c>
      <c r="E1519" s="23" t="s">
        <v>752</v>
      </c>
      <c r="F1519" s="23" t="s">
        <v>2200</v>
      </c>
      <c r="G1519" s="23" t="s">
        <v>301</v>
      </c>
      <c r="H1519" s="23">
        <v>55009610</v>
      </c>
      <c r="I1519" s="23">
        <v>55009610</v>
      </c>
      <c r="J1519" s="140">
        <v>44679</v>
      </c>
      <c r="K1519" s="23" t="s">
        <v>7906</v>
      </c>
      <c r="L1519" s="140">
        <v>44687</v>
      </c>
      <c r="P1519" s="23" t="s">
        <v>7908</v>
      </c>
      <c r="Q1519" s="140" t="s">
        <v>7772</v>
      </c>
      <c r="T1519" s="23" t="s">
        <v>305</v>
      </c>
      <c r="U1519" s="23" t="s">
        <v>305</v>
      </c>
      <c r="V1519" s="23" t="s">
        <v>298</v>
      </c>
      <c r="W1519" s="23" t="s">
        <v>3141</v>
      </c>
      <c r="Y1519" s="38">
        <v>7320</v>
      </c>
      <c r="Z1519" s="23">
        <v>63.9</v>
      </c>
      <c r="AB1519" s="59" t="s">
        <v>7907</v>
      </c>
      <c r="AC1519" s="23" t="s">
        <v>3516</v>
      </c>
      <c r="AD1519" s="23">
        <v>0</v>
      </c>
      <c r="AE1519" s="23">
        <v>1</v>
      </c>
      <c r="AF1519" s="23" t="s">
        <v>5478</v>
      </c>
      <c r="AG1519" s="23" t="s">
        <v>5602</v>
      </c>
      <c r="AH1519" s="39">
        <v>44718</v>
      </c>
      <c r="AJ1519" s="75" t="s">
        <v>8071</v>
      </c>
      <c r="AK1519" s="53">
        <v>44723</v>
      </c>
    </row>
    <row r="1520" spans="1:37">
      <c r="A1520" s="75" t="s">
        <v>7909</v>
      </c>
      <c r="B1520" s="23" t="s">
        <v>7915</v>
      </c>
      <c r="C1520" s="140">
        <v>44711</v>
      </c>
      <c r="D1520" s="23" t="s">
        <v>729</v>
      </c>
      <c r="E1520" s="23" t="s">
        <v>752</v>
      </c>
      <c r="F1520" s="23" t="s">
        <v>4899</v>
      </c>
      <c r="G1520" s="23" t="s">
        <v>1724</v>
      </c>
      <c r="P1520" s="23" t="s">
        <v>7888</v>
      </c>
      <c r="Q1520" s="140" t="s">
        <v>7889</v>
      </c>
      <c r="T1520" s="23" t="s">
        <v>12031</v>
      </c>
      <c r="U1520" s="23" t="s">
        <v>12031</v>
      </c>
      <c r="V1520" s="23" t="s">
        <v>298</v>
      </c>
      <c r="W1520" s="23" t="s">
        <v>7788</v>
      </c>
      <c r="Y1520" s="23">
        <v>14500</v>
      </c>
      <c r="Z1520" s="23">
        <v>68</v>
      </c>
      <c r="AB1520" s="23" t="s">
        <v>7921</v>
      </c>
      <c r="AC1520" s="23" t="s">
        <v>7264</v>
      </c>
      <c r="AD1520" s="23">
        <v>0</v>
      </c>
      <c r="AE1520" s="23">
        <v>4</v>
      </c>
      <c r="AF1520" s="23" t="s">
        <v>5478</v>
      </c>
      <c r="AG1520" s="23" t="s">
        <v>665</v>
      </c>
      <c r="AH1520" s="39">
        <v>44719</v>
      </c>
      <c r="AJ1520" s="75" t="s">
        <v>7943</v>
      </c>
      <c r="AK1520" s="130">
        <v>44720</v>
      </c>
    </row>
    <row r="1521" spans="1:37">
      <c r="A1521" s="75" t="s">
        <v>7910</v>
      </c>
      <c r="B1521" s="23" t="s">
        <v>7922</v>
      </c>
      <c r="C1521" s="140">
        <v>44715</v>
      </c>
      <c r="F1521" s="23" t="s">
        <v>4899</v>
      </c>
      <c r="G1521" s="23" t="s">
        <v>1724</v>
      </c>
      <c r="W1521" s="23" t="s">
        <v>6866</v>
      </c>
      <c r="Y1521" s="23">
        <v>17000</v>
      </c>
      <c r="Z1521" s="23">
        <v>68</v>
      </c>
      <c r="AB1521" s="23" t="s">
        <v>7923</v>
      </c>
      <c r="AC1521" s="23" t="s">
        <v>7264</v>
      </c>
      <c r="AF1521" s="23" t="s">
        <v>5478</v>
      </c>
      <c r="AG1521" s="23" t="s">
        <v>666</v>
      </c>
      <c r="AH1521" s="39">
        <v>44719</v>
      </c>
    </row>
    <row r="1522" spans="1:37">
      <c r="A1522" s="75" t="s">
        <v>7911</v>
      </c>
      <c r="B1522" s="23" t="s">
        <v>7926</v>
      </c>
      <c r="C1522" s="140">
        <v>44711</v>
      </c>
      <c r="F1522" s="23" t="s">
        <v>7082</v>
      </c>
      <c r="G1522" s="23" t="s">
        <v>1724</v>
      </c>
      <c r="W1522" s="23" t="s">
        <v>7080</v>
      </c>
      <c r="Y1522" s="23">
        <v>15000</v>
      </c>
      <c r="Z1522" s="23">
        <v>68</v>
      </c>
      <c r="AB1522" s="23" t="s">
        <v>7928</v>
      </c>
      <c r="AC1522" s="23" t="s">
        <v>7253</v>
      </c>
      <c r="AF1522" s="23" t="s">
        <v>5478</v>
      </c>
      <c r="AG1522" s="23" t="s">
        <v>7927</v>
      </c>
      <c r="AH1522" s="39">
        <v>44719</v>
      </c>
    </row>
    <row r="1523" spans="1:37">
      <c r="A1523" s="75" t="s">
        <v>7912</v>
      </c>
      <c r="B1523" s="23" t="s">
        <v>7924</v>
      </c>
      <c r="C1523" s="140">
        <v>44710</v>
      </c>
      <c r="F1523" s="23" t="s">
        <v>4899</v>
      </c>
      <c r="G1523" s="23" t="s">
        <v>1724</v>
      </c>
      <c r="P1523" s="23" t="s">
        <v>7808</v>
      </c>
      <c r="Q1523" s="140" t="s">
        <v>7772</v>
      </c>
      <c r="W1523" s="23" t="s">
        <v>6769</v>
      </c>
      <c r="Y1523" s="38">
        <v>18500</v>
      </c>
      <c r="Z1523" s="23">
        <v>69</v>
      </c>
      <c r="AB1523" s="23" t="s">
        <v>7929</v>
      </c>
      <c r="AC1523" s="23" t="s">
        <v>7448</v>
      </c>
      <c r="AF1523" s="23" t="s">
        <v>7925</v>
      </c>
      <c r="AG1523" s="23" t="s">
        <v>666</v>
      </c>
      <c r="AH1523" s="39">
        <v>44719</v>
      </c>
    </row>
    <row r="1524" spans="1:37">
      <c r="A1524" s="75" t="s">
        <v>7913</v>
      </c>
      <c r="B1524" s="23" t="s">
        <v>7917</v>
      </c>
      <c r="C1524" s="140">
        <v>44717</v>
      </c>
      <c r="D1524" s="23" t="s">
        <v>729</v>
      </c>
      <c r="E1524" s="23" t="s">
        <v>2919</v>
      </c>
      <c r="F1524" s="23" t="s">
        <v>4899</v>
      </c>
      <c r="G1524" s="23" t="s">
        <v>1724</v>
      </c>
      <c r="Q1524" s="140" t="s">
        <v>7889</v>
      </c>
      <c r="T1524" s="23" t="s">
        <v>3715</v>
      </c>
      <c r="U1524" s="23" t="s">
        <v>3715</v>
      </c>
      <c r="V1524" s="23" t="s">
        <v>298</v>
      </c>
      <c r="W1524" s="23" t="s">
        <v>6707</v>
      </c>
      <c r="Y1524" s="37">
        <v>12160</v>
      </c>
      <c r="Z1524" s="23">
        <v>66.599999999999994</v>
      </c>
      <c r="AB1524" s="23" t="s">
        <v>7918</v>
      </c>
      <c r="AC1524" s="23" t="s">
        <v>7920</v>
      </c>
      <c r="AD1524" s="23">
        <v>0</v>
      </c>
      <c r="AE1524" s="23">
        <v>2</v>
      </c>
      <c r="AF1524" s="23" t="s">
        <v>3260</v>
      </c>
      <c r="AG1524" s="23" t="s">
        <v>637</v>
      </c>
      <c r="AH1524" s="39">
        <v>44719</v>
      </c>
      <c r="AJ1524" s="75" t="s">
        <v>7944</v>
      </c>
      <c r="AK1524" s="53">
        <v>44720</v>
      </c>
    </row>
    <row r="1525" spans="1:37">
      <c r="A1525" s="75" t="s">
        <v>7914</v>
      </c>
      <c r="B1525" s="23" t="s">
        <v>7916</v>
      </c>
      <c r="C1525" s="140">
        <v>44707</v>
      </c>
      <c r="F1525" s="23" t="s">
        <v>4899</v>
      </c>
      <c r="G1525" s="23" t="s">
        <v>1724</v>
      </c>
      <c r="W1525" s="23" t="s">
        <v>2280</v>
      </c>
      <c r="Y1525" s="37">
        <v>8040</v>
      </c>
      <c r="Z1525" s="23">
        <v>68</v>
      </c>
      <c r="AB1525" s="23" t="s">
        <v>7919</v>
      </c>
      <c r="AC1525" s="23" t="s">
        <v>573</v>
      </c>
      <c r="AF1525" s="23" t="s">
        <v>3864</v>
      </c>
      <c r="AG1525" s="23" t="s">
        <v>637</v>
      </c>
      <c r="AH1525" s="39">
        <v>44719</v>
      </c>
    </row>
    <row r="1526" spans="1:37" ht="176">
      <c r="A1526" s="75" t="s">
        <v>7930</v>
      </c>
      <c r="B1526" s="23" t="s">
        <v>7931</v>
      </c>
      <c r="C1526" s="140">
        <v>44684</v>
      </c>
      <c r="D1526" s="23" t="s">
        <v>729</v>
      </c>
      <c r="E1526" s="23" t="s">
        <v>752</v>
      </c>
      <c r="F1526" s="23" t="s">
        <v>4899</v>
      </c>
      <c r="G1526" s="23" t="s">
        <v>1724</v>
      </c>
      <c r="P1526" s="23" t="s">
        <v>7932</v>
      </c>
      <c r="Q1526" s="140" t="s">
        <v>7883</v>
      </c>
      <c r="T1526" s="23" t="s">
        <v>12031</v>
      </c>
      <c r="U1526" s="23" t="s">
        <v>12031</v>
      </c>
      <c r="V1526" s="23" t="s">
        <v>298</v>
      </c>
      <c r="W1526" s="29" t="s">
        <v>7935</v>
      </c>
      <c r="Y1526" s="37">
        <v>24500</v>
      </c>
      <c r="Z1526" s="23" t="s">
        <v>5869</v>
      </c>
      <c r="AB1526" s="19" t="s">
        <v>7933</v>
      </c>
      <c r="AC1526" s="23" t="s">
        <v>4961</v>
      </c>
      <c r="AD1526" s="23">
        <v>0</v>
      </c>
      <c r="AE1526" s="23">
        <v>4</v>
      </c>
      <c r="AF1526" s="19" t="s">
        <v>6618</v>
      </c>
      <c r="AG1526" s="23" t="s">
        <v>7934</v>
      </c>
      <c r="AH1526" s="39">
        <v>44719</v>
      </c>
      <c r="AJ1526" s="75" t="s">
        <v>7945</v>
      </c>
      <c r="AK1526" s="53">
        <v>44720</v>
      </c>
    </row>
    <row r="1527" spans="1:37" ht="32">
      <c r="A1527" s="75" t="s">
        <v>7939</v>
      </c>
      <c r="B1527" s="23" t="s">
        <v>7960</v>
      </c>
      <c r="C1527" s="140">
        <v>44717</v>
      </c>
      <c r="D1527" s="23" t="s">
        <v>729</v>
      </c>
      <c r="E1527" s="23" t="s">
        <v>752</v>
      </c>
      <c r="F1527" s="23" t="s">
        <v>7082</v>
      </c>
      <c r="G1527" s="23" t="s">
        <v>1724</v>
      </c>
      <c r="P1527" s="23" t="s">
        <v>7961</v>
      </c>
      <c r="Q1527" s="140" t="s">
        <v>7962</v>
      </c>
      <c r="T1527" s="23" t="s">
        <v>12031</v>
      </c>
      <c r="U1527" s="23" t="s">
        <v>12031</v>
      </c>
      <c r="V1527" s="23" t="s">
        <v>298</v>
      </c>
      <c r="W1527" s="23" t="s">
        <v>6732</v>
      </c>
      <c r="Y1527" s="38">
        <v>22410</v>
      </c>
      <c r="Z1527" s="23">
        <v>60</v>
      </c>
      <c r="AB1527" s="19" t="s">
        <v>7963</v>
      </c>
      <c r="AC1527" s="23" t="s">
        <v>7964</v>
      </c>
      <c r="AD1527" s="23">
        <v>0</v>
      </c>
      <c r="AE1527" s="23">
        <v>3</v>
      </c>
      <c r="AF1527" s="19" t="s">
        <v>6434</v>
      </c>
      <c r="AG1527" s="23" t="s">
        <v>637</v>
      </c>
      <c r="AH1527" s="39">
        <v>44721</v>
      </c>
      <c r="AJ1527" s="75" t="s">
        <v>8063</v>
      </c>
      <c r="AK1527" s="53">
        <v>44722</v>
      </c>
    </row>
    <row r="1528" spans="1:37" ht="16">
      <c r="A1528" s="75" t="s">
        <v>7946</v>
      </c>
      <c r="B1528" s="23" t="s">
        <v>7965</v>
      </c>
      <c r="C1528" s="140">
        <v>44717</v>
      </c>
      <c r="F1528" s="23" t="s">
        <v>7082</v>
      </c>
      <c r="G1528" s="23" t="s">
        <v>1724</v>
      </c>
      <c r="W1528" s="23" t="s">
        <v>6732</v>
      </c>
      <c r="Y1528" s="38">
        <v>22432</v>
      </c>
      <c r="Z1528" s="23">
        <v>68</v>
      </c>
      <c r="AB1528" s="23" t="s">
        <v>7966</v>
      </c>
      <c r="AC1528" s="23" t="s">
        <v>7967</v>
      </c>
      <c r="AF1528" s="19" t="s">
        <v>6434</v>
      </c>
      <c r="AG1528" s="23" t="s">
        <v>7307</v>
      </c>
      <c r="AH1528" s="39">
        <v>44721</v>
      </c>
    </row>
    <row r="1529" spans="1:37">
      <c r="A1529" s="75" t="s">
        <v>7947</v>
      </c>
      <c r="B1529" s="23" t="s">
        <v>7968</v>
      </c>
      <c r="C1529" s="140">
        <v>44711</v>
      </c>
      <c r="F1529" s="23" t="s">
        <v>4899</v>
      </c>
      <c r="G1529" s="23" t="s">
        <v>1724</v>
      </c>
      <c r="P1529" s="23" t="s">
        <v>7888</v>
      </c>
      <c r="Q1529" s="140" t="s">
        <v>7889</v>
      </c>
      <c r="W1529" s="23" t="s">
        <v>6431</v>
      </c>
      <c r="Y1529" s="23">
        <v>23800</v>
      </c>
      <c r="Z1529" s="23">
        <v>68</v>
      </c>
      <c r="AB1529" s="23" t="s">
        <v>7969</v>
      </c>
      <c r="AC1529" s="23" t="s">
        <v>7970</v>
      </c>
      <c r="AF1529" s="23" t="s">
        <v>5478</v>
      </c>
      <c r="AG1529" s="23" t="s">
        <v>665</v>
      </c>
      <c r="AH1529" s="39">
        <v>44721</v>
      </c>
    </row>
    <row r="1530" spans="1:37">
      <c r="A1530" s="75" t="s">
        <v>7948</v>
      </c>
      <c r="B1530" s="23" t="s">
        <v>7971</v>
      </c>
      <c r="C1530" s="140">
        <v>44707</v>
      </c>
      <c r="D1530" s="23" t="s">
        <v>729</v>
      </c>
      <c r="E1530" s="23" t="s">
        <v>752</v>
      </c>
      <c r="F1530" s="23" t="s">
        <v>4899</v>
      </c>
      <c r="G1530" s="23" t="s">
        <v>1724</v>
      </c>
      <c r="P1530" s="23" t="s">
        <v>7972</v>
      </c>
      <c r="Q1530" s="140" t="s">
        <v>7962</v>
      </c>
      <c r="T1530" s="23" t="s">
        <v>12031</v>
      </c>
      <c r="U1530" s="23" t="s">
        <v>12031</v>
      </c>
      <c r="V1530" s="23" t="s">
        <v>298</v>
      </c>
      <c r="W1530" s="23" t="s">
        <v>498</v>
      </c>
      <c r="Y1530" s="23">
        <v>11820</v>
      </c>
      <c r="Z1530" s="23">
        <v>68</v>
      </c>
      <c r="AB1530" s="23" t="s">
        <v>7973</v>
      </c>
      <c r="AC1530" s="23" t="s">
        <v>7974</v>
      </c>
      <c r="AD1530" s="23">
        <v>0</v>
      </c>
      <c r="AE1530" s="23">
        <v>4</v>
      </c>
      <c r="AF1530" s="23" t="s">
        <v>5478</v>
      </c>
      <c r="AG1530" s="23" t="s">
        <v>666</v>
      </c>
      <c r="AH1530" s="39">
        <v>44721</v>
      </c>
      <c r="AJ1530" s="75" t="s">
        <v>8064</v>
      </c>
      <c r="AK1530" s="53">
        <v>44722</v>
      </c>
    </row>
    <row r="1531" spans="1:37">
      <c r="A1531" s="75" t="s">
        <v>7949</v>
      </c>
      <c r="B1531" s="23" t="s">
        <v>7975</v>
      </c>
      <c r="C1531" s="140">
        <v>44709</v>
      </c>
      <c r="F1531" s="23" t="s">
        <v>4899</v>
      </c>
      <c r="G1531" s="23" t="s">
        <v>1724</v>
      </c>
      <c r="W1531" s="23" t="s">
        <v>6457</v>
      </c>
      <c r="Y1531" s="23">
        <v>22800</v>
      </c>
      <c r="Z1531" s="23">
        <v>68</v>
      </c>
      <c r="AB1531" s="23" t="s">
        <v>7976</v>
      </c>
      <c r="AC1531" s="23" t="s">
        <v>7980</v>
      </c>
      <c r="AF1531" s="23" t="s">
        <v>5478</v>
      </c>
      <c r="AG1531" s="23" t="s">
        <v>1196</v>
      </c>
      <c r="AH1531" s="39">
        <v>44721</v>
      </c>
    </row>
    <row r="1532" spans="1:37">
      <c r="A1532" s="75" t="s">
        <v>7950</v>
      </c>
      <c r="B1532" s="23" t="s">
        <v>7977</v>
      </c>
      <c r="C1532" s="140">
        <v>44707</v>
      </c>
      <c r="F1532" s="23" t="s">
        <v>4899</v>
      </c>
      <c r="G1532" s="23" t="s">
        <v>1724</v>
      </c>
      <c r="W1532" s="23" t="s">
        <v>6457</v>
      </c>
      <c r="Y1532" s="23">
        <v>23100</v>
      </c>
      <c r="Z1532" s="23">
        <v>68</v>
      </c>
      <c r="AB1532" s="23" t="s">
        <v>7978</v>
      </c>
      <c r="AC1532" s="23" t="s">
        <v>7979</v>
      </c>
      <c r="AF1532" s="23" t="s">
        <v>5478</v>
      </c>
      <c r="AG1532" s="23" t="s">
        <v>666</v>
      </c>
      <c r="AH1532" s="39">
        <v>44721</v>
      </c>
    </row>
    <row r="1533" spans="1:37">
      <c r="A1533" s="75" t="s">
        <v>7951</v>
      </c>
      <c r="B1533" s="23" t="s">
        <v>7981</v>
      </c>
      <c r="C1533" s="140">
        <v>44707</v>
      </c>
      <c r="F1533" s="23" t="s">
        <v>5765</v>
      </c>
      <c r="G1533" s="23" t="s">
        <v>1724</v>
      </c>
      <c r="W1533" s="23" t="s">
        <v>6359</v>
      </c>
      <c r="Y1533" s="23">
        <v>22790</v>
      </c>
      <c r="Z1533" s="23">
        <v>68</v>
      </c>
      <c r="AB1533" s="23" t="s">
        <v>7982</v>
      </c>
      <c r="AC1533" s="23" t="s">
        <v>7566</v>
      </c>
      <c r="AF1533" s="23" t="s">
        <v>5478</v>
      </c>
      <c r="AG1533" s="23" t="s">
        <v>666</v>
      </c>
      <c r="AH1533" s="39">
        <v>44721</v>
      </c>
    </row>
    <row r="1534" spans="1:37">
      <c r="A1534" s="75" t="s">
        <v>7952</v>
      </c>
      <c r="B1534" s="23" t="s">
        <v>7983</v>
      </c>
      <c r="C1534" s="140">
        <v>44717</v>
      </c>
      <c r="D1534" s="23" t="s">
        <v>729</v>
      </c>
      <c r="E1534" s="23" t="s">
        <v>752</v>
      </c>
      <c r="F1534" s="23" t="s">
        <v>4899</v>
      </c>
      <c r="G1534" s="23" t="s">
        <v>1724</v>
      </c>
      <c r="P1534" s="23" t="s">
        <v>7961</v>
      </c>
      <c r="Q1534" s="140" t="s">
        <v>7962</v>
      </c>
      <c r="T1534" s="23" t="s">
        <v>12031</v>
      </c>
      <c r="U1534" s="23" t="s">
        <v>12031</v>
      </c>
      <c r="V1534" s="23" t="s">
        <v>298</v>
      </c>
      <c r="W1534" s="23" t="s">
        <v>7984</v>
      </c>
      <c r="Y1534" s="23">
        <v>15000</v>
      </c>
      <c r="Z1534" s="23">
        <v>68</v>
      </c>
      <c r="AB1534" s="23" t="s">
        <v>7985</v>
      </c>
      <c r="AC1534" s="23" t="s">
        <v>7465</v>
      </c>
      <c r="AD1534" s="23">
        <v>0</v>
      </c>
      <c r="AE1534" s="23">
        <v>5</v>
      </c>
      <c r="AF1534" s="23" t="s">
        <v>6434</v>
      </c>
      <c r="AG1534" s="23" t="s">
        <v>666</v>
      </c>
      <c r="AH1534" s="39">
        <v>44721</v>
      </c>
      <c r="AJ1534" s="75" t="s">
        <v>8065</v>
      </c>
      <c r="AK1534" s="53">
        <v>44722</v>
      </c>
    </row>
    <row r="1535" spans="1:37">
      <c r="A1535" s="75" t="s">
        <v>7953</v>
      </c>
      <c r="B1535" s="23" t="s">
        <v>7992</v>
      </c>
      <c r="C1535" s="140">
        <v>44697</v>
      </c>
      <c r="F1535" s="23" t="s">
        <v>4899</v>
      </c>
      <c r="G1535" s="23" t="s">
        <v>1724</v>
      </c>
      <c r="W1535" s="23" t="s">
        <v>7446</v>
      </c>
      <c r="Y1535" s="23">
        <v>14500</v>
      </c>
      <c r="Z1535" s="23">
        <v>68</v>
      </c>
      <c r="AB1535" s="23" t="s">
        <v>8000</v>
      </c>
      <c r="AC1535" s="23" t="s">
        <v>7448</v>
      </c>
      <c r="AF1535" s="23" t="s">
        <v>6434</v>
      </c>
      <c r="AG1535" s="23" t="s">
        <v>666</v>
      </c>
      <c r="AH1535" s="39">
        <v>44721</v>
      </c>
    </row>
    <row r="1536" spans="1:37">
      <c r="A1536" s="75" t="s">
        <v>7954</v>
      </c>
      <c r="B1536" s="23" t="s">
        <v>7987</v>
      </c>
      <c r="C1536" s="140">
        <v>44697</v>
      </c>
      <c r="F1536" s="23" t="s">
        <v>4899</v>
      </c>
      <c r="G1536" s="23" t="s">
        <v>1724</v>
      </c>
      <c r="W1536" s="23" t="s">
        <v>6866</v>
      </c>
      <c r="Y1536" s="23">
        <v>15000</v>
      </c>
      <c r="Z1536" s="23">
        <v>68</v>
      </c>
      <c r="AB1536" s="23" t="s">
        <v>7988</v>
      </c>
      <c r="AC1536" s="23" t="s">
        <v>7206</v>
      </c>
      <c r="AF1536" s="23" t="s">
        <v>6434</v>
      </c>
      <c r="AG1536" s="23" t="s">
        <v>666</v>
      </c>
      <c r="AH1536" s="39">
        <v>44721</v>
      </c>
    </row>
    <row r="1537" spans="1:37" ht="64">
      <c r="A1537" s="75" t="s">
        <v>7955</v>
      </c>
      <c r="B1537" s="23" t="s">
        <v>7989</v>
      </c>
      <c r="C1537" s="140">
        <v>44708</v>
      </c>
      <c r="F1537" s="23" t="s">
        <v>4899</v>
      </c>
      <c r="G1537" s="23" t="s">
        <v>1724</v>
      </c>
      <c r="W1537" s="19" t="s">
        <v>6866</v>
      </c>
      <c r="Y1537" s="23">
        <v>34000</v>
      </c>
      <c r="Z1537" s="23">
        <v>136</v>
      </c>
      <c r="AB1537" s="19" t="s">
        <v>7990</v>
      </c>
      <c r="AC1537" s="23" t="s">
        <v>7991</v>
      </c>
      <c r="AF1537" s="19" t="s">
        <v>6439</v>
      </c>
      <c r="AG1537" s="23" t="s">
        <v>666</v>
      </c>
      <c r="AH1537" s="39">
        <v>44721</v>
      </c>
    </row>
    <row r="1538" spans="1:37">
      <c r="A1538" s="75" t="s">
        <v>7956</v>
      </c>
      <c r="B1538" s="23" t="s">
        <v>7986</v>
      </c>
      <c r="C1538" s="140">
        <v>44715</v>
      </c>
      <c r="D1538" s="23" t="s">
        <v>729</v>
      </c>
      <c r="E1538" s="23" t="s">
        <v>752</v>
      </c>
      <c r="F1538" s="23" t="s">
        <v>7082</v>
      </c>
      <c r="G1538" s="23" t="s">
        <v>1724</v>
      </c>
      <c r="P1538" s="23" t="s">
        <v>7961</v>
      </c>
      <c r="Q1538" s="140" t="s">
        <v>7962</v>
      </c>
      <c r="T1538" s="23" t="s">
        <v>12031</v>
      </c>
      <c r="U1538" s="23" t="s">
        <v>12031</v>
      </c>
      <c r="V1538" s="23" t="s">
        <v>298</v>
      </c>
      <c r="W1538" s="23" t="s">
        <v>7080</v>
      </c>
      <c r="Y1538" s="23">
        <v>15000</v>
      </c>
      <c r="Z1538" s="23">
        <v>68</v>
      </c>
      <c r="AB1538" s="23" t="s">
        <v>7999</v>
      </c>
      <c r="AC1538" s="23" t="s">
        <v>7206</v>
      </c>
      <c r="AD1538" s="23">
        <v>0</v>
      </c>
      <c r="AE1538" s="23">
        <v>4</v>
      </c>
      <c r="AF1538" s="23" t="s">
        <v>6434</v>
      </c>
      <c r="AG1538" s="23" t="s">
        <v>666</v>
      </c>
      <c r="AH1538" s="39">
        <v>44721</v>
      </c>
      <c r="AJ1538" s="75" t="s">
        <v>8066</v>
      </c>
      <c r="AK1538" s="53">
        <v>44722</v>
      </c>
    </row>
    <row r="1539" spans="1:37" ht="32">
      <c r="A1539" s="75" t="s">
        <v>7957</v>
      </c>
      <c r="B1539" s="23" t="s">
        <v>7993</v>
      </c>
      <c r="C1539" s="140">
        <v>44709</v>
      </c>
      <c r="F1539" s="23" t="s">
        <v>7082</v>
      </c>
      <c r="G1539" s="23" t="s">
        <v>1724</v>
      </c>
      <c r="W1539" s="23" t="s">
        <v>7080</v>
      </c>
      <c r="Y1539" s="38">
        <v>15000</v>
      </c>
      <c r="Z1539" s="23">
        <v>68</v>
      </c>
      <c r="AB1539" s="19" t="s">
        <v>8002</v>
      </c>
      <c r="AC1539" s="23" t="s">
        <v>7206</v>
      </c>
      <c r="AF1539" s="23" t="s">
        <v>6434</v>
      </c>
      <c r="AG1539" s="23" t="s">
        <v>6573</v>
      </c>
      <c r="AH1539" s="39">
        <v>44721</v>
      </c>
    </row>
    <row r="1540" spans="1:37" ht="64">
      <c r="A1540" s="75" t="s">
        <v>7958</v>
      </c>
      <c r="B1540" s="23" t="s">
        <v>7994</v>
      </c>
      <c r="C1540" s="140">
        <v>44717</v>
      </c>
      <c r="F1540" s="23" t="s">
        <v>4899</v>
      </c>
      <c r="G1540" s="23" t="s">
        <v>1724</v>
      </c>
      <c r="W1540" s="23" t="s">
        <v>2280</v>
      </c>
      <c r="Y1540" s="23">
        <v>16100</v>
      </c>
      <c r="Z1540" s="23">
        <v>136</v>
      </c>
      <c r="AB1540" s="19" t="s">
        <v>8001</v>
      </c>
      <c r="AC1540" s="23" t="s">
        <v>7995</v>
      </c>
      <c r="AF1540" s="19" t="s">
        <v>6439</v>
      </c>
      <c r="AG1540" s="23" t="s">
        <v>1585</v>
      </c>
      <c r="AH1540" s="39">
        <v>44721</v>
      </c>
    </row>
    <row r="1541" spans="1:37" ht="32">
      <c r="A1541" s="75" t="s">
        <v>7959</v>
      </c>
      <c r="B1541" s="23" t="s">
        <v>7996</v>
      </c>
      <c r="C1541" s="140">
        <v>44713</v>
      </c>
      <c r="D1541" s="23" t="s">
        <v>729</v>
      </c>
      <c r="E1541" s="23" t="s">
        <v>2919</v>
      </c>
      <c r="F1541" s="23" t="s">
        <v>4899</v>
      </c>
      <c r="G1541" s="23" t="s">
        <v>1724</v>
      </c>
      <c r="Q1541" s="140" t="s">
        <v>7962</v>
      </c>
      <c r="T1541" s="23" t="s">
        <v>3715</v>
      </c>
      <c r="U1541" s="23" t="s">
        <v>3715</v>
      </c>
      <c r="V1541" s="23" t="s">
        <v>298</v>
      </c>
      <c r="W1541" s="23" t="s">
        <v>2280</v>
      </c>
      <c r="Y1541" s="23">
        <v>16092</v>
      </c>
      <c r="Z1541" s="23">
        <v>136</v>
      </c>
      <c r="AB1541" s="19" t="s">
        <v>7997</v>
      </c>
      <c r="AC1541" s="23" t="s">
        <v>7998</v>
      </c>
      <c r="AD1541" s="23">
        <v>0</v>
      </c>
      <c r="AE1541" s="23">
        <v>1</v>
      </c>
      <c r="AF1541" s="19" t="s">
        <v>6379</v>
      </c>
      <c r="AG1541" s="23" t="s">
        <v>666</v>
      </c>
      <c r="AH1541" s="39">
        <v>44721</v>
      </c>
      <c r="AJ1541" s="75" t="s">
        <v>8067</v>
      </c>
      <c r="AK1541" s="53">
        <v>44722</v>
      </c>
    </row>
    <row r="1542" spans="1:37">
      <c r="A1542" s="104" t="s">
        <v>8003</v>
      </c>
      <c r="B1542" s="23" t="s">
        <v>8004</v>
      </c>
      <c r="C1542" s="140">
        <v>44715</v>
      </c>
      <c r="D1542" s="23" t="s">
        <v>729</v>
      </c>
      <c r="E1542" s="23" t="s">
        <v>752</v>
      </c>
      <c r="F1542" s="23" t="s">
        <v>57</v>
      </c>
      <c r="G1542" s="23" t="s">
        <v>57</v>
      </c>
      <c r="H1542" s="23" t="s">
        <v>8005</v>
      </c>
      <c r="I1542" s="23" t="s">
        <v>8005</v>
      </c>
      <c r="J1542" s="140">
        <v>44712</v>
      </c>
      <c r="K1542" s="23" t="s">
        <v>8016</v>
      </c>
      <c r="L1542" s="140">
        <v>44719</v>
      </c>
      <c r="S1542" s="23" t="s">
        <v>183</v>
      </c>
      <c r="T1542" s="23" t="s">
        <v>305</v>
      </c>
      <c r="U1542" s="23" t="s">
        <v>305</v>
      </c>
      <c r="V1542" s="23" t="s">
        <v>233</v>
      </c>
      <c r="W1542" s="23" t="s">
        <v>112</v>
      </c>
      <c r="X1542" s="23">
        <v>14027.8</v>
      </c>
      <c r="Y1542" s="23">
        <v>14132.2</v>
      </c>
      <c r="Z1542" s="23">
        <v>13915.58</v>
      </c>
      <c r="AA1542" s="23">
        <v>12457.58</v>
      </c>
      <c r="AB1542" s="23" t="s">
        <v>8006</v>
      </c>
      <c r="AC1542" s="23" t="s">
        <v>8007</v>
      </c>
      <c r="AD1542" s="23">
        <v>0</v>
      </c>
      <c r="AE1542" s="23">
        <v>1</v>
      </c>
      <c r="AF1542" s="23" t="s">
        <v>3297</v>
      </c>
      <c r="AG1542" s="23" t="s">
        <v>792</v>
      </c>
      <c r="AH1542" s="39">
        <v>44721</v>
      </c>
    </row>
    <row r="1543" spans="1:37">
      <c r="A1543" s="75" t="s">
        <v>8017</v>
      </c>
      <c r="B1543" s="23">
        <v>218556702</v>
      </c>
      <c r="C1543" s="140">
        <v>44714</v>
      </c>
      <c r="D1543" s="23" t="s">
        <v>729</v>
      </c>
      <c r="E1543" s="23" t="s">
        <v>752</v>
      </c>
      <c r="F1543" s="23" t="s">
        <v>7082</v>
      </c>
      <c r="G1543" s="23" t="s">
        <v>1724</v>
      </c>
      <c r="P1543" s="23" t="s">
        <v>8018</v>
      </c>
      <c r="Q1543" s="140" t="s">
        <v>8019</v>
      </c>
      <c r="T1543" s="23" t="s">
        <v>12031</v>
      </c>
      <c r="U1543" s="23" t="s">
        <v>12031</v>
      </c>
      <c r="V1543" s="23" t="s">
        <v>298</v>
      </c>
      <c r="W1543" s="23" t="s">
        <v>7080</v>
      </c>
      <c r="Y1543" s="23">
        <v>15000</v>
      </c>
      <c r="Z1543" s="23">
        <v>68</v>
      </c>
      <c r="AB1543" s="23" t="s">
        <v>8020</v>
      </c>
      <c r="AC1543" s="23" t="s">
        <v>4159</v>
      </c>
      <c r="AD1543" s="23">
        <v>0</v>
      </c>
      <c r="AE1543" s="23">
        <v>1</v>
      </c>
      <c r="AF1543" s="23" t="s">
        <v>7754</v>
      </c>
      <c r="AG1543" s="23" t="s">
        <v>666</v>
      </c>
      <c r="AH1543" s="39">
        <v>44722</v>
      </c>
      <c r="AJ1543" s="75" t="s">
        <v>8069</v>
      </c>
      <c r="AK1543" s="53">
        <v>44723</v>
      </c>
    </row>
    <row r="1544" spans="1:37">
      <c r="A1544" s="75" t="s">
        <v>8021</v>
      </c>
      <c r="B1544" s="23" t="s">
        <v>8022</v>
      </c>
      <c r="C1544" s="140">
        <v>44689</v>
      </c>
      <c r="D1544" s="23" t="s">
        <v>729</v>
      </c>
      <c r="E1544" s="23" t="s">
        <v>752</v>
      </c>
      <c r="F1544" s="23" t="s">
        <v>7286</v>
      </c>
      <c r="G1544" s="23" t="s">
        <v>5698</v>
      </c>
      <c r="P1544" s="23" t="s">
        <v>8023</v>
      </c>
      <c r="Q1544" s="140" t="s">
        <v>8024</v>
      </c>
      <c r="T1544" s="23" t="s">
        <v>12031</v>
      </c>
      <c r="U1544" s="23" t="s">
        <v>12031</v>
      </c>
      <c r="V1544" s="23" t="s">
        <v>298</v>
      </c>
      <c r="W1544" s="23" t="s">
        <v>6243</v>
      </c>
      <c r="Y1544" s="23">
        <v>2495</v>
      </c>
      <c r="Z1544" s="23">
        <v>20</v>
      </c>
      <c r="AB1544" s="23" t="s">
        <v>8025</v>
      </c>
      <c r="AC1544" s="23" t="s">
        <v>131</v>
      </c>
      <c r="AD1544" s="23">
        <v>1</v>
      </c>
      <c r="AE1544" s="23">
        <v>0</v>
      </c>
      <c r="AF1544" s="23" t="s">
        <v>3929</v>
      </c>
      <c r="AG1544" s="23" t="s">
        <v>8026</v>
      </c>
      <c r="AH1544" s="39">
        <v>44722</v>
      </c>
      <c r="AJ1544" s="75" t="s">
        <v>8070</v>
      </c>
      <c r="AK1544" s="53">
        <v>44723</v>
      </c>
    </row>
    <row r="1545" spans="1:37">
      <c r="A1545" s="75" t="s">
        <v>8027</v>
      </c>
      <c r="B1545" s="23" t="s">
        <v>8028</v>
      </c>
      <c r="C1545" s="140">
        <v>44706</v>
      </c>
      <c r="D1545" s="23" t="s">
        <v>729</v>
      </c>
      <c r="E1545" s="23" t="s">
        <v>752</v>
      </c>
      <c r="F1545" s="23" t="s">
        <v>7082</v>
      </c>
      <c r="G1545" s="23" t="s">
        <v>1724</v>
      </c>
      <c r="P1545" s="23" t="s">
        <v>7972</v>
      </c>
      <c r="Q1545" s="140" t="s">
        <v>8029</v>
      </c>
      <c r="T1545" s="23" t="s">
        <v>12031</v>
      </c>
      <c r="U1545" s="23" t="s">
        <v>12031</v>
      </c>
      <c r="V1545" s="23" t="s">
        <v>298</v>
      </c>
      <c r="W1545" s="23" t="s">
        <v>6732</v>
      </c>
      <c r="Y1545" s="23">
        <v>22400</v>
      </c>
      <c r="Z1545" s="23">
        <v>68</v>
      </c>
      <c r="AB1545" s="23" t="s">
        <v>8030</v>
      </c>
      <c r="AC1545" s="23" t="s">
        <v>7001</v>
      </c>
      <c r="AD1545" s="23">
        <v>0</v>
      </c>
      <c r="AE1545" s="23">
        <v>1</v>
      </c>
      <c r="AF1545" s="23" t="s">
        <v>5478</v>
      </c>
      <c r="AG1545" s="23" t="s">
        <v>666</v>
      </c>
      <c r="AH1545" s="39">
        <v>44722</v>
      </c>
      <c r="AJ1545" s="75" t="s">
        <v>8073</v>
      </c>
      <c r="AK1545" s="53">
        <v>44723</v>
      </c>
    </row>
    <row r="1546" spans="1:37">
      <c r="A1546" s="75" t="s">
        <v>8031</v>
      </c>
      <c r="B1546" s="23" t="s">
        <v>8032</v>
      </c>
      <c r="C1546" s="140">
        <v>44721</v>
      </c>
      <c r="D1546" s="23" t="s">
        <v>729</v>
      </c>
      <c r="E1546" s="23" t="s">
        <v>2919</v>
      </c>
      <c r="F1546" s="23" t="s">
        <v>4899</v>
      </c>
      <c r="G1546" s="23" t="s">
        <v>1724</v>
      </c>
      <c r="Q1546" s="140" t="s">
        <v>8029</v>
      </c>
      <c r="T1546" s="23" t="s">
        <v>3715</v>
      </c>
      <c r="U1546" s="23" t="s">
        <v>3715</v>
      </c>
      <c r="V1546" s="23" t="s">
        <v>298</v>
      </c>
      <c r="W1546" s="23" t="s">
        <v>6707</v>
      </c>
      <c r="Y1546" s="38">
        <v>12200</v>
      </c>
      <c r="Z1546" s="23">
        <v>66.8</v>
      </c>
      <c r="AB1546" s="23" t="s">
        <v>8033</v>
      </c>
      <c r="AC1546" s="23" t="s">
        <v>2311</v>
      </c>
      <c r="AD1546" s="23">
        <v>0</v>
      </c>
      <c r="AE1546" s="23">
        <v>1</v>
      </c>
      <c r="AF1546" s="23" t="s">
        <v>7646</v>
      </c>
      <c r="AG1546" s="23" t="s">
        <v>637</v>
      </c>
      <c r="AH1546" s="39">
        <v>44722</v>
      </c>
      <c r="AJ1546" s="75" t="s">
        <v>8068</v>
      </c>
      <c r="AK1546" s="53">
        <v>44723</v>
      </c>
    </row>
    <row r="1547" spans="1:37">
      <c r="A1547" s="75" t="s">
        <v>8035</v>
      </c>
      <c r="B1547" s="23">
        <v>218777160</v>
      </c>
      <c r="C1547" s="140">
        <v>44715</v>
      </c>
      <c r="D1547" s="23" t="s">
        <v>729</v>
      </c>
      <c r="E1547" s="23" t="s">
        <v>752</v>
      </c>
      <c r="F1547" s="23" t="s">
        <v>7082</v>
      </c>
      <c r="G1547" s="23" t="s">
        <v>1724</v>
      </c>
      <c r="P1547" s="23" t="s">
        <v>8036</v>
      </c>
      <c r="Q1547" s="140" t="s">
        <v>8037</v>
      </c>
      <c r="T1547" s="23" t="s">
        <v>12031</v>
      </c>
      <c r="U1547" s="23" t="s">
        <v>12031</v>
      </c>
      <c r="V1547" s="23" t="s">
        <v>298</v>
      </c>
      <c r="W1547" s="23" t="s">
        <v>6732</v>
      </c>
      <c r="Y1547" s="23">
        <v>22420</v>
      </c>
      <c r="Z1547" s="23">
        <v>68</v>
      </c>
      <c r="AB1547" s="23" t="s">
        <v>8038</v>
      </c>
      <c r="AC1547" s="23" t="s">
        <v>8039</v>
      </c>
      <c r="AD1547" s="23">
        <v>0</v>
      </c>
      <c r="AE1547" s="23">
        <v>3</v>
      </c>
      <c r="AF1547" s="23" t="s">
        <v>7754</v>
      </c>
      <c r="AG1547" s="23" t="s">
        <v>666</v>
      </c>
      <c r="AH1547" s="39">
        <v>44725</v>
      </c>
      <c r="AJ1547" s="75" t="s">
        <v>8202</v>
      </c>
      <c r="AK1547" s="53">
        <v>44726</v>
      </c>
    </row>
    <row r="1548" spans="1:37">
      <c r="A1548" s="75" t="s">
        <v>8040</v>
      </c>
      <c r="B1548" s="23">
        <v>218726344</v>
      </c>
      <c r="C1548" s="140">
        <v>44715</v>
      </c>
      <c r="F1548" s="23" t="s">
        <v>7082</v>
      </c>
      <c r="G1548" s="23" t="s">
        <v>1724</v>
      </c>
      <c r="W1548" s="23" t="s">
        <v>6732</v>
      </c>
      <c r="Y1548" s="23">
        <v>22415</v>
      </c>
      <c r="Z1548" s="23">
        <v>68</v>
      </c>
      <c r="AB1548" s="23" t="s">
        <v>8041</v>
      </c>
      <c r="AC1548" s="23" t="s">
        <v>8042</v>
      </c>
      <c r="AF1548" s="23" t="s">
        <v>7754</v>
      </c>
      <c r="AG1548" s="23" t="s">
        <v>666</v>
      </c>
      <c r="AH1548" s="39">
        <v>44725</v>
      </c>
    </row>
    <row r="1549" spans="1:37">
      <c r="A1549" s="75" t="s">
        <v>8043</v>
      </c>
      <c r="B1549" s="27" t="s">
        <v>8061</v>
      </c>
      <c r="C1549" s="140">
        <v>44721</v>
      </c>
      <c r="F1549" s="23" t="s">
        <v>4899</v>
      </c>
      <c r="G1549" s="23" t="s">
        <v>1724</v>
      </c>
      <c r="W1549" s="23" t="s">
        <v>7446</v>
      </c>
      <c r="Y1549" s="23">
        <v>16000</v>
      </c>
      <c r="Z1549" s="23">
        <v>68</v>
      </c>
      <c r="AB1549" s="23" t="s">
        <v>8044</v>
      </c>
      <c r="AC1549" s="23" t="s">
        <v>3579</v>
      </c>
      <c r="AF1549" s="23" t="s">
        <v>7754</v>
      </c>
      <c r="AG1549" s="23" t="s">
        <v>666</v>
      </c>
      <c r="AH1549" s="39">
        <v>44725</v>
      </c>
    </row>
    <row r="1550" spans="1:37">
      <c r="A1550" s="75" t="s">
        <v>8046</v>
      </c>
      <c r="B1550" s="23" t="s">
        <v>8045</v>
      </c>
      <c r="C1550" s="140">
        <v>44716</v>
      </c>
      <c r="D1550" s="23" t="s">
        <v>729</v>
      </c>
      <c r="E1550" s="23" t="s">
        <v>2919</v>
      </c>
      <c r="F1550" s="23" t="s">
        <v>4899</v>
      </c>
      <c r="G1550" s="23" t="s">
        <v>1724</v>
      </c>
      <c r="Q1550" s="140" t="s">
        <v>8037</v>
      </c>
      <c r="T1550" s="23" t="s">
        <v>3715</v>
      </c>
      <c r="U1550" s="23" t="s">
        <v>3715</v>
      </c>
      <c r="V1550" s="23" t="s">
        <v>298</v>
      </c>
      <c r="W1550" s="23" t="s">
        <v>2280</v>
      </c>
      <c r="Y1550" s="38">
        <v>8040</v>
      </c>
      <c r="Z1550" s="23">
        <v>68</v>
      </c>
      <c r="AB1550" s="23" t="s">
        <v>8047</v>
      </c>
      <c r="AC1550" s="23" t="s">
        <v>573</v>
      </c>
      <c r="AD1550" s="23">
        <v>0</v>
      </c>
      <c r="AE1550" s="23">
        <v>1</v>
      </c>
      <c r="AF1550" s="23" t="s">
        <v>5478</v>
      </c>
      <c r="AG1550" s="23" t="s">
        <v>666</v>
      </c>
      <c r="AH1550" s="39">
        <v>44725</v>
      </c>
      <c r="AJ1550" s="75" t="s">
        <v>8203</v>
      </c>
      <c r="AK1550" s="53">
        <v>44726</v>
      </c>
    </row>
    <row r="1551" spans="1:37">
      <c r="A1551" s="75" t="s">
        <v>8048</v>
      </c>
      <c r="B1551" s="23" t="s">
        <v>8049</v>
      </c>
      <c r="C1551" s="140">
        <v>44710</v>
      </c>
      <c r="D1551" s="23" t="s">
        <v>729</v>
      </c>
      <c r="E1551" s="23" t="s">
        <v>752</v>
      </c>
      <c r="F1551" s="23" t="s">
        <v>5765</v>
      </c>
      <c r="G1551" s="23" t="s">
        <v>1724</v>
      </c>
      <c r="P1551" s="23" t="s">
        <v>8050</v>
      </c>
      <c r="Q1551" s="140" t="s">
        <v>8037</v>
      </c>
      <c r="T1551" s="23" t="s">
        <v>12031</v>
      </c>
      <c r="U1551" s="23" t="s">
        <v>12031</v>
      </c>
      <c r="V1551" s="23" t="s">
        <v>298</v>
      </c>
      <c r="W1551" s="23" t="s">
        <v>4803</v>
      </c>
      <c r="Y1551" s="37">
        <v>13985.42</v>
      </c>
      <c r="Z1551" s="23">
        <v>50</v>
      </c>
      <c r="AB1551" s="23" t="s">
        <v>8051</v>
      </c>
      <c r="AC1551" s="23" t="s">
        <v>8052</v>
      </c>
      <c r="AD1551" s="23">
        <v>0</v>
      </c>
      <c r="AE1551" s="23">
        <v>1</v>
      </c>
      <c r="AF1551" s="23" t="s">
        <v>5478</v>
      </c>
      <c r="AG1551" s="23" t="s">
        <v>5518</v>
      </c>
      <c r="AH1551" s="39">
        <v>44725</v>
      </c>
      <c r="AJ1551" s="75" t="s">
        <v>8204</v>
      </c>
      <c r="AK1551" s="53">
        <v>44726</v>
      </c>
    </row>
    <row r="1552" spans="1:37">
      <c r="A1552" s="75" t="s">
        <v>8053</v>
      </c>
      <c r="B1552" s="23">
        <v>218777142</v>
      </c>
      <c r="C1552" s="140">
        <v>44716</v>
      </c>
      <c r="D1552" s="23" t="s">
        <v>729</v>
      </c>
      <c r="E1552" s="23" t="s">
        <v>752</v>
      </c>
      <c r="F1552" s="23" t="s">
        <v>4899</v>
      </c>
      <c r="G1552" s="23" t="s">
        <v>1724</v>
      </c>
      <c r="P1552" s="23" t="s">
        <v>8036</v>
      </c>
      <c r="Q1552" s="140" t="s">
        <v>8037</v>
      </c>
      <c r="T1552" s="23" t="s">
        <v>12031</v>
      </c>
      <c r="U1552" s="23" t="s">
        <v>12031</v>
      </c>
      <c r="V1552" s="23" t="s">
        <v>298</v>
      </c>
      <c r="W1552" s="23" t="s">
        <v>6431</v>
      </c>
      <c r="Y1552" s="23">
        <v>22700</v>
      </c>
      <c r="Z1552" s="23">
        <v>68</v>
      </c>
      <c r="AB1552" s="23" t="s">
        <v>8054</v>
      </c>
      <c r="AC1552" s="23" t="s">
        <v>7753</v>
      </c>
      <c r="AD1552" s="23">
        <v>0</v>
      </c>
      <c r="AE1552" s="23">
        <v>3</v>
      </c>
      <c r="AF1552" s="23" t="s">
        <v>7754</v>
      </c>
      <c r="AG1552" s="23" t="s">
        <v>666</v>
      </c>
      <c r="AH1552" s="39">
        <v>44725</v>
      </c>
      <c r="AJ1552" s="75" t="s">
        <v>8205</v>
      </c>
      <c r="AK1552" s="53">
        <v>44726</v>
      </c>
    </row>
    <row r="1553" spans="1:37">
      <c r="A1553" s="75" t="s">
        <v>8055</v>
      </c>
      <c r="B1553" s="23">
        <v>218777242</v>
      </c>
      <c r="C1553" s="140">
        <v>44717</v>
      </c>
      <c r="F1553" s="23" t="s">
        <v>4899</v>
      </c>
      <c r="G1553" s="23" t="s">
        <v>1724</v>
      </c>
      <c r="W1553" s="23" t="s">
        <v>8056</v>
      </c>
      <c r="Y1553" s="23">
        <v>21300</v>
      </c>
      <c r="Z1553" s="23">
        <v>68</v>
      </c>
      <c r="AB1553" s="23" t="s">
        <v>8057</v>
      </c>
      <c r="AC1553" s="23" t="s">
        <v>4173</v>
      </c>
      <c r="AF1553" s="23" t="s">
        <v>7754</v>
      </c>
      <c r="AG1553" s="23" t="s">
        <v>666</v>
      </c>
      <c r="AH1553" s="39">
        <v>44725</v>
      </c>
    </row>
    <row r="1554" spans="1:37">
      <c r="A1554" s="75" t="s">
        <v>8058</v>
      </c>
      <c r="B1554" s="27" t="s">
        <v>8062</v>
      </c>
      <c r="C1554" s="140">
        <v>44714</v>
      </c>
      <c r="F1554" s="23" t="s">
        <v>4899</v>
      </c>
      <c r="G1554" s="23" t="s">
        <v>1724</v>
      </c>
      <c r="W1554" s="23" t="s">
        <v>6457</v>
      </c>
      <c r="Y1554" s="23">
        <v>23800</v>
      </c>
      <c r="Z1554" s="23">
        <v>68</v>
      </c>
      <c r="AB1554" s="23" t="s">
        <v>8059</v>
      </c>
      <c r="AC1554" s="23" t="s">
        <v>8060</v>
      </c>
      <c r="AF1554" s="23" t="s">
        <v>7754</v>
      </c>
      <c r="AG1554" s="23" t="s">
        <v>666</v>
      </c>
      <c r="AH1554" s="39">
        <v>44725</v>
      </c>
    </row>
    <row r="1555" spans="1:37">
      <c r="A1555" s="75" t="s">
        <v>8074</v>
      </c>
      <c r="B1555" s="27" t="s">
        <v>8075</v>
      </c>
      <c r="C1555" s="140">
        <v>44714</v>
      </c>
      <c r="D1555" s="23" t="s">
        <v>729</v>
      </c>
      <c r="E1555" s="23" t="s">
        <v>752</v>
      </c>
      <c r="F1555" s="23" t="s">
        <v>4899</v>
      </c>
      <c r="G1555" s="23" t="s">
        <v>1724</v>
      </c>
      <c r="P1555" s="23" t="s">
        <v>8036</v>
      </c>
      <c r="Q1555" s="140" t="s">
        <v>8037</v>
      </c>
      <c r="T1555" s="23" t="s">
        <v>12031</v>
      </c>
      <c r="U1555" s="23" t="s">
        <v>12031</v>
      </c>
      <c r="V1555" s="23" t="s">
        <v>298</v>
      </c>
      <c r="W1555" s="23" t="s">
        <v>6431</v>
      </c>
      <c r="Y1555" s="23">
        <v>23500</v>
      </c>
      <c r="Z1555" s="23">
        <v>68</v>
      </c>
      <c r="AB1555" s="23" t="s">
        <v>8076</v>
      </c>
      <c r="AC1555" s="23" t="s">
        <v>8077</v>
      </c>
      <c r="AD1555" s="23">
        <v>0</v>
      </c>
      <c r="AE1555" s="23">
        <v>5</v>
      </c>
      <c r="AF1555" s="23" t="s">
        <v>7754</v>
      </c>
      <c r="AG1555" s="23" t="s">
        <v>666</v>
      </c>
      <c r="AH1555" s="39">
        <v>44726</v>
      </c>
      <c r="AJ1555" s="75" t="s">
        <v>8199</v>
      </c>
      <c r="AK1555" s="53">
        <v>44727</v>
      </c>
    </row>
    <row r="1556" spans="1:37">
      <c r="A1556" s="75" t="s">
        <v>8078</v>
      </c>
      <c r="B1556" s="23" t="s">
        <v>8079</v>
      </c>
      <c r="C1556" s="140">
        <v>44720</v>
      </c>
      <c r="F1556" s="23" t="s">
        <v>4899</v>
      </c>
      <c r="G1556" s="23" t="s">
        <v>1724</v>
      </c>
      <c r="P1556" s="23" t="s">
        <v>8080</v>
      </c>
      <c r="Q1556" s="140" t="s">
        <v>8081</v>
      </c>
      <c r="W1556" s="23" t="s">
        <v>8082</v>
      </c>
      <c r="Y1556" s="23">
        <v>4576</v>
      </c>
      <c r="Z1556" s="23">
        <v>68</v>
      </c>
      <c r="AB1556" s="23" t="s">
        <v>8083</v>
      </c>
      <c r="AC1556" s="23" t="s">
        <v>8084</v>
      </c>
      <c r="AF1556" s="23" t="s">
        <v>5478</v>
      </c>
      <c r="AG1556" s="23" t="s">
        <v>1921</v>
      </c>
      <c r="AH1556" s="39">
        <v>44726</v>
      </c>
    </row>
    <row r="1557" spans="1:37">
      <c r="A1557" s="75" t="s">
        <v>8085</v>
      </c>
      <c r="B1557" s="23" t="s">
        <v>8089</v>
      </c>
      <c r="C1557" s="140">
        <v>44720</v>
      </c>
      <c r="F1557" s="23" t="s">
        <v>4899</v>
      </c>
      <c r="G1557" s="23" t="s">
        <v>1724</v>
      </c>
      <c r="W1557" s="23" t="s">
        <v>6457</v>
      </c>
      <c r="Y1557" s="23">
        <v>19151</v>
      </c>
      <c r="Z1557" s="23">
        <v>68</v>
      </c>
      <c r="AB1557" s="23" t="s">
        <v>8090</v>
      </c>
      <c r="AC1557" s="23" t="s">
        <v>8091</v>
      </c>
      <c r="AF1557" s="23" t="s">
        <v>5478</v>
      </c>
      <c r="AG1557" s="23" t="s">
        <v>637</v>
      </c>
      <c r="AH1557" s="39">
        <v>44726</v>
      </c>
    </row>
    <row r="1558" spans="1:37">
      <c r="A1558" s="75" t="s">
        <v>8087</v>
      </c>
      <c r="B1558" s="23" t="s">
        <v>8093</v>
      </c>
      <c r="C1558" s="140">
        <v>44720</v>
      </c>
      <c r="F1558" s="23" t="s">
        <v>5765</v>
      </c>
      <c r="G1558" s="23" t="s">
        <v>1724</v>
      </c>
      <c r="W1558" s="23" t="s">
        <v>6359</v>
      </c>
      <c r="Y1558" s="23">
        <v>22300</v>
      </c>
      <c r="Z1558" s="23">
        <v>68</v>
      </c>
      <c r="AB1558" s="23" t="s">
        <v>8094</v>
      </c>
      <c r="AC1558" s="23" t="s">
        <v>7980</v>
      </c>
      <c r="AF1558" s="23" t="s">
        <v>5478</v>
      </c>
      <c r="AG1558" s="23" t="s">
        <v>665</v>
      </c>
      <c r="AH1558" s="39">
        <v>44726</v>
      </c>
    </row>
    <row r="1559" spans="1:37">
      <c r="A1559" s="75" t="s">
        <v>8088</v>
      </c>
      <c r="B1559" s="23" t="s">
        <v>8086</v>
      </c>
      <c r="C1559" s="140">
        <v>44720</v>
      </c>
      <c r="F1559" s="23" t="s">
        <v>5765</v>
      </c>
      <c r="G1559" s="23" t="s">
        <v>1724</v>
      </c>
      <c r="W1559" s="23" t="s">
        <v>6359</v>
      </c>
      <c r="Y1559" s="23">
        <v>15800</v>
      </c>
      <c r="Z1559" s="23">
        <v>68</v>
      </c>
      <c r="AB1559" s="23" t="s">
        <v>8095</v>
      </c>
      <c r="AC1559" s="23" t="s">
        <v>8092</v>
      </c>
      <c r="AF1559" s="23" t="s">
        <v>5478</v>
      </c>
      <c r="AG1559" s="23" t="s">
        <v>637</v>
      </c>
      <c r="AH1559" s="39">
        <v>44726</v>
      </c>
    </row>
    <row r="1560" spans="1:37">
      <c r="A1560" s="75" t="s">
        <v>8096</v>
      </c>
      <c r="B1560" s="23" t="s">
        <v>8097</v>
      </c>
      <c r="C1560" s="140">
        <v>44724</v>
      </c>
      <c r="D1560" s="23" t="s">
        <v>729</v>
      </c>
      <c r="E1560" s="23" t="s">
        <v>2919</v>
      </c>
      <c r="F1560" s="23" t="s">
        <v>4899</v>
      </c>
      <c r="G1560" s="23" t="s">
        <v>1724</v>
      </c>
      <c r="Q1560" s="140" t="s">
        <v>8081</v>
      </c>
      <c r="T1560" s="23" t="s">
        <v>3715</v>
      </c>
      <c r="U1560" s="23" t="s">
        <v>3715</v>
      </c>
      <c r="V1560" s="23" t="s">
        <v>298</v>
      </c>
      <c r="W1560" s="23" t="s">
        <v>6707</v>
      </c>
      <c r="Y1560" s="38">
        <v>11620</v>
      </c>
      <c r="Z1560" s="23">
        <v>66.5</v>
      </c>
      <c r="AB1560" s="23" t="s">
        <v>8098</v>
      </c>
      <c r="AC1560" s="23" t="s">
        <v>8099</v>
      </c>
      <c r="AD1560" s="23">
        <v>0</v>
      </c>
      <c r="AE1560" s="23">
        <v>2</v>
      </c>
      <c r="AF1560" s="23" t="s">
        <v>7646</v>
      </c>
      <c r="AG1560" s="23" t="s">
        <v>637</v>
      </c>
      <c r="AH1560" s="39">
        <v>44726</v>
      </c>
      <c r="AJ1560" s="75" t="s">
        <v>8200</v>
      </c>
      <c r="AK1560" s="53">
        <v>44727</v>
      </c>
    </row>
    <row r="1561" spans="1:37">
      <c r="A1561" s="75" t="s">
        <v>8100</v>
      </c>
      <c r="B1561" s="23" t="s">
        <v>8101</v>
      </c>
      <c r="C1561" s="140">
        <v>44725</v>
      </c>
      <c r="F1561" s="23" t="s">
        <v>4899</v>
      </c>
      <c r="G1561" s="23" t="s">
        <v>1724</v>
      </c>
      <c r="W1561" s="23" t="s">
        <v>6707</v>
      </c>
      <c r="Y1561" s="38">
        <v>11900</v>
      </c>
      <c r="Z1561" s="23">
        <v>66.599999999999994</v>
      </c>
      <c r="AB1561" s="23" t="s">
        <v>8102</v>
      </c>
      <c r="AC1561" s="23" t="s">
        <v>2311</v>
      </c>
      <c r="AF1561" s="23" t="s">
        <v>7646</v>
      </c>
      <c r="AG1561" s="23" t="s">
        <v>637</v>
      </c>
      <c r="AH1561" s="39">
        <v>44726</v>
      </c>
    </row>
    <row r="1562" spans="1:37" ht="80">
      <c r="A1562" s="75" t="s">
        <v>8103</v>
      </c>
      <c r="B1562" s="23" t="s">
        <v>8104</v>
      </c>
      <c r="C1562" s="140">
        <v>44720</v>
      </c>
      <c r="D1562" s="23" t="s">
        <v>729</v>
      </c>
      <c r="E1562" s="23" t="s">
        <v>752</v>
      </c>
      <c r="F1562" s="23" t="s">
        <v>4899</v>
      </c>
      <c r="G1562" s="23" t="s">
        <v>1724</v>
      </c>
      <c r="P1562" s="23" t="s">
        <v>8080</v>
      </c>
      <c r="Q1562" s="140" t="s">
        <v>8081</v>
      </c>
      <c r="T1562" s="23" t="s">
        <v>12031</v>
      </c>
      <c r="U1562" s="23" t="s">
        <v>12031</v>
      </c>
      <c r="V1562" s="23" t="s">
        <v>298</v>
      </c>
      <c r="W1562" s="23" t="s">
        <v>7446</v>
      </c>
      <c r="Y1562" s="23">
        <v>45000</v>
      </c>
      <c r="Z1562" s="23">
        <v>204</v>
      </c>
      <c r="AB1562" s="19" t="s">
        <v>8105</v>
      </c>
      <c r="AC1562" s="23" t="s">
        <v>8106</v>
      </c>
      <c r="AD1562" s="23">
        <v>0</v>
      </c>
      <c r="AE1562" s="23">
        <v>5</v>
      </c>
      <c r="AF1562" s="19" t="s">
        <v>8107</v>
      </c>
      <c r="AG1562" s="23" t="s">
        <v>666</v>
      </c>
      <c r="AH1562" s="39">
        <v>44726</v>
      </c>
      <c r="AJ1562" s="75" t="s">
        <v>8201</v>
      </c>
      <c r="AK1562" s="53">
        <v>44727</v>
      </c>
    </row>
    <row r="1563" spans="1:37">
      <c r="A1563" s="75" t="s">
        <v>8113</v>
      </c>
      <c r="B1563" s="23" t="s">
        <v>8108</v>
      </c>
      <c r="C1563" s="140">
        <v>44720</v>
      </c>
      <c r="F1563" s="23" t="s">
        <v>4899</v>
      </c>
      <c r="G1563" s="23" t="s">
        <v>1724</v>
      </c>
      <c r="W1563" s="23" t="s">
        <v>8109</v>
      </c>
      <c r="Y1563" s="23">
        <v>17000</v>
      </c>
      <c r="Z1563" s="23">
        <v>68</v>
      </c>
      <c r="AB1563" s="23" t="s">
        <v>8110</v>
      </c>
      <c r="AC1563" s="23" t="s">
        <v>7016</v>
      </c>
      <c r="AF1563" s="23" t="s">
        <v>5478</v>
      </c>
      <c r="AG1563" s="23" t="s">
        <v>665</v>
      </c>
      <c r="AH1563" s="39">
        <v>44726</v>
      </c>
    </row>
    <row r="1564" spans="1:37">
      <c r="A1564" s="75" t="s">
        <v>8114</v>
      </c>
      <c r="B1564" s="23" t="s">
        <v>8111</v>
      </c>
      <c r="C1564" s="140">
        <v>44720</v>
      </c>
      <c r="F1564" s="23" t="s">
        <v>4899</v>
      </c>
      <c r="G1564" s="23" t="s">
        <v>1724</v>
      </c>
      <c r="W1564" s="23" t="s">
        <v>7446</v>
      </c>
      <c r="Y1564" s="23">
        <v>16000</v>
      </c>
      <c r="Z1564" s="23">
        <v>68</v>
      </c>
      <c r="AB1564" s="23" t="s">
        <v>8112</v>
      </c>
      <c r="AC1564" s="23" t="s">
        <v>7016</v>
      </c>
      <c r="AF1564" s="23" t="s">
        <v>5478</v>
      </c>
      <c r="AG1564" s="23" t="s">
        <v>666</v>
      </c>
      <c r="AH1564" s="39">
        <v>44726</v>
      </c>
    </row>
    <row r="1565" spans="1:37">
      <c r="A1565" s="75" t="s">
        <v>8115</v>
      </c>
      <c r="B1565" s="23" t="s">
        <v>8116</v>
      </c>
      <c r="C1565" s="140">
        <v>44715</v>
      </c>
      <c r="D1565" s="23" t="s">
        <v>729</v>
      </c>
      <c r="E1565" s="23" t="s">
        <v>752</v>
      </c>
      <c r="F1565" s="23" t="s">
        <v>4899</v>
      </c>
      <c r="G1565" s="23" t="s">
        <v>1724</v>
      </c>
      <c r="P1565" s="23" t="s">
        <v>7961</v>
      </c>
      <c r="Q1565" s="140" t="s">
        <v>8029</v>
      </c>
      <c r="T1565" s="23" t="s">
        <v>12031</v>
      </c>
      <c r="U1565" s="23" t="s">
        <v>12031</v>
      </c>
      <c r="V1565" s="23" t="s">
        <v>298</v>
      </c>
      <c r="W1565" s="23" t="s">
        <v>498</v>
      </c>
      <c r="Y1565" s="38">
        <v>11800</v>
      </c>
      <c r="Z1565" s="23">
        <v>68</v>
      </c>
      <c r="AB1565" s="23" t="s">
        <v>8117</v>
      </c>
      <c r="AC1565" s="23" t="s">
        <v>8118</v>
      </c>
      <c r="AD1565" s="23">
        <v>0</v>
      </c>
      <c r="AE1565" s="23">
        <v>5</v>
      </c>
      <c r="AF1565" s="23" t="s">
        <v>6434</v>
      </c>
      <c r="AG1565" s="23" t="s">
        <v>665</v>
      </c>
      <c r="AH1565" s="39">
        <v>44728</v>
      </c>
      <c r="AJ1565" s="75" t="s">
        <v>8198</v>
      </c>
      <c r="AK1565" s="53">
        <v>44728</v>
      </c>
    </row>
    <row r="1566" spans="1:37">
      <c r="A1566" s="75" t="s">
        <v>8119</v>
      </c>
      <c r="B1566" s="23" t="s">
        <v>8120</v>
      </c>
      <c r="C1566" s="140">
        <v>44720</v>
      </c>
      <c r="F1566" s="23" t="s">
        <v>4899</v>
      </c>
      <c r="G1566" s="23" t="s">
        <v>1724</v>
      </c>
      <c r="P1566" s="23" t="s">
        <v>8080</v>
      </c>
      <c r="Q1566" s="140" t="s">
        <v>8081</v>
      </c>
      <c r="W1566" s="23" t="s">
        <v>7788</v>
      </c>
      <c r="Y1566" s="23">
        <v>14500</v>
      </c>
      <c r="Z1566" s="23">
        <v>68</v>
      </c>
      <c r="AB1566" s="23" t="s">
        <v>8121</v>
      </c>
      <c r="AC1566" s="23" t="s">
        <v>7009</v>
      </c>
      <c r="AF1566" s="23" t="s">
        <v>5478</v>
      </c>
      <c r="AG1566" s="23" t="s">
        <v>637</v>
      </c>
      <c r="AH1566" s="39">
        <v>44728</v>
      </c>
    </row>
    <row r="1567" spans="1:37">
      <c r="A1567" s="75" t="s">
        <v>8122</v>
      </c>
      <c r="B1567" s="23" t="s">
        <v>8123</v>
      </c>
      <c r="C1567" s="140">
        <v>44720</v>
      </c>
      <c r="F1567" s="23" t="s">
        <v>4899</v>
      </c>
      <c r="G1567" s="23" t="s">
        <v>1724</v>
      </c>
      <c r="W1567" s="23" t="s">
        <v>6866</v>
      </c>
      <c r="Y1567" s="23">
        <v>14500</v>
      </c>
      <c r="Z1567" s="23">
        <v>68</v>
      </c>
      <c r="AB1567" s="23" t="s">
        <v>8124</v>
      </c>
      <c r="AC1567" s="23" t="s">
        <v>7009</v>
      </c>
      <c r="AF1567" s="23" t="s">
        <v>5478</v>
      </c>
      <c r="AG1567" s="23" t="s">
        <v>666</v>
      </c>
      <c r="AH1567" s="39">
        <v>44728</v>
      </c>
    </row>
    <row r="1568" spans="1:37" ht="64">
      <c r="A1568" s="75" t="s">
        <v>8125</v>
      </c>
      <c r="B1568" s="23" t="s">
        <v>8126</v>
      </c>
      <c r="C1568" s="140">
        <v>44720</v>
      </c>
      <c r="F1568" s="23" t="s">
        <v>4899</v>
      </c>
      <c r="G1568" s="23" t="s">
        <v>1724</v>
      </c>
      <c r="W1568" s="23" t="s">
        <v>7446</v>
      </c>
      <c r="Y1568" s="23">
        <v>25000</v>
      </c>
      <c r="Z1568" s="23">
        <v>136</v>
      </c>
      <c r="AB1568" s="19" t="s">
        <v>8127</v>
      </c>
      <c r="AC1568" s="23" t="s">
        <v>8128</v>
      </c>
      <c r="AF1568" s="19" t="s">
        <v>7368</v>
      </c>
      <c r="AG1568" s="23" t="s">
        <v>6573</v>
      </c>
      <c r="AH1568" s="39">
        <v>44728</v>
      </c>
    </row>
    <row r="1569" spans="1:37">
      <c r="A1569" s="104" t="s">
        <v>8129</v>
      </c>
      <c r="B1569" s="23" t="s">
        <v>8130</v>
      </c>
      <c r="C1569" s="140">
        <v>44724</v>
      </c>
      <c r="D1569" s="23" t="s">
        <v>729</v>
      </c>
      <c r="E1569" s="23" t="s">
        <v>752</v>
      </c>
      <c r="F1569" s="23" t="s">
        <v>57</v>
      </c>
      <c r="G1569" s="23" t="s">
        <v>57</v>
      </c>
      <c r="H1569" s="23" t="s">
        <v>8131</v>
      </c>
      <c r="I1569" s="23" t="s">
        <v>8131</v>
      </c>
      <c r="J1569" s="140">
        <v>44720</v>
      </c>
      <c r="P1569" s="23" t="s">
        <v>8132</v>
      </c>
      <c r="Q1569" s="140" t="s">
        <v>8133</v>
      </c>
      <c r="S1569" s="23" t="s">
        <v>184</v>
      </c>
      <c r="T1569" s="23" t="s">
        <v>302</v>
      </c>
      <c r="U1569" s="23" t="s">
        <v>302</v>
      </c>
      <c r="V1569" s="23" t="s">
        <v>233</v>
      </c>
      <c r="W1569" s="23" t="s">
        <v>8134</v>
      </c>
      <c r="X1569" s="23">
        <v>9892.7999999999993</v>
      </c>
      <c r="Y1569" s="23">
        <v>10120.6</v>
      </c>
      <c r="Z1569" s="23">
        <v>14444.36</v>
      </c>
      <c r="AB1569" s="23" t="s">
        <v>8135</v>
      </c>
      <c r="AC1569" s="23" t="s">
        <v>4143</v>
      </c>
      <c r="AD1569" s="23">
        <v>0</v>
      </c>
      <c r="AE1569" s="23">
        <v>1</v>
      </c>
      <c r="AF1569" s="23" t="s">
        <v>5478</v>
      </c>
      <c r="AG1569" s="23" t="s">
        <v>787</v>
      </c>
      <c r="AH1569" s="39">
        <v>44725</v>
      </c>
    </row>
    <row r="1570" spans="1:37">
      <c r="A1570" s="75" t="s">
        <v>8136</v>
      </c>
      <c r="B1570" s="23" t="s">
        <v>8137</v>
      </c>
      <c r="C1570" s="140">
        <v>44724</v>
      </c>
      <c r="D1570" s="23" t="s">
        <v>729</v>
      </c>
      <c r="E1570" s="23" t="s">
        <v>752</v>
      </c>
      <c r="F1570" s="23" t="s">
        <v>4899</v>
      </c>
      <c r="G1570" s="23" t="s">
        <v>1724</v>
      </c>
      <c r="P1570" s="23" t="s">
        <v>8138</v>
      </c>
      <c r="Q1570" s="140" t="s">
        <v>8139</v>
      </c>
      <c r="T1570" s="23" t="s">
        <v>12031</v>
      </c>
      <c r="U1570" s="23" t="s">
        <v>12031</v>
      </c>
      <c r="V1570" s="23" t="s">
        <v>298</v>
      </c>
      <c r="W1570" s="23" t="s">
        <v>7446</v>
      </c>
      <c r="Y1570" s="23">
        <v>15650</v>
      </c>
      <c r="Z1570" s="23">
        <v>68</v>
      </c>
      <c r="AB1570" s="23" t="s">
        <v>8140</v>
      </c>
      <c r="AC1570" s="23" t="s">
        <v>8141</v>
      </c>
      <c r="AD1570" s="23">
        <v>0</v>
      </c>
      <c r="AE1570" s="23">
        <v>3</v>
      </c>
      <c r="AF1570" s="23" t="s">
        <v>5478</v>
      </c>
      <c r="AG1570" s="23" t="s">
        <v>665</v>
      </c>
      <c r="AH1570" s="39">
        <v>44728</v>
      </c>
      <c r="AJ1570" s="75" t="s">
        <v>8209</v>
      </c>
      <c r="AK1570" s="53">
        <v>44729</v>
      </c>
    </row>
    <row r="1571" spans="1:37">
      <c r="A1571" s="75" t="s">
        <v>8142</v>
      </c>
      <c r="B1571" s="23" t="s">
        <v>8143</v>
      </c>
      <c r="C1571" s="140">
        <v>44720</v>
      </c>
      <c r="F1571" s="23" t="s">
        <v>4899</v>
      </c>
      <c r="G1571" s="23" t="s">
        <v>1724</v>
      </c>
      <c r="P1571" s="23" t="s">
        <v>8144</v>
      </c>
      <c r="Q1571" s="140" t="s">
        <v>8145</v>
      </c>
      <c r="W1571" s="23" t="s">
        <v>6866</v>
      </c>
      <c r="Y1571" s="38">
        <v>16000</v>
      </c>
      <c r="Z1571" s="23">
        <v>68</v>
      </c>
      <c r="AB1571" s="23" t="s">
        <v>8146</v>
      </c>
      <c r="AC1571" s="23" t="s">
        <v>7791</v>
      </c>
      <c r="AF1571" s="23" t="s">
        <v>6434</v>
      </c>
      <c r="AG1571" s="23" t="s">
        <v>666</v>
      </c>
      <c r="AH1571" s="39">
        <v>44728</v>
      </c>
    </row>
    <row r="1572" spans="1:37">
      <c r="A1572" s="75" t="s">
        <v>8147</v>
      </c>
      <c r="B1572" s="23" t="s">
        <v>8148</v>
      </c>
      <c r="C1572" s="140">
        <v>44726</v>
      </c>
      <c r="F1572" s="23" t="s">
        <v>4899</v>
      </c>
      <c r="G1572" s="23" t="s">
        <v>1724</v>
      </c>
      <c r="W1572" s="23" t="s">
        <v>6866</v>
      </c>
      <c r="Y1572" s="38">
        <v>16000</v>
      </c>
      <c r="Z1572" s="23">
        <v>68</v>
      </c>
      <c r="AB1572" s="23" t="s">
        <v>8149</v>
      </c>
      <c r="AC1572" s="23" t="s">
        <v>7791</v>
      </c>
      <c r="AF1572" s="23" t="s">
        <v>6434</v>
      </c>
      <c r="AG1572" s="23" t="s">
        <v>666</v>
      </c>
      <c r="AH1572" s="39">
        <v>44728</v>
      </c>
    </row>
    <row r="1573" spans="1:37">
      <c r="A1573" s="75" t="s">
        <v>8150</v>
      </c>
      <c r="B1573" s="23" t="s">
        <v>8151</v>
      </c>
      <c r="C1573" s="140">
        <v>44726</v>
      </c>
      <c r="D1573" s="23" t="s">
        <v>729</v>
      </c>
      <c r="E1573" s="23" t="s">
        <v>752</v>
      </c>
      <c r="F1573" s="23" t="s">
        <v>4899</v>
      </c>
      <c r="G1573" s="23" t="s">
        <v>1724</v>
      </c>
      <c r="P1573" s="23" t="s">
        <v>8144</v>
      </c>
      <c r="Q1573" s="140" t="s">
        <v>8145</v>
      </c>
      <c r="T1573" s="23" t="s">
        <v>12031</v>
      </c>
      <c r="U1573" s="23" t="s">
        <v>12031</v>
      </c>
      <c r="V1573" s="23" t="s">
        <v>298</v>
      </c>
      <c r="W1573" s="23" t="s">
        <v>7446</v>
      </c>
      <c r="Y1573" s="38">
        <v>12500</v>
      </c>
      <c r="Z1573" s="23">
        <v>68</v>
      </c>
      <c r="AB1573" s="23" t="s">
        <v>8152</v>
      </c>
      <c r="AC1573" s="23" t="s">
        <v>7448</v>
      </c>
      <c r="AD1573" s="23">
        <v>0</v>
      </c>
      <c r="AE1573" s="23">
        <v>4</v>
      </c>
      <c r="AF1573" s="23" t="s">
        <v>6434</v>
      </c>
      <c r="AG1573" s="23" t="s">
        <v>6573</v>
      </c>
      <c r="AH1573" s="39">
        <v>44728</v>
      </c>
      <c r="AJ1573" s="75" t="s">
        <v>8210</v>
      </c>
      <c r="AK1573" s="53">
        <v>44729</v>
      </c>
    </row>
    <row r="1574" spans="1:37" ht="64">
      <c r="A1574" s="75" t="s">
        <v>8153</v>
      </c>
      <c r="B1574" s="23" t="s">
        <v>8154</v>
      </c>
      <c r="C1574" s="140">
        <v>44726</v>
      </c>
      <c r="F1574" s="23" t="s">
        <v>4899</v>
      </c>
      <c r="G1574" s="23" t="s">
        <v>1724</v>
      </c>
      <c r="W1574" s="23" t="s">
        <v>2280</v>
      </c>
      <c r="Y1574" s="38">
        <v>16100</v>
      </c>
      <c r="Z1574" s="23">
        <v>136</v>
      </c>
      <c r="AB1574" s="19" t="s">
        <v>8155</v>
      </c>
      <c r="AC1574" s="23" t="s">
        <v>8156</v>
      </c>
      <c r="AF1574" s="19" t="s">
        <v>6439</v>
      </c>
      <c r="AG1574" s="23" t="s">
        <v>637</v>
      </c>
      <c r="AH1574" s="39">
        <v>44728</v>
      </c>
    </row>
    <row r="1575" spans="1:37">
      <c r="A1575" s="75" t="s">
        <v>8157</v>
      </c>
      <c r="B1575" s="23" t="s">
        <v>8158</v>
      </c>
      <c r="C1575" s="140">
        <v>44724</v>
      </c>
      <c r="F1575" s="23" t="s">
        <v>4899</v>
      </c>
      <c r="G1575" s="23" t="s">
        <v>1724</v>
      </c>
      <c r="P1575" s="23" t="s">
        <v>8138</v>
      </c>
      <c r="Q1575" s="140" t="s">
        <v>8139</v>
      </c>
      <c r="W1575" s="23" t="s">
        <v>6866</v>
      </c>
      <c r="Y1575" s="23">
        <v>14500</v>
      </c>
      <c r="Z1575" s="23">
        <v>68</v>
      </c>
      <c r="AB1575" s="23" t="s">
        <v>8159</v>
      </c>
      <c r="AC1575" s="23" t="s">
        <v>7009</v>
      </c>
      <c r="AF1575" s="23" t="s">
        <v>5478</v>
      </c>
      <c r="AG1575" s="23" t="s">
        <v>1585</v>
      </c>
      <c r="AH1575" s="39">
        <v>44728</v>
      </c>
    </row>
    <row r="1576" spans="1:37">
      <c r="A1576" s="75" t="s">
        <v>8160</v>
      </c>
      <c r="B1576" s="23" t="s">
        <v>8161</v>
      </c>
      <c r="C1576" s="140">
        <v>44718</v>
      </c>
      <c r="D1576" s="23" t="s">
        <v>729</v>
      </c>
      <c r="E1576" s="23" t="s">
        <v>752</v>
      </c>
      <c r="F1576" s="23" t="s">
        <v>5765</v>
      </c>
      <c r="G1576" s="23" t="s">
        <v>1724</v>
      </c>
      <c r="P1576" s="23" t="s">
        <v>8144</v>
      </c>
      <c r="Q1576" s="140" t="s">
        <v>8145</v>
      </c>
      <c r="T1576" s="23" t="s">
        <v>12031</v>
      </c>
      <c r="U1576" s="23" t="s">
        <v>12031</v>
      </c>
      <c r="V1576" s="23" t="s">
        <v>298</v>
      </c>
      <c r="W1576" s="23" t="s">
        <v>6359</v>
      </c>
      <c r="Y1576" s="38">
        <v>22420</v>
      </c>
      <c r="Z1576" s="23">
        <v>68</v>
      </c>
      <c r="AB1576" s="23" t="s">
        <v>8162</v>
      </c>
      <c r="AC1576" s="23" t="s">
        <v>8163</v>
      </c>
      <c r="AD1576" s="23">
        <v>0</v>
      </c>
      <c r="AE1576" s="23">
        <v>5</v>
      </c>
      <c r="AF1576" s="23" t="s">
        <v>6434</v>
      </c>
      <c r="AG1576" s="23" t="s">
        <v>666</v>
      </c>
      <c r="AH1576" s="39">
        <v>44728</v>
      </c>
      <c r="AJ1576" s="75" t="s">
        <v>8211</v>
      </c>
      <c r="AK1576" s="53">
        <v>44729</v>
      </c>
    </row>
    <row r="1577" spans="1:37" ht="64">
      <c r="A1577" s="75" t="s">
        <v>8164</v>
      </c>
      <c r="B1577" s="23" t="s">
        <v>8165</v>
      </c>
      <c r="C1577" s="140">
        <v>44720</v>
      </c>
      <c r="F1577" s="23" t="s">
        <v>5765</v>
      </c>
      <c r="G1577" s="23" t="s">
        <v>1724</v>
      </c>
      <c r="P1577" s="23" t="s">
        <v>8196</v>
      </c>
      <c r="Q1577" s="140" t="s">
        <v>8081</v>
      </c>
      <c r="W1577" s="23" t="s">
        <v>6359</v>
      </c>
      <c r="Y1577" s="23">
        <v>42850</v>
      </c>
      <c r="Z1577" s="23">
        <v>136</v>
      </c>
      <c r="AB1577" s="19" t="s">
        <v>8166</v>
      </c>
      <c r="AC1577" s="23" t="s">
        <v>8167</v>
      </c>
      <c r="AF1577" s="19" t="s">
        <v>7368</v>
      </c>
      <c r="AG1577" s="23" t="s">
        <v>665</v>
      </c>
      <c r="AH1577" s="39">
        <v>44728</v>
      </c>
    </row>
    <row r="1578" spans="1:37" ht="64">
      <c r="A1578" s="75" t="s">
        <v>8168</v>
      </c>
      <c r="B1578" s="23" t="s">
        <v>8169</v>
      </c>
      <c r="C1578" s="140">
        <v>44720</v>
      </c>
      <c r="F1578" s="23" t="s">
        <v>5765</v>
      </c>
      <c r="G1578" s="23" t="s">
        <v>1724</v>
      </c>
      <c r="W1578" s="23" t="s">
        <v>6359</v>
      </c>
      <c r="Y1578" s="23">
        <v>43560</v>
      </c>
      <c r="Z1578" s="23">
        <v>136</v>
      </c>
      <c r="AB1578" s="19" t="s">
        <v>8170</v>
      </c>
      <c r="AC1578" s="23" t="s">
        <v>8171</v>
      </c>
      <c r="AF1578" s="19" t="s">
        <v>7368</v>
      </c>
      <c r="AG1578" s="23" t="s">
        <v>665</v>
      </c>
      <c r="AH1578" s="39">
        <v>44728</v>
      </c>
    </row>
    <row r="1579" spans="1:37">
      <c r="A1579" s="75" t="s">
        <v>8172</v>
      </c>
      <c r="B1579" s="23" t="s">
        <v>8173</v>
      </c>
      <c r="C1579" s="140">
        <v>44714</v>
      </c>
      <c r="D1579" s="23" t="s">
        <v>729</v>
      </c>
      <c r="E1579" s="23" t="s">
        <v>752</v>
      </c>
      <c r="F1579" s="23" t="s">
        <v>7082</v>
      </c>
      <c r="G1579" s="23" t="s">
        <v>1724</v>
      </c>
      <c r="P1579" s="23" t="s">
        <v>8174</v>
      </c>
      <c r="Q1579" s="140" t="s">
        <v>8145</v>
      </c>
      <c r="T1579" s="23" t="s">
        <v>12031</v>
      </c>
      <c r="U1579" s="23" t="s">
        <v>12031</v>
      </c>
      <c r="V1579" s="23" t="s">
        <v>298</v>
      </c>
      <c r="W1579" s="23" t="s">
        <v>6732</v>
      </c>
      <c r="Y1579" s="38">
        <v>22430</v>
      </c>
      <c r="Z1579" s="23">
        <v>68</v>
      </c>
      <c r="AB1579" s="23" t="s">
        <v>8175</v>
      </c>
      <c r="AC1579" s="23" t="s">
        <v>8176</v>
      </c>
      <c r="AD1579" s="23">
        <v>0</v>
      </c>
      <c r="AE1579" s="23">
        <v>3</v>
      </c>
      <c r="AF1579" s="23" t="s">
        <v>6434</v>
      </c>
      <c r="AG1579" s="23" t="s">
        <v>666</v>
      </c>
      <c r="AH1579" s="39">
        <v>44728</v>
      </c>
      <c r="AJ1579" s="75" t="s">
        <v>8212</v>
      </c>
      <c r="AK1579" s="53">
        <v>44729</v>
      </c>
    </row>
    <row r="1580" spans="1:37">
      <c r="A1580" s="75" t="s">
        <v>8177</v>
      </c>
      <c r="B1580" s="23" t="s">
        <v>8178</v>
      </c>
      <c r="C1580" s="140">
        <v>44726</v>
      </c>
      <c r="F1580" s="23" t="s">
        <v>7082</v>
      </c>
      <c r="G1580" s="23" t="s">
        <v>1724</v>
      </c>
      <c r="P1580" s="23" t="s">
        <v>8144</v>
      </c>
      <c r="Q1580" s="140" t="s">
        <v>8145</v>
      </c>
      <c r="W1580" s="23" t="s">
        <v>6732</v>
      </c>
      <c r="Y1580" s="38">
        <v>22440</v>
      </c>
      <c r="Z1580" s="23">
        <v>68</v>
      </c>
      <c r="AB1580" s="23" t="s">
        <v>8179</v>
      </c>
      <c r="AC1580" s="23" t="s">
        <v>8180</v>
      </c>
      <c r="AF1580" s="23" t="s">
        <v>6434</v>
      </c>
      <c r="AG1580" s="23" t="s">
        <v>665</v>
      </c>
      <c r="AH1580" s="39">
        <v>44728</v>
      </c>
    </row>
    <row r="1581" spans="1:37">
      <c r="A1581" s="75" t="s">
        <v>8181</v>
      </c>
      <c r="B1581" s="23" t="s">
        <v>8197</v>
      </c>
      <c r="C1581" s="140">
        <v>44726</v>
      </c>
      <c r="F1581" s="23" t="s">
        <v>7082</v>
      </c>
      <c r="G1581" s="23" t="s">
        <v>1724</v>
      </c>
      <c r="W1581" s="23" t="s">
        <v>6732</v>
      </c>
      <c r="Y1581" s="38">
        <v>22442</v>
      </c>
      <c r="Z1581" s="23">
        <v>68</v>
      </c>
      <c r="AB1581" s="23" t="s">
        <v>8182</v>
      </c>
      <c r="AC1581" s="23" t="s">
        <v>8183</v>
      </c>
      <c r="AF1581" s="23" t="s">
        <v>6434</v>
      </c>
      <c r="AG1581" s="23" t="s">
        <v>665</v>
      </c>
      <c r="AH1581" s="39">
        <v>44728</v>
      </c>
    </row>
    <row r="1582" spans="1:37" ht="64">
      <c r="A1582" s="75" t="s">
        <v>8184</v>
      </c>
      <c r="B1582" s="23">
        <v>218616298</v>
      </c>
      <c r="C1582" s="140">
        <v>44725</v>
      </c>
      <c r="D1582" s="23" t="s">
        <v>729</v>
      </c>
      <c r="E1582" s="23" t="s">
        <v>752</v>
      </c>
      <c r="F1582" s="23" t="s">
        <v>4899</v>
      </c>
      <c r="G1582" s="23" t="s">
        <v>1724</v>
      </c>
      <c r="P1582" s="23" t="s">
        <v>8036</v>
      </c>
      <c r="Q1582" s="140" t="s">
        <v>8139</v>
      </c>
      <c r="T1582" s="23" t="s">
        <v>12031</v>
      </c>
      <c r="U1582" s="23" t="s">
        <v>12031</v>
      </c>
      <c r="V1582" s="23" t="s">
        <v>298</v>
      </c>
      <c r="W1582" s="23" t="s">
        <v>6431</v>
      </c>
      <c r="Y1582" s="23">
        <v>13580</v>
      </c>
      <c r="Z1582" s="23">
        <v>128</v>
      </c>
      <c r="AB1582" s="19" t="s">
        <v>8189</v>
      </c>
      <c r="AC1582" s="23" t="s">
        <v>8185</v>
      </c>
      <c r="AD1582" s="23">
        <v>0</v>
      </c>
      <c r="AE1582" s="23">
        <v>5</v>
      </c>
      <c r="AF1582" s="19" t="s">
        <v>8186</v>
      </c>
      <c r="AG1582" s="23" t="s">
        <v>666</v>
      </c>
      <c r="AH1582" s="39">
        <v>44728</v>
      </c>
      <c r="AJ1582" s="75" t="s">
        <v>8213</v>
      </c>
      <c r="AK1582" s="53">
        <v>44729</v>
      </c>
    </row>
    <row r="1583" spans="1:37">
      <c r="A1583" s="75" t="s">
        <v>8187</v>
      </c>
      <c r="B1583" s="23" t="s">
        <v>8188</v>
      </c>
      <c r="C1583" s="140">
        <v>44726</v>
      </c>
      <c r="F1583" s="23" t="s">
        <v>5765</v>
      </c>
      <c r="G1583" s="23" t="s">
        <v>1724</v>
      </c>
      <c r="P1583" s="23" t="s">
        <v>8144</v>
      </c>
      <c r="Q1583" s="140" t="s">
        <v>8145</v>
      </c>
      <c r="W1583" s="23" t="s">
        <v>6359</v>
      </c>
      <c r="Y1583" s="38">
        <v>20000</v>
      </c>
      <c r="Z1583" s="23">
        <v>68</v>
      </c>
      <c r="AB1583" s="23" t="s">
        <v>8190</v>
      </c>
      <c r="AC1583" s="23" t="s">
        <v>8191</v>
      </c>
      <c r="AF1583" s="23" t="s">
        <v>6434</v>
      </c>
      <c r="AG1583" s="23" t="s">
        <v>665</v>
      </c>
      <c r="AH1583" s="39">
        <v>44728</v>
      </c>
    </row>
    <row r="1584" spans="1:37" ht="64">
      <c r="A1584" s="75" t="s">
        <v>8192</v>
      </c>
      <c r="B1584" s="23" t="s">
        <v>8193</v>
      </c>
      <c r="C1584" s="140">
        <v>44726</v>
      </c>
      <c r="F1584" s="23" t="s">
        <v>5765</v>
      </c>
      <c r="G1584" s="23" t="s">
        <v>1724</v>
      </c>
      <c r="W1584" s="23" t="s">
        <v>6359</v>
      </c>
      <c r="Y1584" s="38">
        <v>44400</v>
      </c>
      <c r="Z1584" s="23">
        <v>136</v>
      </c>
      <c r="AB1584" s="19" t="s">
        <v>8194</v>
      </c>
      <c r="AC1584" s="23" t="s">
        <v>8195</v>
      </c>
      <c r="AF1584" s="19" t="s">
        <v>6439</v>
      </c>
      <c r="AG1584" s="23" t="s">
        <v>665</v>
      </c>
      <c r="AH1584" s="39">
        <v>44728</v>
      </c>
    </row>
    <row r="1585" spans="1:37">
      <c r="A1585" s="75" t="s">
        <v>8206</v>
      </c>
      <c r="B1585" s="23" t="s">
        <v>8207</v>
      </c>
      <c r="C1585" s="140">
        <v>44724</v>
      </c>
      <c r="D1585" s="23" t="s">
        <v>729</v>
      </c>
      <c r="E1585" s="23" t="s">
        <v>2919</v>
      </c>
      <c r="F1585" s="23" t="s">
        <v>4899</v>
      </c>
      <c r="G1585" s="23" t="s">
        <v>1724</v>
      </c>
      <c r="Q1585" s="140" t="s">
        <v>8081</v>
      </c>
      <c r="T1585" s="23" t="s">
        <v>3715</v>
      </c>
      <c r="U1585" s="23" t="s">
        <v>3715</v>
      </c>
      <c r="V1585" s="23" t="s">
        <v>298</v>
      </c>
      <c r="W1585" s="23" t="s">
        <v>2280</v>
      </c>
      <c r="Y1585" s="38">
        <v>8040</v>
      </c>
      <c r="Z1585" s="23">
        <v>68</v>
      </c>
      <c r="AB1585" s="23" t="s">
        <v>8208</v>
      </c>
      <c r="AC1585" s="23" t="s">
        <v>573</v>
      </c>
      <c r="AD1585" s="23">
        <v>0</v>
      </c>
      <c r="AE1585" s="23">
        <v>1</v>
      </c>
      <c r="AF1585" s="23" t="s">
        <v>5478</v>
      </c>
      <c r="AG1585" s="23" t="s">
        <v>666</v>
      </c>
      <c r="AH1585" s="39">
        <v>44729</v>
      </c>
      <c r="AJ1585" s="75" t="s">
        <v>8335</v>
      </c>
      <c r="AK1585" s="53">
        <v>44730</v>
      </c>
    </row>
    <row r="1586" spans="1:37">
      <c r="A1586" s="75" t="s">
        <v>8223</v>
      </c>
      <c r="B1586" s="23" t="s">
        <v>8224</v>
      </c>
      <c r="C1586" s="140">
        <v>44723</v>
      </c>
      <c r="D1586" s="23" t="s">
        <v>729</v>
      </c>
      <c r="E1586" s="23" t="s">
        <v>752</v>
      </c>
      <c r="F1586" s="23" t="s">
        <v>4899</v>
      </c>
      <c r="G1586" s="23" t="s">
        <v>1724</v>
      </c>
      <c r="P1586" s="23" t="s">
        <v>8225</v>
      </c>
      <c r="Q1586" s="140" t="s">
        <v>8226</v>
      </c>
      <c r="T1586" s="23" t="s">
        <v>12031</v>
      </c>
      <c r="U1586" s="23" t="s">
        <v>12031</v>
      </c>
      <c r="V1586" s="23" t="s">
        <v>298</v>
      </c>
      <c r="W1586" s="23" t="s">
        <v>6769</v>
      </c>
      <c r="Y1586" s="23">
        <v>18452</v>
      </c>
      <c r="Z1586" s="23">
        <v>68</v>
      </c>
      <c r="AB1586" s="23" t="s">
        <v>8227</v>
      </c>
      <c r="AC1586" s="23" t="s">
        <v>8228</v>
      </c>
      <c r="AD1586" s="23">
        <v>0</v>
      </c>
      <c r="AE1586" s="23">
        <v>2</v>
      </c>
      <c r="AF1586" s="23" t="s">
        <v>7428</v>
      </c>
      <c r="AG1586" s="23" t="s">
        <v>666</v>
      </c>
      <c r="AH1586" s="39">
        <v>44732</v>
      </c>
      <c r="AJ1586" s="75" t="s">
        <v>8334</v>
      </c>
      <c r="AK1586" s="53">
        <v>44733</v>
      </c>
    </row>
    <row r="1587" spans="1:37">
      <c r="A1587" s="75" t="s">
        <v>8229</v>
      </c>
      <c r="B1587" s="23" t="s">
        <v>8230</v>
      </c>
      <c r="C1587" s="140">
        <v>44723</v>
      </c>
      <c r="F1587" s="23" t="s">
        <v>4899</v>
      </c>
      <c r="G1587" s="23" t="s">
        <v>1724</v>
      </c>
      <c r="W1587" s="23" t="s">
        <v>6866</v>
      </c>
      <c r="Y1587" s="23">
        <v>15000</v>
      </c>
      <c r="Z1587" s="23">
        <v>68</v>
      </c>
      <c r="AB1587" s="23" t="s">
        <v>8231</v>
      </c>
      <c r="AC1587" s="23" t="s">
        <v>7144</v>
      </c>
      <c r="AF1587" s="23" t="s">
        <v>7428</v>
      </c>
      <c r="AG1587" s="23" t="s">
        <v>666</v>
      </c>
      <c r="AH1587" s="39">
        <v>44732</v>
      </c>
    </row>
    <row r="1588" spans="1:37">
      <c r="A1588" s="75" t="s">
        <v>8232</v>
      </c>
      <c r="B1588" s="23" t="s">
        <v>8239</v>
      </c>
      <c r="C1588" s="140">
        <v>44700</v>
      </c>
      <c r="D1588" s="23" t="s">
        <v>729</v>
      </c>
      <c r="E1588" s="23" t="s">
        <v>752</v>
      </c>
      <c r="F1588" s="23" t="s">
        <v>4899</v>
      </c>
      <c r="G1588" s="23" t="s">
        <v>1724</v>
      </c>
      <c r="P1588" s="23" t="s">
        <v>8240</v>
      </c>
      <c r="Q1588" s="140" t="s">
        <v>8241</v>
      </c>
      <c r="T1588" s="23" t="s">
        <v>12031</v>
      </c>
      <c r="U1588" s="23" t="s">
        <v>12031</v>
      </c>
      <c r="V1588" s="23" t="s">
        <v>298</v>
      </c>
      <c r="W1588" s="23" t="s">
        <v>6457</v>
      </c>
      <c r="Y1588" s="23">
        <v>21450</v>
      </c>
      <c r="Z1588" s="23">
        <v>68</v>
      </c>
      <c r="AB1588" s="23" t="s">
        <v>8242</v>
      </c>
      <c r="AC1588" s="23" t="s">
        <v>8243</v>
      </c>
      <c r="AD1588" s="23">
        <v>0</v>
      </c>
      <c r="AE1588" s="23">
        <v>3</v>
      </c>
      <c r="AF1588" s="23" t="s">
        <v>3864</v>
      </c>
      <c r="AG1588" s="23" t="s">
        <v>8244</v>
      </c>
      <c r="AH1588" s="39">
        <v>44732</v>
      </c>
      <c r="AJ1588" s="75" t="s">
        <v>8333</v>
      </c>
      <c r="AK1588" s="53">
        <v>44733</v>
      </c>
    </row>
    <row r="1589" spans="1:37">
      <c r="A1589" s="75" t="s">
        <v>8236</v>
      </c>
      <c r="B1589" s="27" t="s">
        <v>8245</v>
      </c>
      <c r="C1589" s="140">
        <v>44727</v>
      </c>
      <c r="F1589" s="23" t="s">
        <v>4899</v>
      </c>
      <c r="G1589" s="23" t="s">
        <v>1724</v>
      </c>
      <c r="P1589" s="23" t="s">
        <v>8246</v>
      </c>
      <c r="Q1589" s="140" t="s">
        <v>8226</v>
      </c>
      <c r="W1589" s="23" t="s">
        <v>6431</v>
      </c>
      <c r="Y1589" s="38">
        <v>22900</v>
      </c>
      <c r="Z1589" s="23">
        <v>68</v>
      </c>
      <c r="AB1589" s="23" t="s">
        <v>8247</v>
      </c>
      <c r="AC1589" s="38" t="s">
        <v>8248</v>
      </c>
      <c r="AF1589" s="23" t="s">
        <v>6434</v>
      </c>
      <c r="AG1589" s="23" t="s">
        <v>637</v>
      </c>
      <c r="AH1589" s="39">
        <v>44732</v>
      </c>
    </row>
    <row r="1590" spans="1:37">
      <c r="A1590" s="75" t="s">
        <v>8237</v>
      </c>
      <c r="B1590" s="23" t="s">
        <v>8249</v>
      </c>
      <c r="C1590" s="140">
        <v>44728</v>
      </c>
      <c r="F1590" s="23" t="s">
        <v>4899</v>
      </c>
      <c r="G1590" s="23" t="s">
        <v>1724</v>
      </c>
      <c r="P1590" s="23" t="s">
        <v>8240</v>
      </c>
      <c r="Q1590" s="140" t="s">
        <v>8241</v>
      </c>
      <c r="W1590" s="23" t="s">
        <v>6431</v>
      </c>
      <c r="Y1590" s="23">
        <v>20130</v>
      </c>
      <c r="Z1590" s="23">
        <v>68</v>
      </c>
      <c r="AB1590" s="23" t="s">
        <v>8250</v>
      </c>
      <c r="AC1590" s="23" t="s">
        <v>8251</v>
      </c>
      <c r="AF1590" s="23" t="s">
        <v>5478</v>
      </c>
      <c r="AG1590" s="23" t="s">
        <v>665</v>
      </c>
      <c r="AH1590" s="39">
        <v>44732</v>
      </c>
    </row>
    <row r="1591" spans="1:37">
      <c r="A1591" s="75" t="s">
        <v>8238</v>
      </c>
      <c r="B1591" s="23" t="s">
        <v>8233</v>
      </c>
      <c r="C1591" s="140">
        <v>44720</v>
      </c>
      <c r="D1591" s="23" t="s">
        <v>729</v>
      </c>
      <c r="E1591" s="23" t="s">
        <v>752</v>
      </c>
      <c r="F1591" s="23" t="s">
        <v>5765</v>
      </c>
      <c r="G1591" s="23" t="s">
        <v>1724</v>
      </c>
      <c r="P1591" s="23" t="s">
        <v>8080</v>
      </c>
      <c r="Q1591" s="140" t="s">
        <v>8081</v>
      </c>
      <c r="T1591" s="23" t="s">
        <v>12031</v>
      </c>
      <c r="U1591" s="23" t="s">
        <v>12031</v>
      </c>
      <c r="V1591" s="23" t="s">
        <v>298</v>
      </c>
      <c r="W1591" s="23" t="s">
        <v>6359</v>
      </c>
      <c r="Y1591" s="23">
        <v>22500</v>
      </c>
      <c r="Z1591" s="23">
        <v>68</v>
      </c>
      <c r="AB1591" s="23" t="s">
        <v>8234</v>
      </c>
      <c r="AC1591" s="23" t="s">
        <v>8235</v>
      </c>
      <c r="AD1591" s="23">
        <v>0</v>
      </c>
      <c r="AE1591" s="23">
        <v>4</v>
      </c>
      <c r="AF1591" s="23" t="s">
        <v>5478</v>
      </c>
      <c r="AG1591" s="23" t="s">
        <v>665</v>
      </c>
      <c r="AH1591" s="39">
        <v>44732</v>
      </c>
      <c r="AJ1591" s="75" t="s">
        <v>8332</v>
      </c>
      <c r="AK1591" s="53">
        <v>44733</v>
      </c>
    </row>
    <row r="1592" spans="1:37">
      <c r="A1592" s="75" t="s">
        <v>8252</v>
      </c>
      <c r="B1592" s="23" t="s">
        <v>8253</v>
      </c>
      <c r="C1592" s="140">
        <v>44727</v>
      </c>
      <c r="F1592" s="23" t="s">
        <v>5765</v>
      </c>
      <c r="G1592" s="23" t="s">
        <v>1724</v>
      </c>
      <c r="P1592" s="23" t="s">
        <v>8225</v>
      </c>
      <c r="Q1592" s="140" t="s">
        <v>8254</v>
      </c>
      <c r="W1592" s="23" t="s">
        <v>6359</v>
      </c>
      <c r="Y1592" s="23">
        <v>22430</v>
      </c>
      <c r="Z1592" s="23">
        <v>68</v>
      </c>
      <c r="AB1592" s="23" t="s">
        <v>8255</v>
      </c>
      <c r="AC1592" s="23" t="s">
        <v>8256</v>
      </c>
      <c r="AF1592" s="23" t="s">
        <v>7428</v>
      </c>
      <c r="AG1592" s="23" t="s">
        <v>665</v>
      </c>
      <c r="AH1592" s="39">
        <v>44732</v>
      </c>
    </row>
    <row r="1593" spans="1:37">
      <c r="A1593" s="75" t="s">
        <v>8257</v>
      </c>
      <c r="B1593" s="23" t="s">
        <v>8258</v>
      </c>
      <c r="C1593" s="140">
        <v>44721</v>
      </c>
      <c r="F1593" s="23" t="s">
        <v>7082</v>
      </c>
      <c r="G1593" s="23" t="s">
        <v>1724</v>
      </c>
      <c r="P1593" s="23" t="s">
        <v>8259</v>
      </c>
      <c r="Q1593" s="140" t="s">
        <v>8260</v>
      </c>
      <c r="W1593" s="23" t="s">
        <v>6732</v>
      </c>
      <c r="Y1593" s="23">
        <v>22445</v>
      </c>
      <c r="Z1593" s="23">
        <v>68</v>
      </c>
      <c r="AB1593" s="23" t="s">
        <v>8261</v>
      </c>
      <c r="AC1593" s="23" t="s">
        <v>8262</v>
      </c>
      <c r="AF1593" s="23" t="s">
        <v>5478</v>
      </c>
      <c r="AG1593" s="23" t="s">
        <v>666</v>
      </c>
      <c r="AH1593" s="39">
        <v>44732</v>
      </c>
    </row>
    <row r="1594" spans="1:37">
      <c r="A1594" s="75" t="s">
        <v>8263</v>
      </c>
      <c r="B1594" s="23" t="s">
        <v>8264</v>
      </c>
      <c r="C1594" s="140">
        <v>44721</v>
      </c>
      <c r="F1594" s="23" t="s">
        <v>7082</v>
      </c>
      <c r="G1594" s="23" t="s">
        <v>1724</v>
      </c>
      <c r="W1594" s="23" t="s">
        <v>6732</v>
      </c>
      <c r="Y1594" s="23">
        <v>22444</v>
      </c>
      <c r="Z1594" s="23">
        <v>68</v>
      </c>
      <c r="AB1594" s="23" t="s">
        <v>8265</v>
      </c>
      <c r="AC1594" s="23" t="s">
        <v>8266</v>
      </c>
      <c r="AF1594" s="23" t="s">
        <v>5478</v>
      </c>
      <c r="AG1594" s="23" t="s">
        <v>666</v>
      </c>
      <c r="AH1594" s="39">
        <v>44732</v>
      </c>
    </row>
    <row r="1595" spans="1:37">
      <c r="A1595" s="104" t="s">
        <v>8267</v>
      </c>
      <c r="B1595" s="23" t="s">
        <v>8268</v>
      </c>
      <c r="C1595" s="140">
        <v>44722</v>
      </c>
      <c r="D1595" s="23" t="s">
        <v>729</v>
      </c>
      <c r="E1595" s="23" t="s">
        <v>752</v>
      </c>
      <c r="F1595" s="23" t="s">
        <v>57</v>
      </c>
      <c r="G1595" s="23" t="s">
        <v>57</v>
      </c>
      <c r="H1595" s="23" t="s">
        <v>8269</v>
      </c>
      <c r="I1595" s="23" t="s">
        <v>8269</v>
      </c>
      <c r="J1595" s="140">
        <v>44721</v>
      </c>
      <c r="K1595" s="23" t="s">
        <v>8270</v>
      </c>
      <c r="L1595" s="140">
        <v>44726</v>
      </c>
      <c r="P1595" s="23" t="s">
        <v>8271</v>
      </c>
      <c r="Q1595" s="141" t="s">
        <v>8254</v>
      </c>
      <c r="S1595" s="23" t="s">
        <v>183</v>
      </c>
      <c r="T1595" s="23" t="s">
        <v>305</v>
      </c>
      <c r="U1595" s="23" t="s">
        <v>305</v>
      </c>
      <c r="V1595" s="23" t="s">
        <v>233</v>
      </c>
      <c r="W1595" s="23" t="s">
        <v>112</v>
      </c>
      <c r="X1595" s="23">
        <v>28431.7</v>
      </c>
      <c r="Y1595" s="23">
        <v>28640.5</v>
      </c>
      <c r="Z1595" s="23">
        <v>28204.25</v>
      </c>
      <c r="AA1595" s="23">
        <v>25288.25</v>
      </c>
      <c r="AB1595" s="23" t="s">
        <v>8272</v>
      </c>
      <c r="AC1595" s="23" t="s">
        <v>791</v>
      </c>
      <c r="AD1595" s="23">
        <v>0</v>
      </c>
      <c r="AE1595" s="23">
        <v>2</v>
      </c>
      <c r="AF1595" s="23" t="s">
        <v>5478</v>
      </c>
      <c r="AG1595" s="23" t="s">
        <v>792</v>
      </c>
      <c r="AH1595" s="39">
        <v>44733</v>
      </c>
    </row>
    <row r="1596" spans="1:37">
      <c r="A1596" s="75" t="s">
        <v>8273</v>
      </c>
      <c r="B1596" s="23" t="s">
        <v>8274</v>
      </c>
      <c r="C1596" s="140">
        <v>44720</v>
      </c>
      <c r="D1596" s="23" t="s">
        <v>729</v>
      </c>
      <c r="E1596" s="23" t="s">
        <v>752</v>
      </c>
      <c r="F1596" s="23" t="s">
        <v>4899</v>
      </c>
      <c r="G1596" s="23" t="s">
        <v>1724</v>
      </c>
      <c r="P1596" s="23" t="s">
        <v>8275</v>
      </c>
      <c r="Q1596" s="141" t="s">
        <v>8226</v>
      </c>
      <c r="T1596" s="23" t="s">
        <v>12031</v>
      </c>
      <c r="U1596" s="23" t="s">
        <v>12031</v>
      </c>
      <c r="V1596" s="23" t="s">
        <v>298</v>
      </c>
      <c r="W1596" s="23" t="s">
        <v>7158</v>
      </c>
      <c r="Y1596" s="37">
        <v>13995.39</v>
      </c>
      <c r="Z1596" s="23">
        <v>45.5</v>
      </c>
      <c r="AB1596" s="23" t="s">
        <v>8276</v>
      </c>
      <c r="AC1596" s="23" t="s">
        <v>8277</v>
      </c>
      <c r="AD1596" s="23">
        <v>0</v>
      </c>
      <c r="AE1596" s="23">
        <v>2</v>
      </c>
      <c r="AF1596" s="23" t="s">
        <v>5478</v>
      </c>
      <c r="AG1596" s="23" t="s">
        <v>7161</v>
      </c>
      <c r="AH1596" s="39">
        <v>44733</v>
      </c>
      <c r="AJ1596" s="75" t="s">
        <v>8331</v>
      </c>
      <c r="AK1596" s="53">
        <v>44734</v>
      </c>
    </row>
    <row r="1597" spans="1:37">
      <c r="A1597" s="75" t="s">
        <v>8278</v>
      </c>
      <c r="B1597" s="23" t="s">
        <v>8279</v>
      </c>
      <c r="C1597" s="140">
        <v>44727</v>
      </c>
      <c r="F1597" s="23" t="s">
        <v>4899</v>
      </c>
      <c r="G1597" s="23" t="s">
        <v>1724</v>
      </c>
      <c r="P1597" s="23" t="s">
        <v>8246</v>
      </c>
      <c r="Q1597" s="141" t="s">
        <v>8226</v>
      </c>
      <c r="W1597" s="23" t="s">
        <v>6431</v>
      </c>
      <c r="Y1597" s="38">
        <v>22920</v>
      </c>
      <c r="Z1597" s="23">
        <v>68</v>
      </c>
      <c r="AB1597" s="23" t="s">
        <v>8280</v>
      </c>
      <c r="AC1597" s="23" t="s">
        <v>8281</v>
      </c>
      <c r="AF1597" s="23" t="s">
        <v>6434</v>
      </c>
      <c r="AG1597" s="23" t="s">
        <v>8244</v>
      </c>
      <c r="AH1597" s="39">
        <v>44733</v>
      </c>
    </row>
    <row r="1598" spans="1:37">
      <c r="A1598" s="75" t="s">
        <v>8282</v>
      </c>
      <c r="B1598" s="23" t="s">
        <v>8283</v>
      </c>
      <c r="C1598" s="140">
        <v>44727</v>
      </c>
      <c r="D1598" s="23" t="s">
        <v>729</v>
      </c>
      <c r="E1598" s="23" t="s">
        <v>752</v>
      </c>
      <c r="F1598" s="23" t="s">
        <v>7082</v>
      </c>
      <c r="G1598" s="23" t="s">
        <v>1724</v>
      </c>
      <c r="P1598" s="23" t="s">
        <v>8246</v>
      </c>
      <c r="Q1598" s="141" t="s">
        <v>8226</v>
      </c>
      <c r="T1598" s="23" t="s">
        <v>12031</v>
      </c>
      <c r="U1598" s="23" t="s">
        <v>12031</v>
      </c>
      <c r="V1598" s="23" t="s">
        <v>298</v>
      </c>
      <c r="W1598" s="23" t="s">
        <v>6732</v>
      </c>
      <c r="Y1598" s="38">
        <v>22400</v>
      </c>
      <c r="Z1598" s="23">
        <v>68</v>
      </c>
      <c r="AB1598" s="23" t="s">
        <v>8284</v>
      </c>
      <c r="AC1598" s="23" t="s">
        <v>8285</v>
      </c>
      <c r="AD1598" s="23">
        <v>0</v>
      </c>
      <c r="AE1598" s="23">
        <v>3</v>
      </c>
      <c r="AF1598" s="23" t="s">
        <v>6434</v>
      </c>
      <c r="AG1598" s="23" t="s">
        <v>637</v>
      </c>
      <c r="AH1598" s="39">
        <v>44734</v>
      </c>
      <c r="AJ1598" s="75" t="s">
        <v>8330</v>
      </c>
      <c r="AK1598" s="53">
        <v>44735</v>
      </c>
    </row>
    <row r="1599" spans="1:37">
      <c r="A1599" s="75" t="s">
        <v>8286</v>
      </c>
      <c r="B1599" s="23" t="s">
        <v>8287</v>
      </c>
      <c r="C1599" s="140">
        <v>44730</v>
      </c>
      <c r="F1599" s="23" t="s">
        <v>4899</v>
      </c>
      <c r="G1599" s="23" t="s">
        <v>1724</v>
      </c>
      <c r="P1599" s="23" t="s">
        <v>8225</v>
      </c>
      <c r="Q1599" s="141" t="s">
        <v>8254</v>
      </c>
      <c r="W1599" s="23" t="s">
        <v>6875</v>
      </c>
      <c r="Y1599" s="23">
        <v>9150</v>
      </c>
      <c r="Z1599" s="23">
        <v>65</v>
      </c>
      <c r="AB1599" s="23" t="s">
        <v>8288</v>
      </c>
      <c r="AC1599" s="23" t="s">
        <v>8289</v>
      </c>
      <c r="AF1599" s="23" t="s">
        <v>7428</v>
      </c>
      <c r="AG1599" s="23" t="s">
        <v>666</v>
      </c>
      <c r="AH1599" s="39">
        <v>44734</v>
      </c>
    </row>
    <row r="1600" spans="1:37">
      <c r="A1600" s="75" t="s">
        <v>8290</v>
      </c>
      <c r="B1600" s="23" t="s">
        <v>8291</v>
      </c>
      <c r="C1600" s="140">
        <v>44728</v>
      </c>
      <c r="F1600" s="23" t="s">
        <v>4899</v>
      </c>
      <c r="G1600" s="23" t="s">
        <v>1724</v>
      </c>
      <c r="P1600" s="23" t="s">
        <v>8292</v>
      </c>
      <c r="Q1600" s="141" t="s">
        <v>8293</v>
      </c>
      <c r="W1600" s="23" t="s">
        <v>6457</v>
      </c>
      <c r="Y1600" s="38">
        <v>21135</v>
      </c>
      <c r="Z1600" s="23">
        <v>68</v>
      </c>
      <c r="AB1600" s="23" t="s">
        <v>8294</v>
      </c>
      <c r="AC1600" s="23" t="s">
        <v>8295</v>
      </c>
      <c r="AF1600" s="23" t="s">
        <v>5478</v>
      </c>
      <c r="AG1600" s="23" t="s">
        <v>637</v>
      </c>
      <c r="AH1600" s="39">
        <v>44734</v>
      </c>
    </row>
    <row r="1601" spans="1:37">
      <c r="A1601" s="75" t="s">
        <v>8296</v>
      </c>
      <c r="B1601" s="23" t="s">
        <v>8297</v>
      </c>
      <c r="C1601" s="140">
        <v>44714</v>
      </c>
      <c r="D1601" s="23" t="s">
        <v>729</v>
      </c>
      <c r="E1601" s="23" t="s">
        <v>752</v>
      </c>
      <c r="F1601" s="23" t="s">
        <v>5765</v>
      </c>
      <c r="G1601" s="23" t="s">
        <v>1724</v>
      </c>
      <c r="P1601" s="23" t="s">
        <v>8144</v>
      </c>
      <c r="Q1601" s="141" t="s">
        <v>8145</v>
      </c>
      <c r="T1601" s="23" t="s">
        <v>12031</v>
      </c>
      <c r="U1601" s="23" t="s">
        <v>12031</v>
      </c>
      <c r="V1601" s="23" t="s">
        <v>298</v>
      </c>
      <c r="W1601" s="23" t="s">
        <v>6359</v>
      </c>
      <c r="Y1601" s="38">
        <v>22410</v>
      </c>
      <c r="Z1601" s="23">
        <v>68</v>
      </c>
      <c r="AB1601" s="23" t="s">
        <v>8298</v>
      </c>
      <c r="AC1601" s="23" t="s">
        <v>8299</v>
      </c>
      <c r="AD1601" s="23">
        <v>0</v>
      </c>
      <c r="AE1601" s="23">
        <v>3</v>
      </c>
      <c r="AF1601" s="23" t="s">
        <v>6434</v>
      </c>
      <c r="AG1601" s="23" t="s">
        <v>666</v>
      </c>
      <c r="AH1601" s="39">
        <v>44734</v>
      </c>
      <c r="AJ1601" s="75" t="s">
        <v>8329</v>
      </c>
      <c r="AK1601" s="53">
        <v>44735</v>
      </c>
    </row>
    <row r="1602" spans="1:37">
      <c r="A1602" s="75" t="s">
        <v>8300</v>
      </c>
      <c r="B1602" s="23" t="s">
        <v>8301</v>
      </c>
      <c r="C1602" s="140">
        <v>44728</v>
      </c>
      <c r="F1602" s="23" t="s">
        <v>5765</v>
      </c>
      <c r="G1602" s="23" t="s">
        <v>1724</v>
      </c>
      <c r="P1602" s="23" t="s">
        <v>8309</v>
      </c>
      <c r="Q1602" s="141" t="s">
        <v>8302</v>
      </c>
      <c r="W1602" s="23" t="s">
        <v>6359</v>
      </c>
      <c r="Y1602" s="38">
        <v>22500</v>
      </c>
      <c r="Z1602" s="23">
        <v>68</v>
      </c>
      <c r="AB1602" s="23" t="s">
        <v>8303</v>
      </c>
      <c r="AC1602" s="23" t="s">
        <v>8304</v>
      </c>
      <c r="AF1602" s="23" t="s">
        <v>6434</v>
      </c>
      <c r="AG1602" s="23" t="s">
        <v>665</v>
      </c>
      <c r="AH1602" s="39">
        <v>44734</v>
      </c>
    </row>
    <row r="1603" spans="1:37">
      <c r="A1603" s="75" t="s">
        <v>8305</v>
      </c>
      <c r="B1603" s="23" t="s">
        <v>8306</v>
      </c>
      <c r="C1603" s="140">
        <v>44729</v>
      </c>
      <c r="F1603" s="23" t="s">
        <v>5765</v>
      </c>
      <c r="G1603" s="23" t="s">
        <v>1724</v>
      </c>
      <c r="W1603" s="23" t="s">
        <v>6359</v>
      </c>
      <c r="Y1603" s="38">
        <v>22720</v>
      </c>
      <c r="Z1603" s="23">
        <v>68</v>
      </c>
      <c r="AB1603" s="23" t="s">
        <v>8307</v>
      </c>
      <c r="AC1603" s="23" t="s">
        <v>8308</v>
      </c>
      <c r="AF1603" s="23" t="s">
        <v>6434</v>
      </c>
      <c r="AG1603" s="23" t="s">
        <v>665</v>
      </c>
      <c r="AH1603" s="39">
        <v>44734</v>
      </c>
    </row>
    <row r="1604" spans="1:37">
      <c r="A1604" s="75" t="s">
        <v>8310</v>
      </c>
      <c r="B1604" s="23" t="s">
        <v>8311</v>
      </c>
      <c r="C1604" s="140">
        <v>44731</v>
      </c>
      <c r="D1604" s="23" t="s">
        <v>729</v>
      </c>
      <c r="E1604" s="23" t="s">
        <v>752</v>
      </c>
      <c r="F1604" s="23" t="s">
        <v>4899</v>
      </c>
      <c r="G1604" s="23" t="s">
        <v>1724</v>
      </c>
      <c r="P1604" s="23" t="s">
        <v>8309</v>
      </c>
      <c r="Q1604" s="141" t="s">
        <v>8302</v>
      </c>
      <c r="T1604" s="23" t="s">
        <v>12031</v>
      </c>
      <c r="U1604" s="23" t="s">
        <v>12031</v>
      </c>
      <c r="V1604" s="23" t="s">
        <v>298</v>
      </c>
      <c r="W1604" s="23" t="s">
        <v>2280</v>
      </c>
      <c r="Y1604" s="38">
        <v>8040</v>
      </c>
      <c r="Z1604" s="23">
        <v>68</v>
      </c>
      <c r="AB1604" s="23" t="s">
        <v>8312</v>
      </c>
      <c r="AC1604" s="23" t="s">
        <v>8313</v>
      </c>
      <c r="AD1604" s="23">
        <v>0</v>
      </c>
      <c r="AE1604" s="23">
        <v>1</v>
      </c>
      <c r="AF1604" s="23" t="s">
        <v>6434</v>
      </c>
      <c r="AG1604" s="23" t="s">
        <v>665</v>
      </c>
      <c r="AH1604" s="39">
        <v>44735</v>
      </c>
      <c r="AJ1604" s="75" t="s">
        <v>8728</v>
      </c>
      <c r="AK1604" s="53">
        <v>44736</v>
      </c>
    </row>
    <row r="1605" spans="1:37" ht="128">
      <c r="A1605" s="75" t="s">
        <v>8336</v>
      </c>
      <c r="B1605" s="23" t="s">
        <v>8337</v>
      </c>
      <c r="C1605" s="140">
        <v>44729</v>
      </c>
      <c r="D1605" s="23" t="s">
        <v>729</v>
      </c>
      <c r="E1605" s="23" t="s">
        <v>752</v>
      </c>
      <c r="F1605" s="23" t="s">
        <v>2200</v>
      </c>
      <c r="G1605" s="23" t="s">
        <v>301</v>
      </c>
      <c r="H1605" s="23">
        <v>20409210</v>
      </c>
      <c r="I1605" s="23">
        <v>20409210</v>
      </c>
      <c r="J1605" s="140">
        <v>44721</v>
      </c>
      <c r="K1605" s="23" t="s">
        <v>8338</v>
      </c>
      <c r="L1605" s="140">
        <v>44734</v>
      </c>
      <c r="T1605" s="23" t="s">
        <v>305</v>
      </c>
      <c r="U1605" s="23" t="s">
        <v>305</v>
      </c>
      <c r="V1605" s="23" t="s">
        <v>299</v>
      </c>
      <c r="W1605" s="23" t="s">
        <v>8339</v>
      </c>
      <c r="Y1605" s="23">
        <v>33088</v>
      </c>
      <c r="Z1605" s="23">
        <v>312000</v>
      </c>
      <c r="AB1605" s="19" t="s">
        <v>8340</v>
      </c>
      <c r="AC1605" s="59">
        <v>16</v>
      </c>
      <c r="AD1605" s="23">
        <v>0</v>
      </c>
      <c r="AE1605" s="23">
        <v>8</v>
      </c>
      <c r="AG1605" s="23" t="s">
        <v>1553</v>
      </c>
      <c r="AH1605" s="39">
        <v>44736</v>
      </c>
      <c r="AI1605" s="53" t="s">
        <v>5851</v>
      </c>
      <c r="AJ1605" s="75" t="s">
        <v>8761</v>
      </c>
      <c r="AK1605" s="53">
        <v>44747</v>
      </c>
    </row>
    <row r="1606" spans="1:37" ht="32">
      <c r="A1606" s="75" t="s">
        <v>8341</v>
      </c>
      <c r="B1606" s="23" t="s">
        <v>8342</v>
      </c>
      <c r="C1606" s="140">
        <v>44729</v>
      </c>
      <c r="D1606" s="23" t="s">
        <v>729</v>
      </c>
      <c r="E1606" s="23" t="s">
        <v>752</v>
      </c>
      <c r="F1606" s="23" t="s">
        <v>2200</v>
      </c>
      <c r="G1606" s="23" t="s">
        <v>301</v>
      </c>
      <c r="H1606" s="23">
        <v>20409209</v>
      </c>
      <c r="I1606" s="23">
        <v>20409209</v>
      </c>
      <c r="J1606" s="140">
        <v>44721</v>
      </c>
      <c r="K1606" s="23" t="s">
        <v>8343</v>
      </c>
      <c r="L1606" s="140">
        <v>44734</v>
      </c>
      <c r="T1606" s="23" t="s">
        <v>305</v>
      </c>
      <c r="U1606" s="23" t="s">
        <v>305</v>
      </c>
      <c r="V1606" s="23" t="s">
        <v>299</v>
      </c>
      <c r="W1606" s="23" t="s">
        <v>8344</v>
      </c>
      <c r="Y1606" s="38">
        <v>5272</v>
      </c>
      <c r="Z1606" s="23">
        <v>54400</v>
      </c>
      <c r="AB1606" s="19" t="s">
        <v>8345</v>
      </c>
      <c r="AC1606" s="59">
        <v>4</v>
      </c>
      <c r="AD1606" s="23">
        <v>0</v>
      </c>
      <c r="AE1606" s="23">
        <v>2</v>
      </c>
      <c r="AG1606" s="23" t="s">
        <v>1553</v>
      </c>
      <c r="AH1606" s="39">
        <v>44736</v>
      </c>
      <c r="AI1606" s="53" t="s">
        <v>5851</v>
      </c>
      <c r="AJ1606" s="75" t="s">
        <v>8762</v>
      </c>
      <c r="AK1606" s="53">
        <v>44747</v>
      </c>
    </row>
    <row r="1607" spans="1:37">
      <c r="A1607" s="75" t="s">
        <v>8346</v>
      </c>
      <c r="B1607" s="23" t="s">
        <v>8347</v>
      </c>
      <c r="C1607" s="140">
        <v>44733</v>
      </c>
      <c r="D1607" s="23" t="s">
        <v>729</v>
      </c>
      <c r="E1607" s="23" t="s">
        <v>752</v>
      </c>
      <c r="F1607" s="23" t="s">
        <v>4899</v>
      </c>
      <c r="G1607" s="23" t="s">
        <v>1724</v>
      </c>
      <c r="P1607" s="23" t="s">
        <v>8348</v>
      </c>
      <c r="Q1607" s="141" t="s">
        <v>8349</v>
      </c>
      <c r="T1607" s="23" t="s">
        <v>12031</v>
      </c>
      <c r="U1607" s="23" t="s">
        <v>12031</v>
      </c>
      <c r="V1607" s="23" t="s">
        <v>298</v>
      </c>
      <c r="W1607" s="23" t="s">
        <v>6431</v>
      </c>
      <c r="Y1607" s="23">
        <v>20130</v>
      </c>
      <c r="Z1607" s="23">
        <v>68</v>
      </c>
      <c r="AB1607" s="23" t="s">
        <v>8350</v>
      </c>
      <c r="AC1607" s="23" t="s">
        <v>8251</v>
      </c>
      <c r="AD1607" s="23">
        <v>0</v>
      </c>
      <c r="AE1607" s="23">
        <v>2</v>
      </c>
      <c r="AF1607" s="23" t="s">
        <v>5478</v>
      </c>
      <c r="AG1607" s="23" t="s">
        <v>666</v>
      </c>
      <c r="AH1607" s="39">
        <v>44739</v>
      </c>
      <c r="AJ1607" s="75" t="s">
        <v>8729</v>
      </c>
      <c r="AK1607" s="53">
        <v>44740</v>
      </c>
    </row>
    <row r="1608" spans="1:37">
      <c r="A1608" s="75" t="s">
        <v>8351</v>
      </c>
      <c r="B1608" s="23" t="s">
        <v>8352</v>
      </c>
      <c r="C1608" s="140">
        <v>44733</v>
      </c>
      <c r="F1608" s="23" t="s">
        <v>7082</v>
      </c>
      <c r="G1608" s="23" t="s">
        <v>1724</v>
      </c>
      <c r="W1608" s="23" t="s">
        <v>6732</v>
      </c>
      <c r="Y1608" s="23">
        <v>22410</v>
      </c>
      <c r="Z1608" s="23">
        <v>68</v>
      </c>
      <c r="AB1608" s="23" t="s">
        <v>8353</v>
      </c>
      <c r="AC1608" s="23" t="s">
        <v>8354</v>
      </c>
      <c r="AF1608" s="23" t="s">
        <v>5478</v>
      </c>
      <c r="AG1608" s="23" t="s">
        <v>637</v>
      </c>
      <c r="AH1608" s="39">
        <v>44739</v>
      </c>
    </row>
    <row r="1609" spans="1:37">
      <c r="A1609" s="75" t="s">
        <v>8355</v>
      </c>
      <c r="B1609" s="23" t="s">
        <v>8356</v>
      </c>
      <c r="C1609" s="140">
        <v>44733</v>
      </c>
      <c r="D1609" s="23" t="s">
        <v>729</v>
      </c>
      <c r="E1609" s="23" t="s">
        <v>752</v>
      </c>
      <c r="F1609" s="23" t="s">
        <v>4899</v>
      </c>
      <c r="G1609" s="23" t="s">
        <v>1724</v>
      </c>
      <c r="P1609" s="23" t="s">
        <v>8348</v>
      </c>
      <c r="Q1609" s="141" t="s">
        <v>8349</v>
      </c>
      <c r="T1609" s="23" t="s">
        <v>12031</v>
      </c>
      <c r="U1609" s="23" t="s">
        <v>12031</v>
      </c>
      <c r="V1609" s="23" t="s">
        <v>298</v>
      </c>
      <c r="W1609" s="23" t="s">
        <v>7446</v>
      </c>
      <c r="Y1609" s="23">
        <v>16000</v>
      </c>
      <c r="Z1609" s="23">
        <v>68</v>
      </c>
      <c r="AB1609" s="23" t="s">
        <v>8357</v>
      </c>
      <c r="AC1609" s="23" t="s">
        <v>7016</v>
      </c>
      <c r="AD1609" s="23">
        <v>0</v>
      </c>
      <c r="AE1609" s="23">
        <v>2</v>
      </c>
      <c r="AF1609" s="23" t="s">
        <v>5478</v>
      </c>
      <c r="AG1609" s="23" t="s">
        <v>666</v>
      </c>
      <c r="AH1609" s="39">
        <v>44739</v>
      </c>
      <c r="AJ1609" s="75" t="s">
        <v>8730</v>
      </c>
      <c r="AK1609" s="53">
        <v>44740</v>
      </c>
    </row>
    <row r="1610" spans="1:37">
      <c r="A1610" s="75" t="s">
        <v>8358</v>
      </c>
      <c r="B1610" s="23" t="s">
        <v>8359</v>
      </c>
      <c r="C1610" s="140">
        <v>44733</v>
      </c>
      <c r="F1610" s="23" t="s">
        <v>4899</v>
      </c>
      <c r="G1610" s="23" t="s">
        <v>1724</v>
      </c>
      <c r="W1610" s="23" t="s">
        <v>7446</v>
      </c>
      <c r="Y1610" s="23">
        <v>16000</v>
      </c>
      <c r="Z1610" s="23">
        <v>68</v>
      </c>
      <c r="AB1610" s="23" t="s">
        <v>8360</v>
      </c>
      <c r="AC1610" s="23" t="s">
        <v>7016</v>
      </c>
      <c r="AF1610" s="23" t="s">
        <v>5478</v>
      </c>
      <c r="AG1610" s="23" t="s">
        <v>666</v>
      </c>
      <c r="AH1610" s="39">
        <v>44739</v>
      </c>
    </row>
    <row r="1611" spans="1:37">
      <c r="A1611" s="75" t="s">
        <v>8361</v>
      </c>
      <c r="B1611" s="23" t="s">
        <v>8362</v>
      </c>
      <c r="C1611" s="140">
        <v>44733</v>
      </c>
      <c r="D1611" s="23" t="s">
        <v>729</v>
      </c>
      <c r="E1611" s="23" t="s">
        <v>752</v>
      </c>
      <c r="F1611" s="23" t="s">
        <v>4899</v>
      </c>
      <c r="G1611" s="23" t="s">
        <v>1724</v>
      </c>
      <c r="P1611" s="23" t="s">
        <v>8348</v>
      </c>
      <c r="Q1611" s="141" t="s">
        <v>8349</v>
      </c>
      <c r="T1611" s="23" t="s">
        <v>12031</v>
      </c>
      <c r="U1611" s="23" t="s">
        <v>12031</v>
      </c>
      <c r="V1611" s="23" t="s">
        <v>298</v>
      </c>
      <c r="W1611" s="23" t="s">
        <v>2280</v>
      </c>
      <c r="Y1611" s="23">
        <v>8050</v>
      </c>
      <c r="Z1611" s="23">
        <v>68</v>
      </c>
      <c r="AB1611" s="23" t="s">
        <v>8363</v>
      </c>
      <c r="AC1611" s="23" t="s">
        <v>8364</v>
      </c>
      <c r="AD1611" s="23">
        <v>0</v>
      </c>
      <c r="AE1611" s="23">
        <v>2</v>
      </c>
      <c r="AF1611" s="23" t="s">
        <v>5478</v>
      </c>
      <c r="AG1611" s="23" t="s">
        <v>1585</v>
      </c>
      <c r="AH1611" s="39">
        <v>44739</v>
      </c>
      <c r="AJ1611" s="75" t="s">
        <v>8731</v>
      </c>
      <c r="AK1611" s="53">
        <v>44740</v>
      </c>
    </row>
    <row r="1612" spans="1:37">
      <c r="A1612" s="75" t="s">
        <v>8365</v>
      </c>
      <c r="B1612" s="23" t="s">
        <v>8366</v>
      </c>
      <c r="C1612" s="140">
        <v>44733</v>
      </c>
      <c r="F1612" s="23" t="s">
        <v>4899</v>
      </c>
      <c r="G1612" s="23" t="s">
        <v>1724</v>
      </c>
      <c r="W1612" s="23" t="s">
        <v>7446</v>
      </c>
      <c r="Y1612" s="23">
        <v>12500</v>
      </c>
      <c r="Z1612" s="23">
        <v>68</v>
      </c>
      <c r="AB1612" s="23" t="s">
        <v>8367</v>
      </c>
      <c r="AC1612" s="23" t="s">
        <v>7016</v>
      </c>
      <c r="AF1612" s="23" t="s">
        <v>5478</v>
      </c>
      <c r="AG1612" s="23" t="s">
        <v>6573</v>
      </c>
      <c r="AH1612" s="39">
        <v>44739</v>
      </c>
    </row>
    <row r="1613" spans="1:37">
      <c r="A1613" s="75" t="s">
        <v>8368</v>
      </c>
      <c r="B1613" s="27" t="s">
        <v>8371</v>
      </c>
      <c r="C1613" s="140">
        <v>44735</v>
      </c>
      <c r="D1613" s="23" t="s">
        <v>729</v>
      </c>
      <c r="E1613" s="23" t="s">
        <v>2919</v>
      </c>
      <c r="F1613" s="23" t="s">
        <v>4899</v>
      </c>
      <c r="G1613" s="23" t="s">
        <v>1724</v>
      </c>
      <c r="Q1613" s="141" t="s">
        <v>8369</v>
      </c>
      <c r="T1613" s="23" t="s">
        <v>3715</v>
      </c>
      <c r="U1613" s="23" t="s">
        <v>3715</v>
      </c>
      <c r="V1613" s="23" t="s">
        <v>298</v>
      </c>
      <c r="W1613" s="23" t="s">
        <v>2280</v>
      </c>
      <c r="Y1613" s="38">
        <v>8040</v>
      </c>
      <c r="Z1613" s="23">
        <v>68</v>
      </c>
      <c r="AB1613" s="23" t="s">
        <v>8370</v>
      </c>
      <c r="AC1613" s="23" t="s">
        <v>573</v>
      </c>
      <c r="AD1613" s="23">
        <v>0</v>
      </c>
      <c r="AE1613" s="23">
        <v>1</v>
      </c>
      <c r="AF1613" s="23" t="s">
        <v>5478</v>
      </c>
      <c r="AG1613" s="23" t="s">
        <v>666</v>
      </c>
      <c r="AH1613" s="39">
        <v>44739</v>
      </c>
      <c r="AJ1613" s="75" t="s">
        <v>8732</v>
      </c>
      <c r="AK1613" s="53">
        <v>44740</v>
      </c>
    </row>
    <row r="1614" spans="1:37" ht="48">
      <c r="A1614" s="75" t="s">
        <v>8372</v>
      </c>
      <c r="B1614" s="23" t="s">
        <v>8373</v>
      </c>
      <c r="C1614" s="140">
        <v>44732</v>
      </c>
      <c r="D1614" s="23" t="s">
        <v>729</v>
      </c>
      <c r="E1614" s="23" t="s">
        <v>752</v>
      </c>
      <c r="F1614" s="23" t="s">
        <v>3456</v>
      </c>
      <c r="G1614" s="23" t="s">
        <v>1989</v>
      </c>
      <c r="H1614" s="23" t="s">
        <v>8375</v>
      </c>
      <c r="I1614" s="23" t="s">
        <v>8375</v>
      </c>
      <c r="J1614" s="140">
        <v>44701</v>
      </c>
      <c r="T1614" s="23" t="s">
        <v>12031</v>
      </c>
      <c r="U1614" s="23" t="s">
        <v>12031</v>
      </c>
      <c r="V1614" s="23" t="s">
        <v>299</v>
      </c>
      <c r="W1614" s="23" t="s">
        <v>8374</v>
      </c>
      <c r="AB1614" s="19" t="s">
        <v>8376</v>
      </c>
      <c r="AC1614" s="23">
        <v>6</v>
      </c>
      <c r="AD1614" s="23">
        <v>0</v>
      </c>
      <c r="AE1614" s="23">
        <v>3</v>
      </c>
      <c r="AF1614" s="23" t="s">
        <v>5478</v>
      </c>
      <c r="AG1614" s="23" t="s">
        <v>3856</v>
      </c>
      <c r="AH1614" s="39">
        <v>44741</v>
      </c>
      <c r="AI1614" s="53" t="s">
        <v>3857</v>
      </c>
      <c r="AJ1614" s="75" t="s">
        <v>10350</v>
      </c>
      <c r="AK1614" s="53">
        <v>44742</v>
      </c>
    </row>
    <row r="1615" spans="1:37" ht="96">
      <c r="A1615" s="75" t="s">
        <v>8382</v>
      </c>
      <c r="B1615" s="23" t="s">
        <v>8383</v>
      </c>
      <c r="C1615" s="140">
        <v>44735</v>
      </c>
      <c r="D1615" s="23" t="s">
        <v>729</v>
      </c>
      <c r="E1615" s="23" t="s">
        <v>752</v>
      </c>
      <c r="F1615" s="23" t="s">
        <v>8377</v>
      </c>
      <c r="G1615" s="23" t="s">
        <v>5538</v>
      </c>
      <c r="H1615" s="23" t="s">
        <v>8384</v>
      </c>
      <c r="I1615" s="23" t="s">
        <v>8384</v>
      </c>
      <c r="J1615" s="140">
        <v>44734</v>
      </c>
      <c r="T1615" s="23" t="s">
        <v>12031</v>
      </c>
      <c r="U1615" s="23" t="s">
        <v>12031</v>
      </c>
      <c r="V1615" s="23" t="s">
        <v>299</v>
      </c>
      <c r="W1615" s="23" t="s">
        <v>8385</v>
      </c>
      <c r="AB1615" s="19" t="s">
        <v>8606</v>
      </c>
      <c r="AC1615" s="23">
        <v>12</v>
      </c>
      <c r="AD1615" s="23">
        <v>0</v>
      </c>
      <c r="AE1615" s="23">
        <v>6</v>
      </c>
      <c r="AF1615" s="23" t="s">
        <v>5478</v>
      </c>
      <c r="AG1615" s="23" t="s">
        <v>8386</v>
      </c>
      <c r="AH1615" s="39">
        <v>44741</v>
      </c>
      <c r="AI1615" s="53" t="s">
        <v>8387</v>
      </c>
      <c r="AJ1615" s="75" t="s">
        <v>8763</v>
      </c>
      <c r="AK1615" s="53">
        <v>44744</v>
      </c>
    </row>
    <row r="1616" spans="1:37" ht="32">
      <c r="A1616" s="75" t="s">
        <v>8388</v>
      </c>
      <c r="B1616" s="23" t="s">
        <v>8389</v>
      </c>
      <c r="C1616" s="140">
        <v>44734</v>
      </c>
      <c r="D1616" s="23" t="s">
        <v>729</v>
      </c>
      <c r="E1616" s="23" t="s">
        <v>752</v>
      </c>
      <c r="F1616" s="23" t="s">
        <v>6113</v>
      </c>
      <c r="G1616" s="23" t="s">
        <v>5538</v>
      </c>
      <c r="H1616" s="23" t="s">
        <v>8390</v>
      </c>
      <c r="I1616" s="23" t="s">
        <v>8390</v>
      </c>
      <c r="J1616" s="140">
        <v>44672</v>
      </c>
      <c r="T1616" s="23" t="s">
        <v>12031</v>
      </c>
      <c r="U1616" s="23" t="s">
        <v>12031</v>
      </c>
      <c r="V1616" s="23" t="s">
        <v>299</v>
      </c>
      <c r="W1616" s="23" t="s">
        <v>8391</v>
      </c>
      <c r="AB1616" s="60" t="s">
        <v>8392</v>
      </c>
      <c r="AC1616" s="23">
        <v>6</v>
      </c>
      <c r="AD1616" s="23">
        <v>0</v>
      </c>
      <c r="AE1616" s="23">
        <v>2</v>
      </c>
      <c r="AF1616" s="23" t="s">
        <v>5478</v>
      </c>
      <c r="AG1616" s="23" t="s">
        <v>5879</v>
      </c>
      <c r="AH1616" s="39">
        <v>44741</v>
      </c>
      <c r="AI1616" s="53" t="s">
        <v>5027</v>
      </c>
      <c r="AJ1616" s="75" t="s">
        <v>8764</v>
      </c>
      <c r="AK1616" s="53">
        <v>44744</v>
      </c>
    </row>
    <row r="1617" spans="1:37">
      <c r="A1617" s="75" t="s">
        <v>8393</v>
      </c>
      <c r="B1617" s="23" t="s">
        <v>8397</v>
      </c>
      <c r="C1617" s="140">
        <v>44736</v>
      </c>
      <c r="D1617" s="23" t="s">
        <v>729</v>
      </c>
      <c r="E1617" s="23" t="s">
        <v>752</v>
      </c>
      <c r="F1617" s="23" t="s">
        <v>4899</v>
      </c>
      <c r="G1617" s="23" t="s">
        <v>1724</v>
      </c>
      <c r="P1617" s="23" t="s">
        <v>8398</v>
      </c>
      <c r="Q1617" s="141" t="s">
        <v>8399</v>
      </c>
      <c r="T1617" s="23" t="s">
        <v>12031</v>
      </c>
      <c r="U1617" s="23" t="s">
        <v>12031</v>
      </c>
      <c r="V1617" s="23" t="s">
        <v>298</v>
      </c>
      <c r="W1617" s="23" t="s">
        <v>6457</v>
      </c>
      <c r="Y1617" s="23">
        <v>21264</v>
      </c>
      <c r="Z1617" s="23">
        <v>68</v>
      </c>
      <c r="AB1617" s="23" t="s">
        <v>8400</v>
      </c>
      <c r="AC1617" s="23" t="s">
        <v>8401</v>
      </c>
      <c r="AD1617" s="23">
        <v>0</v>
      </c>
      <c r="AE1617" s="23">
        <v>3</v>
      </c>
      <c r="AF1617" s="23" t="s">
        <v>6434</v>
      </c>
      <c r="AG1617" s="23" t="s">
        <v>637</v>
      </c>
      <c r="AH1617" s="39">
        <v>44741</v>
      </c>
      <c r="AJ1617" s="75" t="s">
        <v>8733</v>
      </c>
      <c r="AK1617" s="53">
        <v>44743</v>
      </c>
    </row>
    <row r="1618" spans="1:37">
      <c r="A1618" s="75" t="s">
        <v>8394</v>
      </c>
      <c r="B1618" s="23" t="s">
        <v>8402</v>
      </c>
      <c r="C1618" s="140">
        <v>44738</v>
      </c>
      <c r="F1618" s="23" t="s">
        <v>4899</v>
      </c>
      <c r="G1618" s="23" t="s">
        <v>1724</v>
      </c>
      <c r="P1618" s="23" t="s">
        <v>8403</v>
      </c>
      <c r="Q1618" s="141" t="s">
        <v>8404</v>
      </c>
      <c r="W1618" s="23" t="s">
        <v>6431</v>
      </c>
      <c r="Y1618" s="23">
        <v>20500</v>
      </c>
      <c r="Z1618" s="23">
        <v>68</v>
      </c>
      <c r="AB1618" s="23" t="s">
        <v>8405</v>
      </c>
      <c r="AC1618" s="23" t="s">
        <v>8406</v>
      </c>
      <c r="AF1618" s="23" t="s">
        <v>3864</v>
      </c>
      <c r="AG1618" s="23" t="s">
        <v>7307</v>
      </c>
      <c r="AH1618" s="39">
        <v>44741</v>
      </c>
    </row>
    <row r="1619" spans="1:37">
      <c r="A1619" s="75" t="s">
        <v>8395</v>
      </c>
      <c r="B1619" s="23" t="s">
        <v>8407</v>
      </c>
      <c r="C1619" s="140">
        <v>44737</v>
      </c>
      <c r="F1619" s="23" t="s">
        <v>5765</v>
      </c>
      <c r="G1619" s="23" t="s">
        <v>1724</v>
      </c>
      <c r="P1619" s="23" t="s">
        <v>8408</v>
      </c>
      <c r="Q1619" s="141" t="s">
        <v>8404</v>
      </c>
      <c r="W1619" s="23" t="s">
        <v>6359</v>
      </c>
      <c r="Y1619" s="23">
        <v>23990</v>
      </c>
      <c r="Z1619" s="23">
        <v>68</v>
      </c>
      <c r="AB1619" s="23" t="s">
        <v>8409</v>
      </c>
      <c r="AC1619" s="23" t="s">
        <v>8410</v>
      </c>
      <c r="AF1619" s="23" t="s">
        <v>5478</v>
      </c>
      <c r="AG1619" s="23" t="s">
        <v>665</v>
      </c>
      <c r="AH1619" s="39">
        <v>44741</v>
      </c>
    </row>
    <row r="1620" spans="1:37">
      <c r="A1620" s="75" t="s">
        <v>8396</v>
      </c>
      <c r="B1620" s="23" t="s">
        <v>8411</v>
      </c>
      <c r="C1620" s="140">
        <v>44737</v>
      </c>
      <c r="D1620" s="23" t="s">
        <v>729</v>
      </c>
      <c r="E1620" s="23" t="s">
        <v>752</v>
      </c>
      <c r="F1620" s="23" t="s">
        <v>4899</v>
      </c>
      <c r="G1620" s="23" t="s">
        <v>1724</v>
      </c>
      <c r="P1620" s="23" t="s">
        <v>8408</v>
      </c>
      <c r="Q1620" s="141" t="s">
        <v>8404</v>
      </c>
      <c r="T1620" s="23" t="s">
        <v>12031</v>
      </c>
      <c r="U1620" s="23" t="s">
        <v>12031</v>
      </c>
      <c r="V1620" s="23" t="s">
        <v>298</v>
      </c>
      <c r="W1620" s="23" t="s">
        <v>7446</v>
      </c>
      <c r="Y1620" s="23">
        <v>17500</v>
      </c>
      <c r="Z1620" s="23">
        <v>68</v>
      </c>
      <c r="AB1620" s="23" t="s">
        <v>8412</v>
      </c>
      <c r="AC1620" s="23" t="s">
        <v>7253</v>
      </c>
      <c r="AD1620" s="23">
        <v>0</v>
      </c>
      <c r="AE1620" s="23">
        <v>3</v>
      </c>
      <c r="AF1620" s="23" t="s">
        <v>5478</v>
      </c>
      <c r="AG1620" s="23" t="s">
        <v>666</v>
      </c>
      <c r="AH1620" s="39">
        <v>44741</v>
      </c>
      <c r="AJ1620" s="75" t="s">
        <v>8734</v>
      </c>
      <c r="AK1620" s="53">
        <v>44743</v>
      </c>
    </row>
    <row r="1621" spans="1:37">
      <c r="A1621" s="75" t="s">
        <v>8413</v>
      </c>
      <c r="B1621" s="23" t="s">
        <v>8414</v>
      </c>
      <c r="C1621" s="140">
        <v>44737</v>
      </c>
      <c r="F1621" s="23" t="s">
        <v>4899</v>
      </c>
      <c r="G1621" s="23" t="s">
        <v>1724</v>
      </c>
      <c r="P1621" s="23" t="s">
        <v>8408</v>
      </c>
      <c r="Q1621" s="141" t="s">
        <v>8404</v>
      </c>
      <c r="W1621" s="23" t="s">
        <v>2280</v>
      </c>
      <c r="Y1621" s="23">
        <v>8050</v>
      </c>
      <c r="Z1621" s="23">
        <v>68</v>
      </c>
      <c r="AB1621" s="23" t="s">
        <v>8415</v>
      </c>
      <c r="AC1621" s="23" t="s">
        <v>7621</v>
      </c>
      <c r="AF1621" s="23" t="s">
        <v>5478</v>
      </c>
      <c r="AG1621" s="23" t="s">
        <v>1585</v>
      </c>
      <c r="AH1621" s="39">
        <v>44741</v>
      </c>
    </row>
    <row r="1622" spans="1:37">
      <c r="A1622" s="75" t="s">
        <v>8416</v>
      </c>
      <c r="B1622" s="23" t="s">
        <v>8417</v>
      </c>
      <c r="C1622" s="140">
        <v>44737</v>
      </c>
      <c r="F1622" s="23" t="s">
        <v>4899</v>
      </c>
      <c r="G1622" s="23" t="s">
        <v>1724</v>
      </c>
      <c r="P1622" s="23" t="s">
        <v>8408</v>
      </c>
      <c r="Q1622" s="141" t="s">
        <v>8404</v>
      </c>
      <c r="W1622" s="23" t="s">
        <v>7446</v>
      </c>
      <c r="Y1622" s="23">
        <v>12500</v>
      </c>
      <c r="Z1622" s="23">
        <v>68</v>
      </c>
      <c r="AB1622" s="23" t="s">
        <v>8418</v>
      </c>
      <c r="AC1622" s="23" t="s">
        <v>8419</v>
      </c>
      <c r="AF1622" s="23" t="s">
        <v>5478</v>
      </c>
      <c r="AG1622" s="23" t="s">
        <v>666</v>
      </c>
      <c r="AH1622" s="39">
        <v>44741</v>
      </c>
    </row>
    <row r="1623" spans="1:37">
      <c r="A1623" s="75" t="s">
        <v>8420</v>
      </c>
      <c r="B1623" s="23" t="s">
        <v>8421</v>
      </c>
      <c r="C1623" s="140">
        <v>44725</v>
      </c>
      <c r="D1623" s="23" t="s">
        <v>729</v>
      </c>
      <c r="E1623" s="23" t="s">
        <v>752</v>
      </c>
      <c r="F1623" s="23" t="s">
        <v>4899</v>
      </c>
      <c r="G1623" s="23" t="s">
        <v>1724</v>
      </c>
      <c r="P1623" s="23" t="s">
        <v>8422</v>
      </c>
      <c r="Q1623" s="141" t="s">
        <v>8404</v>
      </c>
      <c r="T1623" s="23" t="s">
        <v>12031</v>
      </c>
      <c r="U1623" s="23" t="s">
        <v>12031</v>
      </c>
      <c r="V1623" s="23" t="s">
        <v>298</v>
      </c>
      <c r="W1623" s="23" t="s">
        <v>8423</v>
      </c>
      <c r="Y1623" s="23">
        <v>12000</v>
      </c>
      <c r="Z1623" s="23">
        <v>51</v>
      </c>
      <c r="AB1623" s="23" t="s">
        <v>8424</v>
      </c>
      <c r="AC1623" s="23" t="s">
        <v>8425</v>
      </c>
      <c r="AD1623" s="23">
        <v>0</v>
      </c>
      <c r="AE1623" s="23">
        <v>2</v>
      </c>
      <c r="AF1623" s="23" t="s">
        <v>5478</v>
      </c>
      <c r="AG1623" s="23" t="s">
        <v>666</v>
      </c>
      <c r="AH1623" s="39">
        <v>44741</v>
      </c>
      <c r="AJ1623" s="75" t="s">
        <v>8735</v>
      </c>
      <c r="AK1623" s="53">
        <v>44743</v>
      </c>
    </row>
    <row r="1624" spans="1:37" ht="16">
      <c r="A1624" s="75" t="s">
        <v>8429</v>
      </c>
      <c r="B1624" s="23" t="s">
        <v>8426</v>
      </c>
      <c r="C1624" s="140">
        <v>44738</v>
      </c>
      <c r="F1624" s="23" t="s">
        <v>4899</v>
      </c>
      <c r="G1624" s="23" t="s">
        <v>1724</v>
      </c>
      <c r="P1624" s="23" t="s">
        <v>8403</v>
      </c>
      <c r="Q1624" s="141" t="s">
        <v>8404</v>
      </c>
      <c r="W1624" s="19" t="s">
        <v>7446</v>
      </c>
      <c r="Y1624" s="23">
        <v>12500</v>
      </c>
      <c r="Z1624" s="23">
        <v>68</v>
      </c>
      <c r="AB1624" s="23" t="s">
        <v>8427</v>
      </c>
      <c r="AC1624" s="23" t="s">
        <v>3579</v>
      </c>
      <c r="AF1624" s="23" t="s">
        <v>3864</v>
      </c>
      <c r="AG1624" s="23" t="s">
        <v>8428</v>
      </c>
      <c r="AH1624" s="39">
        <v>44741</v>
      </c>
    </row>
    <row r="1625" spans="1:37">
      <c r="A1625" s="75" t="s">
        <v>8431</v>
      </c>
      <c r="B1625" s="23" t="s">
        <v>8442</v>
      </c>
      <c r="C1625" s="140">
        <v>44737</v>
      </c>
      <c r="D1625" s="23" t="s">
        <v>729</v>
      </c>
      <c r="E1625" s="23" t="s">
        <v>752</v>
      </c>
      <c r="F1625" s="23" t="s">
        <v>4899</v>
      </c>
      <c r="G1625" s="23" t="s">
        <v>1724</v>
      </c>
      <c r="P1625" s="23" t="s">
        <v>8408</v>
      </c>
      <c r="Q1625" s="141" t="s">
        <v>8399</v>
      </c>
      <c r="T1625" s="23" t="s">
        <v>12031</v>
      </c>
      <c r="U1625" s="23" t="s">
        <v>12031</v>
      </c>
      <c r="V1625" s="23" t="s">
        <v>298</v>
      </c>
      <c r="W1625" s="23" t="s">
        <v>6457</v>
      </c>
      <c r="Y1625" s="23">
        <v>23030</v>
      </c>
      <c r="Z1625" s="23">
        <v>68</v>
      </c>
      <c r="AB1625" s="23" t="s">
        <v>8443</v>
      </c>
      <c r="AC1625" s="23" t="s">
        <v>8444</v>
      </c>
      <c r="AD1625" s="23">
        <v>0</v>
      </c>
      <c r="AE1625" s="23">
        <v>2</v>
      </c>
      <c r="AF1625" s="23" t="s">
        <v>5478</v>
      </c>
      <c r="AG1625" s="23" t="s">
        <v>637</v>
      </c>
      <c r="AH1625" s="39">
        <v>44742</v>
      </c>
      <c r="AJ1625" s="75" t="s">
        <v>8736</v>
      </c>
      <c r="AK1625" s="53">
        <v>44743</v>
      </c>
    </row>
    <row r="1626" spans="1:37">
      <c r="A1626" s="75" t="s">
        <v>8432</v>
      </c>
      <c r="B1626" s="23" t="s">
        <v>8445</v>
      </c>
      <c r="C1626" s="140">
        <v>44737</v>
      </c>
      <c r="F1626" s="23" t="s">
        <v>4899</v>
      </c>
      <c r="G1626" s="23" t="s">
        <v>1724</v>
      </c>
      <c r="P1626" s="23" t="s">
        <v>8408</v>
      </c>
      <c r="Q1626" s="141" t="s">
        <v>8399</v>
      </c>
      <c r="W1626" s="23" t="s">
        <v>6457</v>
      </c>
      <c r="Y1626" s="23">
        <v>21770</v>
      </c>
      <c r="Z1626" s="23">
        <v>68</v>
      </c>
      <c r="AB1626" s="23" t="s">
        <v>8446</v>
      </c>
      <c r="AC1626" s="23" t="s">
        <v>8447</v>
      </c>
      <c r="AF1626" s="23" t="s">
        <v>5478</v>
      </c>
      <c r="AG1626" s="23" t="s">
        <v>637</v>
      </c>
      <c r="AH1626" s="39">
        <v>44742</v>
      </c>
    </row>
    <row r="1627" spans="1:37">
      <c r="A1627" s="75" t="s">
        <v>8433</v>
      </c>
      <c r="B1627" s="23" t="s">
        <v>8435</v>
      </c>
      <c r="C1627" s="140">
        <v>44730</v>
      </c>
      <c r="D1627" s="23" t="s">
        <v>729</v>
      </c>
      <c r="E1627" s="23" t="s">
        <v>752</v>
      </c>
      <c r="F1627" s="23" t="s">
        <v>4899</v>
      </c>
      <c r="G1627" s="23" t="s">
        <v>1724</v>
      </c>
      <c r="P1627" s="23" t="s">
        <v>8436</v>
      </c>
      <c r="Q1627" s="141" t="s">
        <v>8399</v>
      </c>
      <c r="T1627" s="23" t="s">
        <v>12031</v>
      </c>
      <c r="U1627" s="23" t="s">
        <v>12031</v>
      </c>
      <c r="V1627" s="23" t="s">
        <v>298</v>
      </c>
      <c r="W1627" s="23" t="s">
        <v>7158</v>
      </c>
      <c r="Y1627" s="23">
        <v>17244</v>
      </c>
      <c r="Z1627" s="23">
        <v>45.5</v>
      </c>
      <c r="AB1627" s="23" t="s">
        <v>8437</v>
      </c>
      <c r="AC1627" s="23" t="s">
        <v>8438</v>
      </c>
      <c r="AD1627" s="23">
        <v>0</v>
      </c>
      <c r="AE1627" s="23">
        <v>2</v>
      </c>
      <c r="AF1627" s="23" t="s">
        <v>5478</v>
      </c>
      <c r="AG1627" s="23" t="s">
        <v>7161</v>
      </c>
      <c r="AH1627" s="39">
        <v>44743</v>
      </c>
      <c r="AJ1627" s="75" t="s">
        <v>8737</v>
      </c>
      <c r="AK1627" s="53">
        <v>44744</v>
      </c>
    </row>
    <row r="1628" spans="1:37">
      <c r="A1628" s="75" t="s">
        <v>8434</v>
      </c>
      <c r="B1628" s="23" t="s">
        <v>8439</v>
      </c>
      <c r="C1628" s="140">
        <v>44730</v>
      </c>
      <c r="F1628" s="23" t="s">
        <v>5765</v>
      </c>
      <c r="G1628" s="23" t="s">
        <v>1724</v>
      </c>
      <c r="P1628" s="23" t="s">
        <v>8436</v>
      </c>
      <c r="Q1628" s="141" t="s">
        <v>8399</v>
      </c>
      <c r="W1628" s="23" t="s">
        <v>4803</v>
      </c>
      <c r="Y1628" s="23">
        <v>13641.02</v>
      </c>
      <c r="Z1628" s="23">
        <v>50</v>
      </c>
      <c r="AB1628" s="23" t="s">
        <v>8441</v>
      </c>
      <c r="AC1628" s="23" t="s">
        <v>8440</v>
      </c>
      <c r="AF1628" s="23" t="s">
        <v>5478</v>
      </c>
      <c r="AG1628" s="23" t="s">
        <v>5518</v>
      </c>
      <c r="AH1628" s="39">
        <v>44743</v>
      </c>
    </row>
    <row r="1629" spans="1:37" ht="96">
      <c r="A1629" s="75" t="s">
        <v>8448</v>
      </c>
      <c r="B1629" s="23" t="s">
        <v>8450</v>
      </c>
      <c r="C1629" s="140">
        <v>44732</v>
      </c>
      <c r="D1629" s="23" t="s">
        <v>729</v>
      </c>
      <c r="E1629" s="23" t="s">
        <v>752</v>
      </c>
      <c r="F1629" s="23" t="s">
        <v>2200</v>
      </c>
      <c r="G1629" s="23" t="s">
        <v>301</v>
      </c>
      <c r="H1629" s="23">
        <v>20409959</v>
      </c>
      <c r="I1629" s="23">
        <v>20409959</v>
      </c>
      <c r="J1629" s="140">
        <v>44726</v>
      </c>
      <c r="K1629" s="23" t="s">
        <v>8472</v>
      </c>
      <c r="L1629" s="140">
        <v>44734</v>
      </c>
      <c r="S1629" s="23" t="s">
        <v>300</v>
      </c>
      <c r="T1629" s="23" t="s">
        <v>305</v>
      </c>
      <c r="U1629" s="23" t="s">
        <v>305</v>
      </c>
      <c r="V1629" s="23" t="s">
        <v>299</v>
      </c>
      <c r="W1629" s="23" t="s">
        <v>5900</v>
      </c>
      <c r="X1629" s="23">
        <v>23724</v>
      </c>
      <c r="Y1629" s="23">
        <v>23724</v>
      </c>
      <c r="Z1629" s="23">
        <v>216000</v>
      </c>
      <c r="AB1629" s="19" t="s">
        <v>8451</v>
      </c>
      <c r="AC1629" s="59">
        <v>18</v>
      </c>
      <c r="AD1629" s="23">
        <v>0</v>
      </c>
      <c r="AE1629" s="23">
        <v>6</v>
      </c>
      <c r="AF1629" s="23" t="s">
        <v>3864</v>
      </c>
      <c r="AG1629" s="23" t="s">
        <v>1553</v>
      </c>
      <c r="AH1629" s="39">
        <v>44746</v>
      </c>
      <c r="AI1629" s="53" t="s">
        <v>5851</v>
      </c>
      <c r="AJ1629" s="75" t="s">
        <v>8765</v>
      </c>
      <c r="AK1629" s="53">
        <v>44747</v>
      </c>
    </row>
    <row r="1630" spans="1:37" ht="64">
      <c r="A1630" s="75" t="s">
        <v>8449</v>
      </c>
      <c r="B1630" s="23" t="s">
        <v>8452</v>
      </c>
      <c r="C1630" s="140">
        <v>44732</v>
      </c>
      <c r="D1630" s="23" t="s">
        <v>729</v>
      </c>
      <c r="E1630" s="23" t="s">
        <v>752</v>
      </c>
      <c r="F1630" s="23" t="s">
        <v>2200</v>
      </c>
      <c r="G1630" s="23" t="s">
        <v>301</v>
      </c>
      <c r="H1630" s="23" t="s">
        <v>8453</v>
      </c>
      <c r="I1630" s="23" t="s">
        <v>8453</v>
      </c>
      <c r="J1630" s="140">
        <v>44726</v>
      </c>
      <c r="K1630" s="23" t="s">
        <v>8473</v>
      </c>
      <c r="L1630" s="140">
        <v>44734</v>
      </c>
      <c r="S1630" s="23" t="s">
        <v>300</v>
      </c>
      <c r="T1630" s="23" t="s">
        <v>305</v>
      </c>
      <c r="U1630" s="23" t="s">
        <v>305</v>
      </c>
      <c r="V1630" s="23" t="s">
        <v>299</v>
      </c>
      <c r="W1630" s="19" t="s">
        <v>8454</v>
      </c>
      <c r="X1630" s="23">
        <v>16016</v>
      </c>
      <c r="Y1630" s="23">
        <v>16016</v>
      </c>
      <c r="Z1630" s="23">
        <v>147000</v>
      </c>
      <c r="AB1630" s="19" t="s">
        <v>8455</v>
      </c>
      <c r="AC1630" s="59">
        <v>11</v>
      </c>
      <c r="AD1630" s="23">
        <v>0</v>
      </c>
      <c r="AE1630" s="23">
        <v>4</v>
      </c>
      <c r="AF1630" s="23" t="s">
        <v>3864</v>
      </c>
      <c r="AG1630" s="23" t="s">
        <v>1553</v>
      </c>
      <c r="AH1630" s="39">
        <v>44746</v>
      </c>
      <c r="AI1630" s="53" t="s">
        <v>5851</v>
      </c>
      <c r="AJ1630" s="75" t="s">
        <v>8766</v>
      </c>
      <c r="AK1630" s="53">
        <v>44747</v>
      </c>
    </row>
    <row r="1631" spans="1:37" ht="16">
      <c r="A1631" s="75" t="s">
        <v>8456</v>
      </c>
      <c r="B1631" s="23" t="s">
        <v>8458</v>
      </c>
      <c r="C1631" s="140">
        <v>44723</v>
      </c>
      <c r="D1631" s="23" t="s">
        <v>729</v>
      </c>
      <c r="E1631" s="23" t="s">
        <v>752</v>
      </c>
      <c r="F1631" s="23" t="s">
        <v>2200</v>
      </c>
      <c r="G1631" s="23" t="s">
        <v>301</v>
      </c>
      <c r="H1631" s="23">
        <v>55010028</v>
      </c>
      <c r="I1631" s="23">
        <v>55010028</v>
      </c>
      <c r="J1631" s="140">
        <v>44707</v>
      </c>
      <c r="K1631" s="23" t="s">
        <v>8474</v>
      </c>
      <c r="L1631" s="140">
        <v>44729</v>
      </c>
      <c r="P1631" s="23" t="s">
        <v>8459</v>
      </c>
      <c r="Q1631" s="141" t="s">
        <v>8460</v>
      </c>
      <c r="S1631" s="23" t="s">
        <v>3140</v>
      </c>
      <c r="T1631" s="23" t="s">
        <v>305</v>
      </c>
      <c r="U1631" s="23" t="s">
        <v>305</v>
      </c>
      <c r="V1631" s="23" t="s">
        <v>298</v>
      </c>
      <c r="W1631" s="19" t="s">
        <v>3141</v>
      </c>
      <c r="Y1631" s="37">
        <v>7320</v>
      </c>
      <c r="Z1631" s="23">
        <v>63.9</v>
      </c>
      <c r="AB1631" s="23" t="s">
        <v>8461</v>
      </c>
      <c r="AC1631" s="23" t="s">
        <v>8462</v>
      </c>
      <c r="AD1631" s="23">
        <v>0</v>
      </c>
      <c r="AE1631" s="23">
        <v>1</v>
      </c>
      <c r="AF1631" s="23" t="s">
        <v>5478</v>
      </c>
      <c r="AG1631" s="23" t="s">
        <v>5602</v>
      </c>
      <c r="AH1631" s="39">
        <v>44746</v>
      </c>
      <c r="AJ1631" s="75" t="s">
        <v>8738</v>
      </c>
      <c r="AK1631" s="53">
        <v>44751</v>
      </c>
    </row>
    <row r="1632" spans="1:37" ht="16">
      <c r="A1632" s="75" t="s">
        <v>8457</v>
      </c>
      <c r="B1632" s="23" t="s">
        <v>8463</v>
      </c>
      <c r="C1632" s="140">
        <v>44723</v>
      </c>
      <c r="D1632" s="23" t="s">
        <v>729</v>
      </c>
      <c r="E1632" s="23" t="s">
        <v>752</v>
      </c>
      <c r="F1632" s="23" t="s">
        <v>2200</v>
      </c>
      <c r="G1632" s="23" t="s">
        <v>301</v>
      </c>
      <c r="H1632" s="23">
        <v>55010056</v>
      </c>
      <c r="I1632" s="23">
        <v>55010056</v>
      </c>
      <c r="J1632" s="140">
        <v>44708</v>
      </c>
      <c r="K1632" s="23" t="s">
        <v>8475</v>
      </c>
      <c r="L1632" s="140">
        <v>44729</v>
      </c>
      <c r="P1632" s="23" t="s">
        <v>8459</v>
      </c>
      <c r="Q1632" s="141" t="s">
        <v>8460</v>
      </c>
      <c r="S1632" s="23" t="s">
        <v>3140</v>
      </c>
      <c r="T1632" s="23" t="s">
        <v>305</v>
      </c>
      <c r="U1632" s="23" t="s">
        <v>305</v>
      </c>
      <c r="V1632" s="23" t="s">
        <v>298</v>
      </c>
      <c r="W1632" s="19" t="s">
        <v>3141</v>
      </c>
      <c r="Y1632" s="38">
        <v>7341</v>
      </c>
      <c r="Z1632" s="23">
        <v>63.9</v>
      </c>
      <c r="AB1632" s="23" t="s">
        <v>8562</v>
      </c>
      <c r="AC1632" s="23" t="s">
        <v>8462</v>
      </c>
      <c r="AD1632" s="23">
        <v>0</v>
      </c>
      <c r="AE1632" s="23">
        <v>1</v>
      </c>
      <c r="AF1632" s="23" t="s">
        <v>5478</v>
      </c>
      <c r="AG1632" s="23" t="s">
        <v>5602</v>
      </c>
      <c r="AH1632" s="39">
        <v>44746</v>
      </c>
      <c r="AJ1632" s="75" t="s">
        <v>8739</v>
      </c>
      <c r="AK1632" s="53">
        <v>44751</v>
      </c>
    </row>
    <row r="1633" spans="1:37">
      <c r="A1633" s="75" t="s">
        <v>8464</v>
      </c>
      <c r="B1633" s="23" t="s">
        <v>8465</v>
      </c>
      <c r="C1633" s="140">
        <v>44742</v>
      </c>
      <c r="D1633" s="23" t="s">
        <v>729</v>
      </c>
      <c r="E1633" s="23" t="s">
        <v>752</v>
      </c>
      <c r="F1633" s="23" t="s">
        <v>4899</v>
      </c>
      <c r="G1633" s="23" t="s">
        <v>1724</v>
      </c>
      <c r="P1633" s="23" t="s">
        <v>8466</v>
      </c>
      <c r="Q1633" s="141" t="s">
        <v>8467</v>
      </c>
      <c r="T1633" s="23" t="s">
        <v>12031</v>
      </c>
      <c r="U1633" s="23" t="s">
        <v>12031</v>
      </c>
      <c r="V1633" s="23" t="s">
        <v>298</v>
      </c>
      <c r="W1633" s="23" t="s">
        <v>7446</v>
      </c>
      <c r="Y1633" s="38">
        <v>17500</v>
      </c>
      <c r="Z1633" s="23">
        <v>68</v>
      </c>
      <c r="AB1633" s="23" t="s">
        <v>8468</v>
      </c>
      <c r="AC1633" s="23" t="s">
        <v>6877</v>
      </c>
      <c r="AD1633" s="23">
        <v>0</v>
      </c>
      <c r="AE1633" s="23">
        <v>2</v>
      </c>
      <c r="AF1633" s="23" t="s">
        <v>6434</v>
      </c>
      <c r="AG1633" s="23" t="s">
        <v>666</v>
      </c>
      <c r="AH1633" s="39">
        <v>44746</v>
      </c>
      <c r="AJ1633" s="75" t="s">
        <v>8658</v>
      </c>
      <c r="AK1633" s="53">
        <v>44747</v>
      </c>
    </row>
    <row r="1634" spans="1:37">
      <c r="A1634" s="75" t="s">
        <v>8469</v>
      </c>
      <c r="B1634" s="23" t="s">
        <v>8470</v>
      </c>
      <c r="C1634" s="140">
        <v>44742</v>
      </c>
      <c r="F1634" s="23" t="s">
        <v>4899</v>
      </c>
      <c r="G1634" s="23" t="s">
        <v>1724</v>
      </c>
      <c r="W1634" s="23" t="s">
        <v>7446</v>
      </c>
      <c r="Y1634" s="38">
        <v>17500</v>
      </c>
      <c r="Z1634" s="23">
        <v>68</v>
      </c>
      <c r="AB1634" s="23" t="s">
        <v>8471</v>
      </c>
      <c r="AC1634" s="23" t="s">
        <v>6877</v>
      </c>
      <c r="AF1634" s="23" t="s">
        <v>6434</v>
      </c>
      <c r="AG1634" s="23" t="s">
        <v>666</v>
      </c>
      <c r="AH1634" s="39">
        <v>44746</v>
      </c>
    </row>
    <row r="1635" spans="1:37">
      <c r="A1635" s="75" t="s">
        <v>8476</v>
      </c>
      <c r="B1635" s="23" t="s">
        <v>8478</v>
      </c>
      <c r="C1635" s="140">
        <v>44742</v>
      </c>
      <c r="D1635" s="23" t="s">
        <v>729</v>
      </c>
      <c r="E1635" s="23" t="s">
        <v>752</v>
      </c>
      <c r="F1635" s="23" t="s">
        <v>4899</v>
      </c>
      <c r="G1635" s="23" t="s">
        <v>1724</v>
      </c>
      <c r="P1635" s="23" t="s">
        <v>8466</v>
      </c>
      <c r="Q1635" s="141" t="s">
        <v>8467</v>
      </c>
      <c r="T1635" s="23" t="s">
        <v>12031</v>
      </c>
      <c r="U1635" s="23" t="s">
        <v>12031</v>
      </c>
      <c r="V1635" s="23" t="s">
        <v>298</v>
      </c>
      <c r="W1635" s="23" t="s">
        <v>6431</v>
      </c>
      <c r="Y1635" s="38">
        <v>17226</v>
      </c>
      <c r="Z1635" s="23">
        <v>68</v>
      </c>
      <c r="AB1635" s="23" t="s">
        <v>8479</v>
      </c>
      <c r="AC1635" s="23" t="s">
        <v>8480</v>
      </c>
      <c r="AD1635" s="23">
        <v>0</v>
      </c>
      <c r="AE1635" s="23">
        <v>2</v>
      </c>
      <c r="AF1635" s="23" t="s">
        <v>6434</v>
      </c>
      <c r="AG1635" s="23" t="s">
        <v>8244</v>
      </c>
      <c r="AH1635" s="39">
        <v>44747</v>
      </c>
      <c r="AJ1635" s="75" t="s">
        <v>8740</v>
      </c>
      <c r="AK1635" s="53">
        <v>44748</v>
      </c>
    </row>
    <row r="1636" spans="1:37">
      <c r="A1636" s="75" t="s">
        <v>8477</v>
      </c>
      <c r="B1636" s="23" t="s">
        <v>8481</v>
      </c>
      <c r="C1636" s="140">
        <v>44742</v>
      </c>
      <c r="F1636" s="23" t="s">
        <v>7082</v>
      </c>
      <c r="G1636" s="23" t="s">
        <v>1724</v>
      </c>
      <c r="W1636" s="23" t="s">
        <v>6732</v>
      </c>
      <c r="Y1636" s="38">
        <v>22406</v>
      </c>
      <c r="Z1636" s="23">
        <v>68</v>
      </c>
      <c r="AB1636" s="23" t="s">
        <v>8482</v>
      </c>
      <c r="AC1636" s="23" t="s">
        <v>8483</v>
      </c>
      <c r="AF1636" s="23" t="s">
        <v>6434</v>
      </c>
      <c r="AG1636" s="23" t="s">
        <v>637</v>
      </c>
      <c r="AH1636" s="39">
        <v>44747</v>
      </c>
    </row>
    <row r="1637" spans="1:37">
      <c r="A1637" s="75" t="s">
        <v>8484</v>
      </c>
      <c r="B1637" s="23" t="s">
        <v>8489</v>
      </c>
      <c r="C1637" s="140">
        <v>44739</v>
      </c>
      <c r="D1637" s="23" t="s">
        <v>729</v>
      </c>
      <c r="E1637" s="23" t="s">
        <v>3773</v>
      </c>
      <c r="F1637" s="23" t="s">
        <v>4674</v>
      </c>
      <c r="G1637" s="23" t="s">
        <v>3469</v>
      </c>
      <c r="H1637" s="23" t="s">
        <v>8490</v>
      </c>
      <c r="I1637" s="23" t="s">
        <v>8490</v>
      </c>
      <c r="J1637" s="140">
        <v>44725</v>
      </c>
      <c r="T1637" s="23" t="s">
        <v>12031</v>
      </c>
      <c r="U1637" s="23" t="s">
        <v>12031</v>
      </c>
      <c r="V1637" s="23" t="s">
        <v>299</v>
      </c>
      <c r="W1637" s="23" t="s">
        <v>8491</v>
      </c>
      <c r="AB1637" s="23" t="s">
        <v>8561</v>
      </c>
      <c r="AC1637" s="23">
        <v>4</v>
      </c>
      <c r="AD1637" s="23">
        <v>0</v>
      </c>
      <c r="AE1637" s="23">
        <v>0</v>
      </c>
      <c r="AF1637" s="23" t="s">
        <v>8561</v>
      </c>
      <c r="AG1637" s="23" t="s">
        <v>5716</v>
      </c>
      <c r="AH1637" s="39">
        <v>44747</v>
      </c>
      <c r="AI1637" s="53" t="s">
        <v>5706</v>
      </c>
      <c r="AJ1637" s="75" t="s">
        <v>8741</v>
      </c>
      <c r="AK1637" s="53">
        <v>44754</v>
      </c>
    </row>
    <row r="1638" spans="1:37">
      <c r="A1638" s="134" t="s">
        <v>8485</v>
      </c>
      <c r="B1638" s="59" t="s">
        <v>8492</v>
      </c>
      <c r="C1638" s="140">
        <v>44739</v>
      </c>
      <c r="D1638" s="23" t="s">
        <v>729</v>
      </c>
      <c r="E1638" s="23" t="s">
        <v>3773</v>
      </c>
      <c r="F1638" s="23" t="s">
        <v>8493</v>
      </c>
      <c r="G1638" s="23" t="s">
        <v>3469</v>
      </c>
      <c r="H1638" s="23" t="s">
        <v>8494</v>
      </c>
      <c r="I1638" s="23" t="s">
        <v>8494</v>
      </c>
      <c r="J1638" s="140">
        <v>44721</v>
      </c>
      <c r="T1638" s="23" t="s">
        <v>12031</v>
      </c>
      <c r="U1638" s="23" t="s">
        <v>12031</v>
      </c>
      <c r="V1638" s="23" t="s">
        <v>299</v>
      </c>
      <c r="W1638" s="23" t="s">
        <v>8498</v>
      </c>
      <c r="AB1638" s="23" t="s">
        <v>8561</v>
      </c>
      <c r="AC1638" s="23">
        <v>15</v>
      </c>
      <c r="AD1638" s="23">
        <v>0</v>
      </c>
      <c r="AE1638" s="23">
        <v>0</v>
      </c>
      <c r="AF1638" s="23" t="s">
        <v>8561</v>
      </c>
      <c r="AG1638" s="23" t="s">
        <v>6034</v>
      </c>
      <c r="AH1638" s="39">
        <v>44747</v>
      </c>
      <c r="AI1638" s="53" t="s">
        <v>6975</v>
      </c>
      <c r="AJ1638" s="75" t="s">
        <v>8767</v>
      </c>
      <c r="AK1638" s="53">
        <v>44754</v>
      </c>
    </row>
    <row r="1639" spans="1:37">
      <c r="A1639" s="75" t="s">
        <v>8486</v>
      </c>
      <c r="B1639" s="23" t="s">
        <v>8495</v>
      </c>
      <c r="C1639" s="140">
        <v>44739</v>
      </c>
      <c r="D1639" s="23" t="s">
        <v>729</v>
      </c>
      <c r="E1639" s="23" t="s">
        <v>3773</v>
      </c>
      <c r="F1639" s="23" t="s">
        <v>8493</v>
      </c>
      <c r="G1639" s="23" t="s">
        <v>3469</v>
      </c>
      <c r="H1639" s="23" t="s">
        <v>8496</v>
      </c>
      <c r="I1639" s="23" t="s">
        <v>8496</v>
      </c>
      <c r="J1639" s="140">
        <v>44700</v>
      </c>
      <c r="T1639" s="23" t="s">
        <v>12031</v>
      </c>
      <c r="U1639" s="23" t="s">
        <v>12031</v>
      </c>
      <c r="V1639" s="23" t="s">
        <v>299</v>
      </c>
      <c r="W1639" s="23" t="s">
        <v>8874</v>
      </c>
      <c r="AB1639" s="23" t="s">
        <v>8561</v>
      </c>
      <c r="AC1639" s="23">
        <v>25</v>
      </c>
      <c r="AD1639" s="23">
        <v>0</v>
      </c>
      <c r="AE1639" s="23">
        <v>0</v>
      </c>
      <c r="AF1639" s="23" t="s">
        <v>8561</v>
      </c>
      <c r="AG1639" s="23" t="s">
        <v>8497</v>
      </c>
      <c r="AH1639" s="39">
        <v>44747</v>
      </c>
      <c r="AI1639" s="53" t="s">
        <v>6975</v>
      </c>
      <c r="AJ1639" s="75" t="s">
        <v>8768</v>
      </c>
      <c r="AK1639" s="53">
        <v>44754</v>
      </c>
    </row>
    <row r="1640" spans="1:37" ht="160">
      <c r="A1640" s="75" t="s">
        <v>8487</v>
      </c>
      <c r="B1640" s="23" t="s">
        <v>8499</v>
      </c>
      <c r="C1640" s="140">
        <v>44739</v>
      </c>
      <c r="D1640" s="23" t="s">
        <v>729</v>
      </c>
      <c r="E1640" s="23" t="s">
        <v>752</v>
      </c>
      <c r="F1640" s="23" t="s">
        <v>2200</v>
      </c>
      <c r="G1640" s="23" t="s">
        <v>301</v>
      </c>
      <c r="H1640" s="23">
        <v>20411194</v>
      </c>
      <c r="I1640" s="23">
        <v>20411194</v>
      </c>
      <c r="J1640" s="140">
        <v>44737</v>
      </c>
      <c r="K1640" s="23" t="s">
        <v>8500</v>
      </c>
      <c r="L1640" s="140">
        <v>44741</v>
      </c>
      <c r="T1640" s="23" t="s">
        <v>305</v>
      </c>
      <c r="U1640" s="23" t="s">
        <v>305</v>
      </c>
      <c r="V1640" s="23" t="s">
        <v>299</v>
      </c>
      <c r="W1640" s="23" t="s">
        <v>6815</v>
      </c>
      <c r="Y1640" s="23">
        <v>39540</v>
      </c>
      <c r="Z1640" s="23">
        <v>360000</v>
      </c>
      <c r="AB1640" s="19" t="s">
        <v>8501</v>
      </c>
      <c r="AC1640" s="59">
        <v>30</v>
      </c>
      <c r="AD1640" s="23">
        <v>0</v>
      </c>
      <c r="AE1640" s="23">
        <v>10</v>
      </c>
      <c r="AG1640" s="23" t="s">
        <v>1553</v>
      </c>
      <c r="AH1640" s="39">
        <v>44748</v>
      </c>
      <c r="AI1640" s="53" t="s">
        <v>5851</v>
      </c>
      <c r="AJ1640" s="75" t="s">
        <v>8769</v>
      </c>
      <c r="AK1640" s="53">
        <v>44754</v>
      </c>
    </row>
    <row r="1641" spans="1:37">
      <c r="A1641" s="75" t="s">
        <v>8488</v>
      </c>
      <c r="B1641" s="23" t="s">
        <v>8502</v>
      </c>
      <c r="C1641" s="140">
        <v>44748</v>
      </c>
      <c r="D1641" s="23" t="s">
        <v>729</v>
      </c>
      <c r="E1641" s="23" t="s">
        <v>2919</v>
      </c>
      <c r="F1641" s="23" t="s">
        <v>4899</v>
      </c>
      <c r="G1641" s="23" t="s">
        <v>1724</v>
      </c>
      <c r="Q1641" s="141" t="s">
        <v>8503</v>
      </c>
      <c r="T1641" s="23" t="s">
        <v>3715</v>
      </c>
      <c r="U1641" s="23" t="s">
        <v>3715</v>
      </c>
      <c r="V1641" s="23" t="s">
        <v>298</v>
      </c>
      <c r="W1641" s="23" t="s">
        <v>6707</v>
      </c>
      <c r="Y1641" s="38">
        <v>12320</v>
      </c>
      <c r="Z1641" s="23">
        <v>67</v>
      </c>
      <c r="AB1641" s="23" t="s">
        <v>8504</v>
      </c>
      <c r="AC1641" s="23" t="s">
        <v>8505</v>
      </c>
      <c r="AD1641" s="23">
        <v>0</v>
      </c>
      <c r="AE1641" s="23">
        <v>1</v>
      </c>
      <c r="AF1641" s="23" t="s">
        <v>7646</v>
      </c>
      <c r="AG1641" s="23" t="s">
        <v>637</v>
      </c>
      <c r="AH1641" s="39">
        <v>44749</v>
      </c>
      <c r="AJ1641" s="75" t="s">
        <v>8742</v>
      </c>
      <c r="AK1641" s="53">
        <v>44750</v>
      </c>
    </row>
    <row r="1642" spans="1:37">
      <c r="A1642" s="75" t="s">
        <v>8512</v>
      </c>
      <c r="B1642" s="23" t="s">
        <v>8517</v>
      </c>
      <c r="C1642" s="140">
        <v>44725</v>
      </c>
      <c r="D1642" s="23" t="s">
        <v>729</v>
      </c>
      <c r="E1642" s="23" t="s">
        <v>3773</v>
      </c>
      <c r="F1642" s="23" t="s">
        <v>2200</v>
      </c>
      <c r="G1642" s="23" t="s">
        <v>301</v>
      </c>
      <c r="H1642" s="23">
        <v>20409383</v>
      </c>
      <c r="I1642" s="23">
        <v>20409383</v>
      </c>
      <c r="J1642" s="140">
        <v>44723</v>
      </c>
      <c r="K1642" s="23" t="s">
        <v>8518</v>
      </c>
      <c r="L1642" s="140">
        <v>44742</v>
      </c>
      <c r="T1642" s="23" t="s">
        <v>12031</v>
      </c>
      <c r="U1642" s="23" t="s">
        <v>12031</v>
      </c>
      <c r="V1642" s="23" t="s">
        <v>299</v>
      </c>
      <c r="W1642" s="23" t="s">
        <v>8519</v>
      </c>
      <c r="Y1642" s="23">
        <v>3100</v>
      </c>
      <c r="Z1642" s="23">
        <v>28000</v>
      </c>
      <c r="AB1642" s="23" t="s">
        <v>8561</v>
      </c>
      <c r="AC1642" s="59">
        <v>2</v>
      </c>
      <c r="AD1642" s="23">
        <v>0</v>
      </c>
      <c r="AE1642" s="23">
        <v>0</v>
      </c>
      <c r="AG1642" s="23" t="s">
        <v>1553</v>
      </c>
      <c r="AH1642" s="39">
        <v>44749</v>
      </c>
      <c r="AI1642" s="53" t="s">
        <v>5851</v>
      </c>
      <c r="AJ1642" s="75" t="s">
        <v>8770</v>
      </c>
      <c r="AK1642" s="53">
        <v>44755</v>
      </c>
    </row>
    <row r="1643" spans="1:37">
      <c r="A1643" s="75" t="s">
        <v>8513</v>
      </c>
      <c r="B1643" s="23" t="s">
        <v>8520</v>
      </c>
      <c r="C1643" s="140">
        <v>44725</v>
      </c>
      <c r="D1643" s="23" t="s">
        <v>729</v>
      </c>
      <c r="E1643" s="23" t="s">
        <v>3773</v>
      </c>
      <c r="F1643" s="23" t="s">
        <v>2200</v>
      </c>
      <c r="G1643" s="23" t="s">
        <v>301</v>
      </c>
      <c r="H1643" s="23">
        <v>20409382</v>
      </c>
      <c r="I1643" s="23">
        <v>20409382</v>
      </c>
      <c r="J1643" s="140">
        <v>44723</v>
      </c>
      <c r="K1643" s="23" t="s">
        <v>8521</v>
      </c>
      <c r="L1643" s="140">
        <v>44742</v>
      </c>
      <c r="T1643" s="23" t="s">
        <v>12031</v>
      </c>
      <c r="U1643" s="23" t="s">
        <v>12031</v>
      </c>
      <c r="V1643" s="23" t="s">
        <v>299</v>
      </c>
      <c r="W1643" s="23" t="s">
        <v>8533</v>
      </c>
      <c r="Y1643" s="23">
        <v>1550</v>
      </c>
      <c r="Z1643" s="23">
        <v>14000</v>
      </c>
      <c r="AB1643" s="23" t="s">
        <v>8561</v>
      </c>
      <c r="AC1643" s="59">
        <v>1</v>
      </c>
      <c r="AD1643" s="23">
        <v>0</v>
      </c>
      <c r="AE1643" s="23">
        <v>0</v>
      </c>
      <c r="AG1643" s="23" t="s">
        <v>1553</v>
      </c>
      <c r="AH1643" s="39">
        <v>44749</v>
      </c>
      <c r="AI1643" s="53" t="s">
        <v>5851</v>
      </c>
      <c r="AJ1643" s="75" t="s">
        <v>8771</v>
      </c>
      <c r="AK1643" s="53">
        <v>44755</v>
      </c>
    </row>
    <row r="1644" spans="1:37">
      <c r="A1644" s="75" t="s">
        <v>8514</v>
      </c>
      <c r="B1644" s="23" t="s">
        <v>8522</v>
      </c>
      <c r="C1644" s="140">
        <v>44725</v>
      </c>
      <c r="D1644" s="23" t="s">
        <v>729</v>
      </c>
      <c r="E1644" s="23" t="s">
        <v>3773</v>
      </c>
      <c r="F1644" s="23" t="s">
        <v>2200</v>
      </c>
      <c r="G1644" s="23" t="s">
        <v>301</v>
      </c>
      <c r="H1644" s="23" t="s">
        <v>8523</v>
      </c>
      <c r="I1644" s="23" t="s">
        <v>8523</v>
      </c>
      <c r="J1644" s="140">
        <v>44723</v>
      </c>
      <c r="K1644" s="23" t="s">
        <v>8524</v>
      </c>
      <c r="L1644" s="140">
        <v>44742</v>
      </c>
      <c r="T1644" s="23" t="s">
        <v>12031</v>
      </c>
      <c r="U1644" s="23" t="s">
        <v>12031</v>
      </c>
      <c r="V1644" s="23" t="s">
        <v>299</v>
      </c>
      <c r="W1644" s="23" t="s">
        <v>8525</v>
      </c>
      <c r="Y1644" s="23">
        <v>10340</v>
      </c>
      <c r="Z1644" s="23">
        <v>97500</v>
      </c>
      <c r="AB1644" s="23" t="s">
        <v>8561</v>
      </c>
      <c r="AC1644" s="59">
        <v>5</v>
      </c>
      <c r="AD1644" s="23">
        <v>0</v>
      </c>
      <c r="AE1644" s="23">
        <v>0</v>
      </c>
      <c r="AG1644" s="23" t="s">
        <v>1553</v>
      </c>
      <c r="AH1644" s="39">
        <v>44749</v>
      </c>
      <c r="AI1644" s="53" t="s">
        <v>5851</v>
      </c>
      <c r="AJ1644" s="75" t="s">
        <v>8772</v>
      </c>
      <c r="AK1644" s="53">
        <v>44755</v>
      </c>
    </row>
    <row r="1645" spans="1:37">
      <c r="A1645" s="75" t="s">
        <v>8515</v>
      </c>
      <c r="B1645" s="23" t="s">
        <v>8526</v>
      </c>
      <c r="C1645" s="140">
        <v>44725</v>
      </c>
      <c r="D1645" s="23" t="s">
        <v>729</v>
      </c>
      <c r="E1645" s="23" t="s">
        <v>3773</v>
      </c>
      <c r="F1645" s="23" t="s">
        <v>2200</v>
      </c>
      <c r="G1645" s="23" t="s">
        <v>301</v>
      </c>
      <c r="H1645" s="23" t="s">
        <v>8527</v>
      </c>
      <c r="I1645" s="23" t="s">
        <v>8527</v>
      </c>
      <c r="J1645" s="140">
        <v>44723</v>
      </c>
      <c r="K1645" s="23" t="s">
        <v>8528</v>
      </c>
      <c r="L1645" s="140">
        <v>44742</v>
      </c>
      <c r="T1645" s="23" t="s">
        <v>12031</v>
      </c>
      <c r="U1645" s="23" t="s">
        <v>12031</v>
      </c>
      <c r="V1645" s="23" t="s">
        <v>299</v>
      </c>
      <c r="W1645" s="23" t="s">
        <v>8519</v>
      </c>
      <c r="Y1645" s="23">
        <v>6200</v>
      </c>
      <c r="Z1645" s="23">
        <v>56000</v>
      </c>
      <c r="AB1645" s="23" t="s">
        <v>8561</v>
      </c>
      <c r="AC1645" s="59">
        <v>4</v>
      </c>
      <c r="AD1645" s="23">
        <v>0</v>
      </c>
      <c r="AE1645" s="23">
        <v>0</v>
      </c>
      <c r="AG1645" s="23" t="s">
        <v>1553</v>
      </c>
      <c r="AH1645" s="39">
        <v>44749</v>
      </c>
      <c r="AI1645" s="53" t="s">
        <v>5851</v>
      </c>
      <c r="AJ1645" s="75" t="s">
        <v>8773</v>
      </c>
      <c r="AK1645" s="53">
        <v>44755</v>
      </c>
    </row>
    <row r="1646" spans="1:37">
      <c r="A1646" s="75" t="s">
        <v>8516</v>
      </c>
      <c r="B1646" s="23" t="s">
        <v>8529</v>
      </c>
      <c r="C1646" s="140">
        <v>44725</v>
      </c>
      <c r="D1646" s="23" t="s">
        <v>729</v>
      </c>
      <c r="E1646" s="23" t="s">
        <v>3773</v>
      </c>
      <c r="F1646" s="23" t="s">
        <v>2200</v>
      </c>
      <c r="G1646" s="23" t="s">
        <v>301</v>
      </c>
      <c r="H1646" s="23" t="s">
        <v>8530</v>
      </c>
      <c r="I1646" s="23" t="s">
        <v>8530</v>
      </c>
      <c r="J1646" s="140">
        <v>44723</v>
      </c>
      <c r="K1646" s="23" t="s">
        <v>8531</v>
      </c>
      <c r="L1646" s="140">
        <v>44742</v>
      </c>
      <c r="T1646" s="23" t="s">
        <v>12031</v>
      </c>
      <c r="U1646" s="23" t="s">
        <v>12031</v>
      </c>
      <c r="V1646" s="23" t="s">
        <v>299</v>
      </c>
      <c r="W1646" s="23" t="s">
        <v>8532</v>
      </c>
      <c r="Y1646" s="23">
        <v>19563</v>
      </c>
      <c r="Z1646" s="23">
        <v>192100</v>
      </c>
      <c r="AB1646" s="23" t="s">
        <v>8561</v>
      </c>
      <c r="AC1646" s="59">
        <v>14</v>
      </c>
      <c r="AD1646" s="23">
        <v>0</v>
      </c>
      <c r="AE1646" s="23">
        <v>0</v>
      </c>
      <c r="AG1646" s="23" t="s">
        <v>1553</v>
      </c>
      <c r="AH1646" s="39">
        <v>44749</v>
      </c>
      <c r="AI1646" s="53" t="s">
        <v>5851</v>
      </c>
      <c r="AJ1646" s="75" t="s">
        <v>8774</v>
      </c>
      <c r="AK1646" s="53">
        <v>44755</v>
      </c>
    </row>
    <row r="1647" spans="1:37">
      <c r="A1647" s="75" t="s">
        <v>8534</v>
      </c>
      <c r="B1647" s="23" t="s">
        <v>8535</v>
      </c>
      <c r="C1647" s="140">
        <v>44746</v>
      </c>
      <c r="D1647" s="23" t="s">
        <v>729</v>
      </c>
      <c r="E1647" s="23" t="s">
        <v>752</v>
      </c>
      <c r="F1647" s="23" t="s">
        <v>5765</v>
      </c>
      <c r="G1647" s="23" t="s">
        <v>1724</v>
      </c>
      <c r="P1647" s="23" t="s">
        <v>8536</v>
      </c>
      <c r="Q1647" s="141" t="s">
        <v>8537</v>
      </c>
      <c r="T1647" s="23" t="s">
        <v>12031</v>
      </c>
      <c r="U1647" s="23" t="s">
        <v>12031</v>
      </c>
      <c r="V1647" s="23" t="s">
        <v>298</v>
      </c>
      <c r="W1647" s="23" t="s">
        <v>6359</v>
      </c>
      <c r="Y1647" s="23">
        <v>22420</v>
      </c>
      <c r="Z1647" s="23">
        <v>68</v>
      </c>
      <c r="AB1647" s="23" t="s">
        <v>8538</v>
      </c>
      <c r="AC1647" s="23" t="s">
        <v>8539</v>
      </c>
      <c r="AD1647" s="23">
        <v>0</v>
      </c>
      <c r="AE1647" s="23">
        <v>2</v>
      </c>
      <c r="AF1647" s="23" t="s">
        <v>5478</v>
      </c>
      <c r="AG1647" s="23" t="s">
        <v>665</v>
      </c>
      <c r="AH1647" s="39">
        <v>44750</v>
      </c>
      <c r="AJ1647" s="75" t="s">
        <v>8743</v>
      </c>
      <c r="AK1647" s="53">
        <v>44751</v>
      </c>
    </row>
    <row r="1648" spans="1:37">
      <c r="A1648" s="75" t="s">
        <v>8540</v>
      </c>
      <c r="B1648" s="23" t="s">
        <v>8541</v>
      </c>
      <c r="C1648" s="140">
        <v>44746</v>
      </c>
      <c r="F1648" s="23" t="s">
        <v>7082</v>
      </c>
      <c r="G1648" s="23" t="s">
        <v>1724</v>
      </c>
      <c r="W1648" s="23" t="s">
        <v>6732</v>
      </c>
      <c r="Y1648" s="23">
        <v>22400</v>
      </c>
      <c r="Z1648" s="23">
        <v>68</v>
      </c>
      <c r="AB1648" s="23" t="s">
        <v>8542</v>
      </c>
      <c r="AC1648" s="23" t="s">
        <v>8543</v>
      </c>
      <c r="AF1648" s="23" t="s">
        <v>5478</v>
      </c>
      <c r="AG1648" s="23" t="s">
        <v>637</v>
      </c>
      <c r="AH1648" s="39">
        <v>44750</v>
      </c>
    </row>
    <row r="1649" spans="1:52">
      <c r="A1649" s="75" t="s">
        <v>8544</v>
      </c>
      <c r="B1649" s="23" t="s">
        <v>8545</v>
      </c>
      <c r="C1649" s="140">
        <v>44743</v>
      </c>
      <c r="D1649" s="23" t="s">
        <v>729</v>
      </c>
      <c r="E1649" s="23" t="s">
        <v>752</v>
      </c>
      <c r="F1649" s="23" t="s">
        <v>5765</v>
      </c>
      <c r="G1649" s="23" t="s">
        <v>1724</v>
      </c>
      <c r="P1649" s="23" t="s">
        <v>8546</v>
      </c>
      <c r="Q1649" s="141" t="s">
        <v>8503</v>
      </c>
      <c r="T1649" s="23" t="s">
        <v>12031</v>
      </c>
      <c r="U1649" s="23" t="s">
        <v>12031</v>
      </c>
      <c r="V1649" s="23" t="s">
        <v>298</v>
      </c>
      <c r="W1649" s="23" t="s">
        <v>4803</v>
      </c>
      <c r="Y1649" s="37">
        <v>13611.5</v>
      </c>
      <c r="Z1649" s="23">
        <v>50</v>
      </c>
      <c r="AB1649" s="23" t="s">
        <v>8547</v>
      </c>
      <c r="AC1649" s="38" t="s">
        <v>8548</v>
      </c>
      <c r="AD1649" s="23">
        <v>0</v>
      </c>
      <c r="AE1649" s="23">
        <v>3</v>
      </c>
      <c r="AF1649" s="23" t="s">
        <v>5478</v>
      </c>
      <c r="AG1649" s="23" t="s">
        <v>8549</v>
      </c>
      <c r="AH1649" s="39">
        <v>44750</v>
      </c>
      <c r="AJ1649" s="75" t="s">
        <v>8744</v>
      </c>
      <c r="AK1649" s="53">
        <v>44751</v>
      </c>
    </row>
    <row r="1650" spans="1:52">
      <c r="A1650" s="75" t="s">
        <v>8550</v>
      </c>
      <c r="B1650" s="23" t="s">
        <v>8551</v>
      </c>
      <c r="C1650" s="140">
        <v>44743</v>
      </c>
      <c r="F1650" s="23" t="s">
        <v>5765</v>
      </c>
      <c r="G1650" s="23" t="s">
        <v>1724</v>
      </c>
      <c r="W1650" s="23" t="s">
        <v>4803</v>
      </c>
      <c r="Y1650" s="37">
        <v>13946.9</v>
      </c>
      <c r="Z1650" s="23">
        <v>50</v>
      </c>
      <c r="AB1650" s="23" t="s">
        <v>8552</v>
      </c>
      <c r="AC1650" s="23" t="s">
        <v>8553</v>
      </c>
      <c r="AF1650" s="23" t="s">
        <v>5478</v>
      </c>
      <c r="AG1650" s="23" t="s">
        <v>8549</v>
      </c>
      <c r="AH1650" s="39">
        <v>44750</v>
      </c>
    </row>
    <row r="1651" spans="1:52">
      <c r="A1651" s="75" t="s">
        <v>8554</v>
      </c>
      <c r="B1651" s="23" t="s">
        <v>8555</v>
      </c>
      <c r="C1651" s="140">
        <v>44742</v>
      </c>
      <c r="F1651" s="23" t="s">
        <v>4899</v>
      </c>
      <c r="G1651" s="23" t="s">
        <v>1724</v>
      </c>
      <c r="W1651" s="23" t="s">
        <v>7158</v>
      </c>
      <c r="Y1651" s="37">
        <v>17937.5</v>
      </c>
      <c r="Z1651" s="23">
        <v>45.5</v>
      </c>
      <c r="AB1651" s="23" t="s">
        <v>8556</v>
      </c>
      <c r="AC1651" s="23" t="s">
        <v>8557</v>
      </c>
      <c r="AF1651" s="23" t="s">
        <v>5478</v>
      </c>
      <c r="AG1651" s="23" t="s">
        <v>7161</v>
      </c>
      <c r="AH1651" s="39">
        <v>44750</v>
      </c>
    </row>
    <row r="1652" spans="1:52">
      <c r="A1652" s="75" t="s">
        <v>8558</v>
      </c>
      <c r="B1652" s="23" t="s">
        <v>8559</v>
      </c>
      <c r="C1652" s="140">
        <v>44750</v>
      </c>
      <c r="D1652" s="23" t="s">
        <v>729</v>
      </c>
      <c r="E1652" s="23" t="s">
        <v>752</v>
      </c>
      <c r="F1652" s="23" t="s">
        <v>4899</v>
      </c>
      <c r="G1652" s="23" t="s">
        <v>1724</v>
      </c>
      <c r="Q1652" s="141" t="s">
        <v>8503</v>
      </c>
      <c r="T1652" s="23" t="s">
        <v>3715</v>
      </c>
      <c r="U1652" s="23" t="s">
        <v>3715</v>
      </c>
      <c r="V1652" s="23" t="s">
        <v>298</v>
      </c>
      <c r="W1652" s="23" t="s">
        <v>2280</v>
      </c>
      <c r="Y1652" s="37">
        <v>8040</v>
      </c>
      <c r="Z1652" s="23">
        <v>68</v>
      </c>
      <c r="AB1652" s="23" t="s">
        <v>8560</v>
      </c>
      <c r="AC1652" s="23" t="s">
        <v>573</v>
      </c>
      <c r="AD1652" s="23">
        <v>0</v>
      </c>
      <c r="AE1652" s="23">
        <v>1</v>
      </c>
      <c r="AF1652" s="23" t="s">
        <v>3297</v>
      </c>
      <c r="AG1652" s="23" t="s">
        <v>666</v>
      </c>
      <c r="AH1652" s="39">
        <v>44753</v>
      </c>
      <c r="AJ1652" s="75" t="s">
        <v>8745</v>
      </c>
      <c r="AK1652" s="53">
        <v>44754</v>
      </c>
    </row>
    <row r="1653" spans="1:52">
      <c r="A1653" s="134" t="s">
        <v>8563</v>
      </c>
      <c r="B1653" s="59" t="s">
        <v>8564</v>
      </c>
      <c r="C1653" s="140">
        <v>44739</v>
      </c>
      <c r="D1653" s="23" t="s">
        <v>729</v>
      </c>
      <c r="E1653" s="23" t="s">
        <v>3773</v>
      </c>
      <c r="F1653" s="23" t="s">
        <v>4674</v>
      </c>
      <c r="G1653" s="23" t="s">
        <v>3469</v>
      </c>
      <c r="H1653" s="23" t="s">
        <v>8565</v>
      </c>
      <c r="I1653" s="23" t="s">
        <v>8565</v>
      </c>
      <c r="J1653" s="140">
        <v>44737</v>
      </c>
      <c r="T1653" s="23" t="s">
        <v>12031</v>
      </c>
      <c r="U1653" s="23" t="s">
        <v>12031</v>
      </c>
      <c r="V1653" s="23" t="s">
        <v>299</v>
      </c>
      <c r="W1653" s="23" t="s">
        <v>8566</v>
      </c>
      <c r="AB1653" s="23" t="s">
        <v>8561</v>
      </c>
      <c r="AC1653" s="23">
        <v>1</v>
      </c>
      <c r="AD1653" s="23">
        <v>0</v>
      </c>
      <c r="AE1653" s="23">
        <v>0</v>
      </c>
      <c r="AF1653" s="23" t="s">
        <v>8561</v>
      </c>
      <c r="AG1653" s="23" t="s">
        <v>8567</v>
      </c>
      <c r="AH1653" s="39">
        <v>44753</v>
      </c>
      <c r="AI1653" s="53" t="s">
        <v>5706</v>
      </c>
      <c r="AJ1653" s="75" t="s">
        <v>8775</v>
      </c>
      <c r="AK1653" s="53">
        <v>44757</v>
      </c>
    </row>
    <row r="1654" spans="1:52">
      <c r="A1654" s="134" t="s">
        <v>8568</v>
      </c>
      <c r="B1654" s="59" t="s">
        <v>8570</v>
      </c>
      <c r="C1654" s="140">
        <v>44746</v>
      </c>
      <c r="D1654" s="23" t="s">
        <v>729</v>
      </c>
      <c r="E1654" s="23" t="s">
        <v>3773</v>
      </c>
      <c r="F1654" s="23" t="s">
        <v>4674</v>
      </c>
      <c r="G1654" s="23" t="s">
        <v>3469</v>
      </c>
      <c r="H1654" s="23" t="s">
        <v>8571</v>
      </c>
      <c r="I1654" s="23" t="s">
        <v>8571</v>
      </c>
      <c r="J1654" s="140">
        <v>44728</v>
      </c>
      <c r="T1654" s="23" t="s">
        <v>12031</v>
      </c>
      <c r="U1654" s="23" t="s">
        <v>12031</v>
      </c>
      <c r="V1654" s="23" t="s">
        <v>299</v>
      </c>
      <c r="W1654" s="23" t="s">
        <v>8572</v>
      </c>
      <c r="AB1654" s="23" t="s">
        <v>8561</v>
      </c>
      <c r="AC1654" s="23">
        <v>1</v>
      </c>
      <c r="AD1654" s="23">
        <v>0</v>
      </c>
      <c r="AE1654" s="23">
        <v>0</v>
      </c>
      <c r="AF1654" s="23" t="s">
        <v>8561</v>
      </c>
      <c r="AG1654" s="23" t="s">
        <v>1581</v>
      </c>
      <c r="AH1654" s="39">
        <v>44755</v>
      </c>
      <c r="AI1654" s="53" t="s">
        <v>5706</v>
      </c>
      <c r="AJ1654" s="75" t="s">
        <v>8776</v>
      </c>
      <c r="AK1654" s="53">
        <v>44757</v>
      </c>
    </row>
    <row r="1655" spans="1:52">
      <c r="A1655" s="134" t="s">
        <v>8569</v>
      </c>
      <c r="B1655" s="59" t="s">
        <v>8573</v>
      </c>
      <c r="C1655" s="140">
        <v>44745</v>
      </c>
      <c r="D1655" s="23" t="s">
        <v>729</v>
      </c>
      <c r="E1655" s="23" t="s">
        <v>3773</v>
      </c>
      <c r="F1655" s="23" t="s">
        <v>4674</v>
      </c>
      <c r="G1655" s="23" t="s">
        <v>3469</v>
      </c>
      <c r="H1655" s="23" t="s">
        <v>8574</v>
      </c>
      <c r="I1655" s="23" t="s">
        <v>8574</v>
      </c>
      <c r="J1655" s="140">
        <v>44711</v>
      </c>
      <c r="T1655" s="23" t="s">
        <v>12031</v>
      </c>
      <c r="U1655" s="23" t="s">
        <v>12031</v>
      </c>
      <c r="V1655" s="23" t="s">
        <v>299</v>
      </c>
      <c r="W1655" s="23" t="s">
        <v>8575</v>
      </c>
      <c r="AB1655" s="23" t="s">
        <v>8561</v>
      </c>
      <c r="AC1655" s="23">
        <v>7</v>
      </c>
      <c r="AD1655" s="23">
        <v>0</v>
      </c>
      <c r="AE1655" s="23">
        <v>0</v>
      </c>
      <c r="AF1655" s="23" t="s">
        <v>8561</v>
      </c>
      <c r="AG1655" s="23" t="s">
        <v>5716</v>
      </c>
      <c r="AH1655" s="39">
        <v>44755</v>
      </c>
      <c r="AI1655" s="53" t="s">
        <v>5706</v>
      </c>
      <c r="AJ1655" s="75" t="s">
        <v>8777</v>
      </c>
      <c r="AK1655" s="53">
        <v>44757</v>
      </c>
    </row>
    <row r="1656" spans="1:52">
      <c r="A1656" s="75" t="s">
        <v>8576</v>
      </c>
      <c r="B1656" s="23" t="s">
        <v>8577</v>
      </c>
      <c r="C1656" s="140">
        <v>44752</v>
      </c>
      <c r="D1656" s="23" t="s">
        <v>729</v>
      </c>
      <c r="E1656" s="23" t="s">
        <v>752</v>
      </c>
      <c r="F1656" s="23" t="s">
        <v>4899</v>
      </c>
      <c r="G1656" s="23" t="s">
        <v>1724</v>
      </c>
      <c r="P1656" s="23" t="s">
        <v>8578</v>
      </c>
      <c r="Q1656" s="141" t="s">
        <v>8579</v>
      </c>
      <c r="T1656" s="23" t="s">
        <v>12031</v>
      </c>
      <c r="U1656" s="23" t="s">
        <v>12031</v>
      </c>
      <c r="V1656" s="23" t="s">
        <v>298</v>
      </c>
      <c r="W1656" s="23" t="s">
        <v>2280</v>
      </c>
      <c r="Y1656" s="38">
        <v>8050</v>
      </c>
      <c r="Z1656" s="23">
        <v>68</v>
      </c>
      <c r="AB1656" s="23" t="s">
        <v>8580</v>
      </c>
      <c r="AC1656" s="23" t="s">
        <v>8364</v>
      </c>
      <c r="AD1656" s="23">
        <v>0</v>
      </c>
      <c r="AE1656" s="23">
        <v>2</v>
      </c>
      <c r="AF1656" s="23" t="s">
        <v>6434</v>
      </c>
      <c r="AG1656" s="23" t="s">
        <v>1585</v>
      </c>
      <c r="AH1656" s="39">
        <v>44755</v>
      </c>
      <c r="AJ1656" s="75" t="s">
        <v>8746</v>
      </c>
      <c r="AK1656" s="53">
        <v>44756</v>
      </c>
    </row>
    <row r="1657" spans="1:52">
      <c r="A1657" s="75" t="s">
        <v>8581</v>
      </c>
      <c r="B1657" s="23" t="s">
        <v>8582</v>
      </c>
      <c r="C1657" s="140">
        <v>44750</v>
      </c>
      <c r="F1657" s="23" t="s">
        <v>4899</v>
      </c>
      <c r="G1657" s="23" t="s">
        <v>1724</v>
      </c>
      <c r="W1657" s="23" t="s">
        <v>2280</v>
      </c>
      <c r="Y1657" s="38">
        <v>8050</v>
      </c>
      <c r="Z1657" s="23">
        <v>68</v>
      </c>
      <c r="AB1657" s="23" t="s">
        <v>8583</v>
      </c>
      <c r="AC1657" s="23" t="s">
        <v>5052</v>
      </c>
      <c r="AF1657" s="23" t="s">
        <v>6434</v>
      </c>
      <c r="AG1657" s="23" t="s">
        <v>666</v>
      </c>
      <c r="AH1657" s="39">
        <v>44755</v>
      </c>
    </row>
    <row r="1658" spans="1:52">
      <c r="A1658" s="75" t="s">
        <v>8585</v>
      </c>
      <c r="B1658" s="23" t="s">
        <v>8584</v>
      </c>
      <c r="C1658" s="140">
        <v>44741</v>
      </c>
      <c r="D1658" s="23" t="s">
        <v>729</v>
      </c>
      <c r="E1658" s="23" t="s">
        <v>752</v>
      </c>
      <c r="F1658" s="23" t="s">
        <v>4899</v>
      </c>
      <c r="G1658" s="23" t="s">
        <v>1724</v>
      </c>
      <c r="P1658" s="23" t="s">
        <v>8578</v>
      </c>
      <c r="Q1658" s="141" t="s">
        <v>8579</v>
      </c>
      <c r="T1658" s="23" t="s">
        <v>12031</v>
      </c>
      <c r="U1658" s="23" t="s">
        <v>12031</v>
      </c>
      <c r="V1658" s="23" t="s">
        <v>298</v>
      </c>
      <c r="W1658" s="23" t="s">
        <v>6457</v>
      </c>
      <c r="Y1658" s="38">
        <v>22666</v>
      </c>
      <c r="Z1658" s="23">
        <v>68</v>
      </c>
      <c r="AB1658" s="23" t="s">
        <v>8586</v>
      </c>
      <c r="AC1658" s="23" t="s">
        <v>8587</v>
      </c>
      <c r="AD1658" s="23">
        <v>0</v>
      </c>
      <c r="AE1658" s="23">
        <v>2</v>
      </c>
      <c r="AF1658" s="23" t="s">
        <v>6434</v>
      </c>
      <c r="AG1658" s="23" t="s">
        <v>637</v>
      </c>
      <c r="AH1658" s="39">
        <v>44755</v>
      </c>
      <c r="AJ1658" s="75" t="s">
        <v>8747</v>
      </c>
      <c r="AK1658" s="53">
        <v>44756</v>
      </c>
    </row>
    <row r="1659" spans="1:52">
      <c r="A1659" s="75" t="s">
        <v>8588</v>
      </c>
      <c r="B1659" s="23" t="s">
        <v>8589</v>
      </c>
      <c r="C1659" s="140">
        <v>44744</v>
      </c>
      <c r="F1659" s="23" t="s">
        <v>4899</v>
      </c>
      <c r="G1659" s="23" t="s">
        <v>1724</v>
      </c>
      <c r="W1659" s="23" t="s">
        <v>6732</v>
      </c>
      <c r="Y1659" s="38">
        <v>19728</v>
      </c>
      <c r="Z1659" s="23">
        <v>68</v>
      </c>
      <c r="AB1659" s="23" t="s">
        <v>8590</v>
      </c>
      <c r="AC1659" s="23" t="s">
        <v>8591</v>
      </c>
      <c r="AF1659" s="23" t="s">
        <v>6434</v>
      </c>
      <c r="AG1659" s="23" t="s">
        <v>637</v>
      </c>
      <c r="AH1659" s="39">
        <v>44755</v>
      </c>
    </row>
    <row r="1660" spans="1:52">
      <c r="A1660" s="75" t="s">
        <v>8592</v>
      </c>
      <c r="B1660" s="23" t="s">
        <v>8593</v>
      </c>
      <c r="C1660" s="140">
        <v>44755</v>
      </c>
      <c r="D1660" s="23" t="s">
        <v>729</v>
      </c>
      <c r="E1660" s="23" t="s">
        <v>2919</v>
      </c>
      <c r="F1660" s="23" t="s">
        <v>4899</v>
      </c>
      <c r="G1660" s="23" t="s">
        <v>1724</v>
      </c>
      <c r="Q1660" s="141" t="s">
        <v>8594</v>
      </c>
      <c r="T1660" s="23" t="s">
        <v>3715</v>
      </c>
      <c r="U1660" s="23" t="s">
        <v>3715</v>
      </c>
      <c r="V1660" s="23" t="s">
        <v>298</v>
      </c>
      <c r="W1660" s="23" t="s">
        <v>6707</v>
      </c>
      <c r="Y1660" s="38">
        <v>12500</v>
      </c>
      <c r="Z1660" s="23">
        <v>67.099999999999994</v>
      </c>
      <c r="AB1660" s="23" t="s">
        <v>8595</v>
      </c>
      <c r="AC1660" s="23" t="s">
        <v>8596</v>
      </c>
      <c r="AD1660" s="23">
        <v>0</v>
      </c>
      <c r="AE1660" s="23">
        <v>1</v>
      </c>
      <c r="AF1660" s="23" t="s">
        <v>7646</v>
      </c>
      <c r="AG1660" s="23" t="s">
        <v>637</v>
      </c>
      <c r="AH1660" s="39">
        <v>44756</v>
      </c>
      <c r="AJ1660" s="75" t="s">
        <v>8748</v>
      </c>
      <c r="AK1660" s="53">
        <v>44757</v>
      </c>
    </row>
    <row r="1661" spans="1:52" ht="176">
      <c r="A1661" s="75" t="s">
        <v>8597</v>
      </c>
      <c r="B1661" s="23" t="s">
        <v>8598</v>
      </c>
      <c r="C1661" s="140">
        <v>44743</v>
      </c>
      <c r="D1661" s="23" t="s">
        <v>729</v>
      </c>
      <c r="E1661" s="23" t="s">
        <v>752</v>
      </c>
      <c r="F1661" s="23" t="s">
        <v>2200</v>
      </c>
      <c r="G1661" s="23" t="s">
        <v>301</v>
      </c>
      <c r="H1661" s="23">
        <v>20411196</v>
      </c>
      <c r="I1661" s="23">
        <v>20411196</v>
      </c>
      <c r="J1661" s="140">
        <v>44735</v>
      </c>
      <c r="K1661" s="23" t="s">
        <v>8605</v>
      </c>
      <c r="L1661" s="140">
        <v>44747</v>
      </c>
      <c r="P1661" s="23" t="s">
        <v>8660</v>
      </c>
      <c r="Q1661" s="141" t="s">
        <v>8594</v>
      </c>
      <c r="T1661" s="23" t="s">
        <v>305</v>
      </c>
      <c r="U1661" s="23" t="s">
        <v>305</v>
      </c>
      <c r="V1661" s="23" t="s">
        <v>299</v>
      </c>
      <c r="W1661" s="23" t="s">
        <v>8599</v>
      </c>
      <c r="X1661" s="23">
        <v>43716</v>
      </c>
      <c r="Y1661" s="23">
        <v>43716</v>
      </c>
      <c r="Z1661" s="23">
        <v>396000</v>
      </c>
      <c r="AB1661" s="19" t="s">
        <v>8714</v>
      </c>
      <c r="AC1661" s="59">
        <v>30</v>
      </c>
      <c r="AD1661" s="23">
        <v>0</v>
      </c>
      <c r="AE1661" s="23">
        <v>10</v>
      </c>
      <c r="AF1661" s="23" t="s">
        <v>3864</v>
      </c>
      <c r="AG1661" s="23" t="s">
        <v>1553</v>
      </c>
      <c r="AH1661" s="39">
        <v>44756</v>
      </c>
      <c r="AI1661" s="53" t="s">
        <v>5851</v>
      </c>
      <c r="AJ1661" s="75" t="s">
        <v>8778</v>
      </c>
      <c r="AK1661" s="53">
        <v>44758</v>
      </c>
    </row>
    <row r="1662" spans="1:52">
      <c r="A1662" s="75" t="s">
        <v>8600</v>
      </c>
      <c r="B1662" s="23" t="s">
        <v>8601</v>
      </c>
      <c r="C1662" s="140">
        <v>44742</v>
      </c>
      <c r="D1662" s="23" t="s">
        <v>729</v>
      </c>
      <c r="E1662" s="23" t="s">
        <v>3773</v>
      </c>
      <c r="F1662" s="23" t="s">
        <v>6957</v>
      </c>
      <c r="G1662" s="23" t="s">
        <v>3469</v>
      </c>
      <c r="H1662" s="23" t="s">
        <v>8602</v>
      </c>
      <c r="I1662" s="23" t="s">
        <v>8602</v>
      </c>
      <c r="J1662" s="140">
        <v>44643</v>
      </c>
      <c r="T1662" s="23" t="s">
        <v>12031</v>
      </c>
      <c r="U1662" s="23" t="s">
        <v>12031</v>
      </c>
      <c r="V1662" s="23" t="s">
        <v>299</v>
      </c>
      <c r="W1662" s="23" t="s">
        <v>8603</v>
      </c>
      <c r="X1662" s="23">
        <v>10450</v>
      </c>
      <c r="Y1662" s="23">
        <v>10450</v>
      </c>
      <c r="AB1662" s="23" t="s">
        <v>8561</v>
      </c>
      <c r="AC1662" s="23">
        <v>1</v>
      </c>
      <c r="AD1662" s="23">
        <v>0</v>
      </c>
      <c r="AE1662" s="23">
        <v>0</v>
      </c>
      <c r="AF1662" s="23" t="s">
        <v>8561</v>
      </c>
      <c r="AG1662" s="23" t="s">
        <v>8604</v>
      </c>
      <c r="AH1662" s="39">
        <v>44756</v>
      </c>
      <c r="AI1662" s="53" t="s">
        <v>6975</v>
      </c>
      <c r="AJ1662" s="75" t="s">
        <v>8779</v>
      </c>
      <c r="AK1662" s="53">
        <v>44758</v>
      </c>
    </row>
    <row r="1663" spans="1:52" ht="160">
      <c r="A1663" s="75" t="s">
        <v>8607</v>
      </c>
      <c r="B1663" s="23" t="s">
        <v>8608</v>
      </c>
      <c r="C1663" s="140">
        <v>44750</v>
      </c>
      <c r="D1663" s="23" t="s">
        <v>729</v>
      </c>
      <c r="E1663" s="23" t="s">
        <v>752</v>
      </c>
      <c r="F1663" s="23" t="s">
        <v>2200</v>
      </c>
      <c r="G1663" s="23" t="s">
        <v>301</v>
      </c>
      <c r="H1663" s="23">
        <v>20413163</v>
      </c>
      <c r="I1663" s="23">
        <v>20413163</v>
      </c>
      <c r="J1663" s="140">
        <v>44742</v>
      </c>
      <c r="K1663" s="23" t="s">
        <v>8610</v>
      </c>
      <c r="L1663" s="140">
        <v>44755</v>
      </c>
      <c r="P1663" s="19" t="s">
        <v>8659</v>
      </c>
      <c r="Q1663" s="141" t="s">
        <v>8633</v>
      </c>
      <c r="T1663" s="23" t="s">
        <v>305</v>
      </c>
      <c r="U1663" s="23" t="s">
        <v>305</v>
      </c>
      <c r="V1663" s="23" t="s">
        <v>299</v>
      </c>
      <c r="W1663" s="23" t="s">
        <v>8609</v>
      </c>
      <c r="X1663" s="23">
        <v>39540</v>
      </c>
      <c r="Y1663" s="23">
        <v>39540</v>
      </c>
      <c r="Z1663" s="23">
        <v>408400</v>
      </c>
      <c r="AB1663" s="19" t="s">
        <v>8812</v>
      </c>
      <c r="AC1663" s="59">
        <v>30</v>
      </c>
      <c r="AD1663" s="23">
        <v>0</v>
      </c>
      <c r="AE1663" s="23">
        <v>10</v>
      </c>
      <c r="AF1663" s="23" t="s">
        <v>3864</v>
      </c>
      <c r="AG1663" s="23" t="s">
        <v>1553</v>
      </c>
      <c r="AH1663" s="39">
        <v>44760</v>
      </c>
      <c r="AI1663" s="53" t="s">
        <v>5851</v>
      </c>
      <c r="AJ1663" s="75" t="s">
        <v>8780</v>
      </c>
      <c r="AK1663" s="53">
        <v>44762</v>
      </c>
      <c r="AZ1663" s="23">
        <v>2</v>
      </c>
    </row>
    <row r="1664" spans="1:52">
      <c r="A1664" s="75" t="s">
        <v>8611</v>
      </c>
      <c r="B1664" s="23" t="s">
        <v>8612</v>
      </c>
      <c r="C1664" s="140">
        <v>44757</v>
      </c>
      <c r="D1664" s="23" t="s">
        <v>729</v>
      </c>
      <c r="E1664" s="23" t="s">
        <v>2861</v>
      </c>
      <c r="F1664" s="23" t="s">
        <v>4899</v>
      </c>
      <c r="G1664" s="23" t="s">
        <v>1724</v>
      </c>
      <c r="Q1664" s="141" t="s">
        <v>8613</v>
      </c>
      <c r="T1664" s="23" t="s">
        <v>3715</v>
      </c>
      <c r="U1664" s="23" t="s">
        <v>3715</v>
      </c>
      <c r="V1664" s="23" t="s">
        <v>298</v>
      </c>
      <c r="W1664" s="23" t="s">
        <v>8614</v>
      </c>
      <c r="Y1664" s="38">
        <v>5000</v>
      </c>
      <c r="Z1664" s="23">
        <v>70</v>
      </c>
      <c r="AC1664" s="23" t="s">
        <v>131</v>
      </c>
      <c r="AG1664" s="23" t="s">
        <v>8615</v>
      </c>
      <c r="AH1664" s="39">
        <v>44760</v>
      </c>
      <c r="AJ1664" s="75" t="s">
        <v>8749</v>
      </c>
      <c r="AK1664" s="53">
        <v>44761</v>
      </c>
    </row>
    <row r="1665" spans="1:37">
      <c r="A1665" s="75" t="s">
        <v>8616</v>
      </c>
      <c r="B1665" s="23" t="s">
        <v>8617</v>
      </c>
      <c r="C1665" s="140">
        <v>44754</v>
      </c>
      <c r="D1665" s="23" t="s">
        <v>729</v>
      </c>
      <c r="E1665" s="23" t="s">
        <v>752</v>
      </c>
      <c r="F1665" s="23" t="s">
        <v>5765</v>
      </c>
      <c r="G1665" s="23" t="s">
        <v>1724</v>
      </c>
      <c r="P1665" s="23" t="s">
        <v>8618</v>
      </c>
      <c r="Q1665" s="141" t="s">
        <v>8619</v>
      </c>
      <c r="T1665" s="23" t="s">
        <v>12031</v>
      </c>
      <c r="U1665" s="23" t="s">
        <v>12031</v>
      </c>
      <c r="V1665" s="23" t="s">
        <v>298</v>
      </c>
      <c r="W1665" s="23" t="s">
        <v>6359</v>
      </c>
      <c r="Y1665" s="23">
        <v>22300</v>
      </c>
      <c r="Z1665" s="23">
        <v>68</v>
      </c>
      <c r="AB1665" s="23" t="s">
        <v>8620</v>
      </c>
      <c r="AC1665" s="23" t="s">
        <v>6497</v>
      </c>
      <c r="AD1665" s="23">
        <v>0</v>
      </c>
      <c r="AE1665" s="23">
        <v>4</v>
      </c>
      <c r="AF1665" s="23" t="s">
        <v>5478</v>
      </c>
      <c r="AG1665" s="23" t="s">
        <v>665</v>
      </c>
      <c r="AH1665" s="39">
        <v>44760</v>
      </c>
      <c r="AJ1665" s="75" t="s">
        <v>8750</v>
      </c>
      <c r="AK1665" s="53">
        <v>44761</v>
      </c>
    </row>
    <row r="1666" spans="1:37">
      <c r="A1666" s="75" t="s">
        <v>8621</v>
      </c>
      <c r="B1666" s="23" t="s">
        <v>8622</v>
      </c>
      <c r="C1666" s="140">
        <v>44754</v>
      </c>
      <c r="F1666" s="23" t="s">
        <v>5765</v>
      </c>
      <c r="G1666" s="23" t="s">
        <v>1724</v>
      </c>
      <c r="W1666" s="23" t="s">
        <v>6359</v>
      </c>
      <c r="Y1666" s="23">
        <v>22400</v>
      </c>
      <c r="Z1666" s="23">
        <v>68</v>
      </c>
      <c r="AB1666" s="23" t="s">
        <v>8623</v>
      </c>
      <c r="AC1666" s="23" t="s">
        <v>7682</v>
      </c>
      <c r="AF1666" s="23" t="s">
        <v>5478</v>
      </c>
      <c r="AG1666" s="23" t="s">
        <v>665</v>
      </c>
      <c r="AH1666" s="39">
        <v>44760</v>
      </c>
    </row>
    <row r="1667" spans="1:37">
      <c r="A1667" s="75" t="s">
        <v>8624</v>
      </c>
      <c r="B1667" s="23" t="s">
        <v>8625</v>
      </c>
      <c r="C1667" s="140">
        <v>44752</v>
      </c>
      <c r="F1667" s="23" t="s">
        <v>4899</v>
      </c>
      <c r="G1667" s="23" t="s">
        <v>1724</v>
      </c>
      <c r="W1667" s="23" t="s">
        <v>2280</v>
      </c>
      <c r="Y1667" s="23">
        <v>8050</v>
      </c>
      <c r="Z1667" s="23">
        <v>68</v>
      </c>
      <c r="AB1667" s="23" t="s">
        <v>8626</v>
      </c>
      <c r="AC1667" s="23" t="s">
        <v>8364</v>
      </c>
      <c r="AF1667" s="23" t="s">
        <v>5478</v>
      </c>
      <c r="AG1667" s="23" t="s">
        <v>1585</v>
      </c>
      <c r="AH1667" s="39">
        <v>44760</v>
      </c>
    </row>
    <row r="1668" spans="1:37">
      <c r="A1668" s="75" t="s">
        <v>8627</v>
      </c>
      <c r="B1668" s="23" t="s">
        <v>8628</v>
      </c>
      <c r="C1668" s="140">
        <v>44754</v>
      </c>
      <c r="F1668" s="23" t="s">
        <v>4899</v>
      </c>
      <c r="G1668" s="23" t="s">
        <v>1724</v>
      </c>
      <c r="W1668" s="23" t="s">
        <v>6495</v>
      </c>
      <c r="Y1668" s="23">
        <v>23140</v>
      </c>
      <c r="Z1668" s="23">
        <v>68</v>
      </c>
      <c r="AB1668" s="23" t="s">
        <v>8629</v>
      </c>
      <c r="AC1668" s="23" t="s">
        <v>8630</v>
      </c>
      <c r="AF1668" s="23" t="s">
        <v>5478</v>
      </c>
      <c r="AG1668" s="23" t="s">
        <v>637</v>
      </c>
      <c r="AH1668" s="39">
        <v>44760</v>
      </c>
    </row>
    <row r="1669" spans="1:37">
      <c r="A1669" s="75" t="s">
        <v>8631</v>
      </c>
      <c r="B1669" s="23" t="s">
        <v>8632</v>
      </c>
      <c r="C1669" s="140">
        <v>44758</v>
      </c>
      <c r="D1669" s="23" t="s">
        <v>729</v>
      </c>
      <c r="E1669" s="23" t="s">
        <v>2919</v>
      </c>
      <c r="F1669" s="23" t="s">
        <v>4899</v>
      </c>
      <c r="G1669" s="23" t="s">
        <v>1724</v>
      </c>
      <c r="Q1669" s="141" t="s">
        <v>8633</v>
      </c>
      <c r="T1669" s="23" t="s">
        <v>3715</v>
      </c>
      <c r="U1669" s="23" t="s">
        <v>3715</v>
      </c>
      <c r="V1669" s="23" t="s">
        <v>298</v>
      </c>
      <c r="W1669" s="23" t="s">
        <v>2280</v>
      </c>
      <c r="Y1669" s="38">
        <v>8040</v>
      </c>
      <c r="Z1669" s="23">
        <v>68</v>
      </c>
      <c r="AB1669" s="23" t="s">
        <v>8634</v>
      </c>
      <c r="AC1669" s="23" t="s">
        <v>573</v>
      </c>
      <c r="AD1669" s="23">
        <v>0</v>
      </c>
      <c r="AE1669" s="23">
        <v>1</v>
      </c>
      <c r="AF1669" s="23" t="s">
        <v>3864</v>
      </c>
      <c r="AG1669" s="23" t="s">
        <v>666</v>
      </c>
      <c r="AH1669" s="39">
        <v>44760</v>
      </c>
      <c r="AJ1669" s="75" t="s">
        <v>8751</v>
      </c>
      <c r="AK1669" s="53">
        <v>44761</v>
      </c>
    </row>
    <row r="1670" spans="1:37">
      <c r="A1670" s="75" t="s">
        <v>8635</v>
      </c>
      <c r="B1670" s="23" t="s">
        <v>8636</v>
      </c>
      <c r="C1670" s="140">
        <v>44750</v>
      </c>
      <c r="D1670" s="23" t="s">
        <v>729</v>
      </c>
      <c r="E1670" s="23" t="s">
        <v>752</v>
      </c>
      <c r="F1670" s="23" t="s">
        <v>4899</v>
      </c>
      <c r="G1670" s="23" t="s">
        <v>1724</v>
      </c>
      <c r="P1670" s="23" t="s">
        <v>8637</v>
      </c>
      <c r="Q1670" s="141" t="s">
        <v>8633</v>
      </c>
      <c r="T1670" s="23" t="s">
        <v>12031</v>
      </c>
      <c r="U1670" s="23" t="s">
        <v>12031</v>
      </c>
      <c r="V1670" s="23" t="s">
        <v>298</v>
      </c>
      <c r="W1670" s="23" t="s">
        <v>425</v>
      </c>
      <c r="Y1670" s="38">
        <v>20832</v>
      </c>
      <c r="Z1670" s="23">
        <v>68</v>
      </c>
      <c r="AB1670" s="23" t="s">
        <v>8638</v>
      </c>
      <c r="AC1670" s="23" t="s">
        <v>8191</v>
      </c>
      <c r="AD1670" s="23">
        <v>0</v>
      </c>
      <c r="AE1670" s="23">
        <v>3</v>
      </c>
      <c r="AF1670" s="23" t="s">
        <v>6434</v>
      </c>
      <c r="AG1670" s="23" t="s">
        <v>637</v>
      </c>
      <c r="AH1670" s="39">
        <v>44760</v>
      </c>
      <c r="AJ1670" s="75" t="s">
        <v>8752</v>
      </c>
      <c r="AK1670" s="53">
        <v>44761</v>
      </c>
    </row>
    <row r="1671" spans="1:37">
      <c r="A1671" s="75" t="s">
        <v>8639</v>
      </c>
      <c r="B1671" s="23" t="s">
        <v>8640</v>
      </c>
      <c r="C1671" s="140">
        <v>44754</v>
      </c>
      <c r="F1671" s="23" t="s">
        <v>4899</v>
      </c>
      <c r="G1671" s="23" t="s">
        <v>1724</v>
      </c>
      <c r="P1671" s="23" t="s">
        <v>8641</v>
      </c>
      <c r="Q1671" s="141" t="s">
        <v>8633</v>
      </c>
      <c r="W1671" s="23" t="s">
        <v>6495</v>
      </c>
      <c r="Y1671" s="38">
        <v>21840</v>
      </c>
      <c r="Z1671" s="23">
        <v>68</v>
      </c>
      <c r="AB1671" s="23" t="s">
        <v>8642</v>
      </c>
      <c r="AC1671" s="23" t="s">
        <v>8643</v>
      </c>
      <c r="AF1671" s="23" t="s">
        <v>6434</v>
      </c>
      <c r="AG1671" s="23" t="s">
        <v>637</v>
      </c>
      <c r="AH1671" s="39">
        <v>44760</v>
      </c>
    </row>
    <row r="1672" spans="1:37">
      <c r="A1672" s="75" t="s">
        <v>8644</v>
      </c>
      <c r="B1672" s="23" t="s">
        <v>8645</v>
      </c>
      <c r="C1672" s="140">
        <v>44757</v>
      </c>
      <c r="F1672" s="23" t="s">
        <v>7082</v>
      </c>
      <c r="G1672" s="23" t="s">
        <v>1724</v>
      </c>
      <c r="W1672" s="23" t="s">
        <v>6732</v>
      </c>
      <c r="Y1672" s="38">
        <v>11510</v>
      </c>
      <c r="Z1672" s="23">
        <v>68</v>
      </c>
      <c r="AB1672" s="23" t="s">
        <v>8646</v>
      </c>
      <c r="AC1672" s="23" t="s">
        <v>8647</v>
      </c>
      <c r="AF1672" s="23" t="s">
        <v>6434</v>
      </c>
      <c r="AG1672" s="23" t="s">
        <v>637</v>
      </c>
      <c r="AH1672" s="39">
        <v>44760</v>
      </c>
    </row>
    <row r="1673" spans="1:37">
      <c r="A1673" s="75" t="s">
        <v>8648</v>
      </c>
      <c r="B1673" s="23" t="s">
        <v>8649</v>
      </c>
      <c r="C1673" s="140">
        <v>44755</v>
      </c>
      <c r="D1673" s="23" t="s">
        <v>729</v>
      </c>
      <c r="E1673" s="23" t="s">
        <v>752</v>
      </c>
      <c r="F1673" s="23" t="s">
        <v>4899</v>
      </c>
      <c r="G1673" s="23" t="s">
        <v>1724</v>
      </c>
      <c r="P1673" s="23" t="s">
        <v>8641</v>
      </c>
      <c r="Q1673" s="141" t="s">
        <v>8633</v>
      </c>
      <c r="T1673" s="23" t="s">
        <v>12031</v>
      </c>
      <c r="U1673" s="23" t="s">
        <v>12031</v>
      </c>
      <c r="V1673" s="23" t="s">
        <v>298</v>
      </c>
      <c r="W1673" s="23" t="s">
        <v>7446</v>
      </c>
      <c r="Y1673" s="38">
        <v>12500</v>
      </c>
      <c r="Z1673" s="23">
        <v>68</v>
      </c>
      <c r="AB1673" s="23" t="s">
        <v>8650</v>
      </c>
      <c r="AC1673" s="23" t="s">
        <v>8141</v>
      </c>
      <c r="AD1673" s="23">
        <v>0</v>
      </c>
      <c r="AE1673" s="23">
        <v>3</v>
      </c>
      <c r="AF1673" s="23" t="s">
        <v>6434</v>
      </c>
      <c r="AG1673" s="23" t="s">
        <v>1585</v>
      </c>
      <c r="AH1673" s="39">
        <v>44761</v>
      </c>
      <c r="AJ1673" s="75" t="s">
        <v>8753</v>
      </c>
      <c r="AK1673" s="53">
        <v>44762</v>
      </c>
    </row>
    <row r="1674" spans="1:37">
      <c r="A1674" s="75" t="s">
        <v>8651</v>
      </c>
      <c r="B1674" s="23" t="s">
        <v>8652</v>
      </c>
      <c r="C1674" s="140">
        <v>44757</v>
      </c>
      <c r="F1674" s="23" t="s">
        <v>4899</v>
      </c>
      <c r="G1674" s="23" t="s">
        <v>1724</v>
      </c>
      <c r="W1674" s="23" t="s">
        <v>2280</v>
      </c>
      <c r="Y1674" s="38">
        <v>8040</v>
      </c>
      <c r="Z1674" s="23">
        <v>68</v>
      </c>
      <c r="AB1674" s="23" t="s">
        <v>8653</v>
      </c>
      <c r="AC1674" s="23" t="s">
        <v>8313</v>
      </c>
      <c r="AF1674" s="23" t="s">
        <v>6434</v>
      </c>
      <c r="AG1674" s="23" t="s">
        <v>665</v>
      </c>
      <c r="AH1674" s="39">
        <v>44761</v>
      </c>
    </row>
    <row r="1675" spans="1:37">
      <c r="A1675" s="75" t="s">
        <v>8654</v>
      </c>
      <c r="B1675" s="23" t="s">
        <v>8655</v>
      </c>
      <c r="C1675" s="140">
        <v>44757</v>
      </c>
      <c r="F1675" s="23" t="s">
        <v>7082</v>
      </c>
      <c r="G1675" s="23" t="s">
        <v>1724</v>
      </c>
      <c r="W1675" s="23" t="s">
        <v>6732</v>
      </c>
      <c r="Y1675" s="38">
        <v>22320</v>
      </c>
      <c r="Z1675" s="23">
        <v>68</v>
      </c>
      <c r="AB1675" s="23" t="s">
        <v>8656</v>
      </c>
      <c r="AC1675" s="38" t="s">
        <v>8657</v>
      </c>
      <c r="AF1675" s="23" t="s">
        <v>6434</v>
      </c>
      <c r="AG1675" s="23" t="s">
        <v>637</v>
      </c>
      <c r="AH1675" s="39">
        <v>44761</v>
      </c>
    </row>
    <row r="1676" spans="1:37">
      <c r="A1676" s="104" t="s">
        <v>8661</v>
      </c>
      <c r="B1676" s="23" t="s">
        <v>8662</v>
      </c>
      <c r="C1676" s="140">
        <v>44753</v>
      </c>
      <c r="D1676" s="23" t="s">
        <v>729</v>
      </c>
      <c r="E1676" s="23" t="s">
        <v>752</v>
      </c>
      <c r="F1676" s="23" t="s">
        <v>57</v>
      </c>
      <c r="G1676" s="23" t="s">
        <v>57</v>
      </c>
      <c r="H1676" s="23" t="s">
        <v>8663</v>
      </c>
      <c r="I1676" s="23" t="s">
        <v>8663</v>
      </c>
      <c r="J1676" s="140">
        <v>44750</v>
      </c>
      <c r="K1676" s="23" t="s">
        <v>8664</v>
      </c>
      <c r="L1676" s="140">
        <v>44757</v>
      </c>
      <c r="P1676" s="23" t="s">
        <v>8665</v>
      </c>
      <c r="Q1676" s="141" t="s">
        <v>8666</v>
      </c>
      <c r="S1676" s="23" t="s">
        <v>183</v>
      </c>
      <c r="T1676" s="23" t="s">
        <v>305</v>
      </c>
      <c r="U1676" s="23" t="s">
        <v>305</v>
      </c>
      <c r="V1676" s="23" t="s">
        <v>233</v>
      </c>
      <c r="W1676" s="23" t="s">
        <v>143</v>
      </c>
      <c r="X1676" s="23">
        <v>46995.7</v>
      </c>
      <c r="Y1676" s="23">
        <v>47310.400000000001</v>
      </c>
      <c r="Z1676" s="23">
        <v>52637.57</v>
      </c>
      <c r="AA1676" s="23">
        <v>48143.57</v>
      </c>
      <c r="AB1676" s="23" t="s">
        <v>8667</v>
      </c>
      <c r="AC1676" s="23" t="s">
        <v>8668</v>
      </c>
      <c r="AD1676" s="23">
        <v>0</v>
      </c>
      <c r="AE1676" s="23">
        <v>3</v>
      </c>
      <c r="AF1676" s="23" t="s">
        <v>5478</v>
      </c>
      <c r="AG1676" s="23" t="s">
        <v>792</v>
      </c>
      <c r="AH1676" s="39">
        <v>44761</v>
      </c>
    </row>
    <row r="1677" spans="1:37">
      <c r="A1677" s="75" t="s">
        <v>8669</v>
      </c>
      <c r="B1677" s="23" t="s">
        <v>8670</v>
      </c>
      <c r="C1677" s="140">
        <v>44746</v>
      </c>
      <c r="D1677" s="23" t="s">
        <v>729</v>
      </c>
      <c r="E1677" s="23" t="s">
        <v>752</v>
      </c>
      <c r="F1677" s="23" t="s">
        <v>4899</v>
      </c>
      <c r="G1677" s="23" t="s">
        <v>1724</v>
      </c>
      <c r="P1677" s="23" t="s">
        <v>8671</v>
      </c>
      <c r="Q1677" s="141" t="s">
        <v>8613</v>
      </c>
      <c r="T1677" s="23" t="s">
        <v>12031</v>
      </c>
      <c r="U1677" s="23" t="s">
        <v>12031</v>
      </c>
      <c r="V1677" s="23" t="s">
        <v>298</v>
      </c>
      <c r="W1677" s="23" t="s">
        <v>7446</v>
      </c>
      <c r="Y1677" s="23">
        <v>10160</v>
      </c>
      <c r="Z1677" s="23">
        <v>68</v>
      </c>
      <c r="AB1677" s="23" t="s">
        <v>8672</v>
      </c>
      <c r="AC1677" s="23" t="s">
        <v>3277</v>
      </c>
      <c r="AD1677" s="23">
        <v>0</v>
      </c>
      <c r="AE1677" s="23">
        <v>1</v>
      </c>
      <c r="AF1677" s="23" t="s">
        <v>5478</v>
      </c>
      <c r="AG1677" s="23" t="s">
        <v>637</v>
      </c>
      <c r="AH1677" s="39">
        <v>44762</v>
      </c>
      <c r="AJ1677" s="75" t="s">
        <v>8754</v>
      </c>
      <c r="AK1677" s="53">
        <v>44763</v>
      </c>
    </row>
    <row r="1678" spans="1:37">
      <c r="A1678" s="75" t="s">
        <v>8673</v>
      </c>
      <c r="B1678" s="23" t="s">
        <v>8674</v>
      </c>
      <c r="C1678" s="140">
        <v>44760</v>
      </c>
      <c r="D1678" s="23" t="s">
        <v>729</v>
      </c>
      <c r="E1678" s="23" t="s">
        <v>2919</v>
      </c>
      <c r="F1678" s="23" t="s">
        <v>4899</v>
      </c>
      <c r="G1678" s="23" t="s">
        <v>1724</v>
      </c>
      <c r="Q1678" s="141" t="s">
        <v>8675</v>
      </c>
      <c r="T1678" s="23" t="s">
        <v>3715</v>
      </c>
      <c r="U1678" s="23" t="s">
        <v>3715</v>
      </c>
      <c r="V1678" s="23" t="s">
        <v>298</v>
      </c>
      <c r="W1678" s="23" t="s">
        <v>6707</v>
      </c>
      <c r="Y1678" s="38">
        <v>12340</v>
      </c>
      <c r="Z1678" s="23">
        <v>67.2</v>
      </c>
      <c r="AB1678" s="23" t="s">
        <v>8676</v>
      </c>
      <c r="AC1678" s="23" t="s">
        <v>8677</v>
      </c>
      <c r="AD1678" s="23">
        <v>0</v>
      </c>
      <c r="AE1678" s="23">
        <v>1</v>
      </c>
      <c r="AF1678" s="23" t="s">
        <v>7646</v>
      </c>
      <c r="AG1678" s="23" t="s">
        <v>637</v>
      </c>
      <c r="AH1678" s="39">
        <v>44762</v>
      </c>
      <c r="AJ1678" s="75" t="s">
        <v>8755</v>
      </c>
      <c r="AK1678" s="53">
        <v>44763</v>
      </c>
    </row>
    <row r="1679" spans="1:37">
      <c r="A1679" s="75" t="s">
        <v>8678</v>
      </c>
      <c r="B1679" s="23" t="s">
        <v>8679</v>
      </c>
      <c r="C1679" s="140">
        <v>44760</v>
      </c>
      <c r="D1679" s="23" t="s">
        <v>729</v>
      </c>
      <c r="E1679" s="23" t="s">
        <v>752</v>
      </c>
      <c r="F1679" s="23" t="s">
        <v>4899</v>
      </c>
      <c r="G1679" s="23" t="s">
        <v>1724</v>
      </c>
      <c r="P1679" s="23" t="s">
        <v>8680</v>
      </c>
      <c r="Q1679" s="141" t="s">
        <v>8681</v>
      </c>
      <c r="T1679" s="23" t="s">
        <v>12031</v>
      </c>
      <c r="U1679" s="23" t="s">
        <v>12031</v>
      </c>
      <c r="V1679" s="23" t="s">
        <v>298</v>
      </c>
      <c r="W1679" s="23" t="s">
        <v>7446</v>
      </c>
      <c r="Y1679" s="23">
        <v>17900</v>
      </c>
      <c r="Z1679" s="23">
        <v>68</v>
      </c>
      <c r="AB1679" s="23" t="s">
        <v>8682</v>
      </c>
      <c r="AC1679" s="23" t="s">
        <v>8683</v>
      </c>
      <c r="AD1679" s="23">
        <v>0</v>
      </c>
      <c r="AE1679" s="23">
        <v>3</v>
      </c>
      <c r="AF1679" s="23" t="s">
        <v>5478</v>
      </c>
      <c r="AG1679" s="23" t="s">
        <v>666</v>
      </c>
      <c r="AH1679" s="39">
        <v>44764</v>
      </c>
      <c r="AJ1679" s="75" t="s">
        <v>8756</v>
      </c>
      <c r="AK1679" s="53">
        <v>44765</v>
      </c>
    </row>
    <row r="1680" spans="1:37">
      <c r="A1680" s="75" t="s">
        <v>8684</v>
      </c>
      <c r="B1680" s="23" t="s">
        <v>8685</v>
      </c>
      <c r="C1680" s="140">
        <v>44760</v>
      </c>
      <c r="F1680" s="23" t="s">
        <v>4899</v>
      </c>
      <c r="G1680" s="23" t="s">
        <v>1724</v>
      </c>
      <c r="W1680" s="23" t="s">
        <v>8686</v>
      </c>
      <c r="Y1680" s="23">
        <v>17900</v>
      </c>
      <c r="Z1680" s="23">
        <v>68</v>
      </c>
      <c r="AB1680" s="23" t="s">
        <v>8687</v>
      </c>
      <c r="AC1680" s="23" t="s">
        <v>8683</v>
      </c>
      <c r="AF1680" s="23" t="s">
        <v>5478</v>
      </c>
      <c r="AG1680" s="23" t="s">
        <v>666</v>
      </c>
      <c r="AH1680" s="39">
        <v>44764</v>
      </c>
    </row>
    <row r="1681" spans="1:37">
      <c r="A1681" s="75" t="s">
        <v>8688</v>
      </c>
      <c r="B1681" s="23" t="s">
        <v>8689</v>
      </c>
      <c r="C1681" s="140">
        <v>44762</v>
      </c>
      <c r="F1681" s="23" t="s">
        <v>4899</v>
      </c>
      <c r="G1681" s="23" t="s">
        <v>1724</v>
      </c>
      <c r="W1681" s="23" t="s">
        <v>2280</v>
      </c>
      <c r="Y1681" s="23">
        <v>8050</v>
      </c>
      <c r="Z1681" s="23">
        <v>68</v>
      </c>
      <c r="AB1681" s="23" t="s">
        <v>8690</v>
      </c>
      <c r="AC1681" s="23" t="s">
        <v>8364</v>
      </c>
      <c r="AF1681" s="23" t="s">
        <v>5478</v>
      </c>
      <c r="AG1681" s="23" t="s">
        <v>666</v>
      </c>
      <c r="AH1681" s="39">
        <v>44764</v>
      </c>
    </row>
    <row r="1682" spans="1:37">
      <c r="A1682" s="75" t="s">
        <v>8691</v>
      </c>
      <c r="B1682" s="23" t="s">
        <v>8692</v>
      </c>
      <c r="C1682" s="140">
        <v>44763</v>
      </c>
      <c r="D1682" s="23" t="s">
        <v>729</v>
      </c>
      <c r="E1682" s="23" t="s">
        <v>2919</v>
      </c>
      <c r="F1682" s="23" t="s">
        <v>4899</v>
      </c>
      <c r="G1682" s="23" t="s">
        <v>1724</v>
      </c>
      <c r="Q1682" s="141" t="s">
        <v>8693</v>
      </c>
      <c r="T1682" s="23" t="s">
        <v>3715</v>
      </c>
      <c r="U1682" s="23" t="s">
        <v>3715</v>
      </c>
      <c r="V1682" s="23" t="s">
        <v>298</v>
      </c>
      <c r="W1682" s="23" t="s">
        <v>8694</v>
      </c>
      <c r="Y1682" s="38">
        <v>14700</v>
      </c>
      <c r="Z1682" s="23">
        <v>68</v>
      </c>
      <c r="AB1682" s="23" t="s">
        <v>8695</v>
      </c>
      <c r="AC1682" s="23" t="s">
        <v>8696</v>
      </c>
      <c r="AD1682" s="23">
        <v>0</v>
      </c>
      <c r="AE1682" s="23">
        <v>1</v>
      </c>
      <c r="AF1682" s="23" t="s">
        <v>3260</v>
      </c>
      <c r="AG1682" s="23" t="s">
        <v>637</v>
      </c>
      <c r="AH1682" s="39">
        <v>44764</v>
      </c>
      <c r="AJ1682" s="75" t="s">
        <v>8757</v>
      </c>
      <c r="AK1682" s="53">
        <v>44765</v>
      </c>
    </row>
    <row r="1683" spans="1:37" ht="112">
      <c r="A1683" s="75" t="s">
        <v>8697</v>
      </c>
      <c r="B1683" s="23" t="s">
        <v>8698</v>
      </c>
      <c r="C1683" s="140">
        <v>44756</v>
      </c>
      <c r="D1683" s="23" t="s">
        <v>729</v>
      </c>
      <c r="E1683" s="23" t="s">
        <v>752</v>
      </c>
      <c r="F1683" s="23" t="s">
        <v>8377</v>
      </c>
      <c r="G1683" s="23" t="s">
        <v>5538</v>
      </c>
      <c r="H1683" s="23" t="s">
        <v>8699</v>
      </c>
      <c r="I1683" s="23" t="s">
        <v>8699</v>
      </c>
      <c r="J1683" s="140">
        <v>44748</v>
      </c>
      <c r="Q1683" s="141" t="s">
        <v>8613</v>
      </c>
      <c r="T1683" s="23" t="s">
        <v>12031</v>
      </c>
      <c r="U1683" s="23" t="s">
        <v>12031</v>
      </c>
      <c r="V1683" s="23" t="s">
        <v>299</v>
      </c>
      <c r="W1683" s="23" t="s">
        <v>8700</v>
      </c>
      <c r="AB1683" s="19" t="s">
        <v>8826</v>
      </c>
      <c r="AC1683" s="23">
        <v>14</v>
      </c>
      <c r="AD1683" s="23">
        <v>0</v>
      </c>
      <c r="AE1683" s="23">
        <v>7</v>
      </c>
      <c r="AG1683" s="23" t="s">
        <v>8386</v>
      </c>
      <c r="AH1683" s="39">
        <v>44764</v>
      </c>
      <c r="AI1683" s="53" t="s">
        <v>11181</v>
      </c>
      <c r="AJ1683" s="75" t="s">
        <v>8781</v>
      </c>
      <c r="AK1683" s="53">
        <v>44765</v>
      </c>
    </row>
    <row r="1684" spans="1:37">
      <c r="A1684" s="75" t="s">
        <v>8701</v>
      </c>
      <c r="B1684" s="23" t="s">
        <v>8702</v>
      </c>
      <c r="C1684" s="140">
        <v>44761</v>
      </c>
      <c r="D1684" s="23" t="s">
        <v>729</v>
      </c>
      <c r="E1684" s="23" t="s">
        <v>2919</v>
      </c>
      <c r="F1684" s="23" t="s">
        <v>4899</v>
      </c>
      <c r="G1684" s="23" t="s">
        <v>1724</v>
      </c>
      <c r="Q1684" s="141" t="s">
        <v>8703</v>
      </c>
      <c r="T1684" s="23" t="s">
        <v>3715</v>
      </c>
      <c r="U1684" s="23" t="s">
        <v>3715</v>
      </c>
      <c r="V1684" s="23" t="s">
        <v>298</v>
      </c>
      <c r="W1684" s="23" t="s">
        <v>2280</v>
      </c>
      <c r="Y1684" s="38">
        <v>8040</v>
      </c>
      <c r="Z1684" s="23">
        <v>68</v>
      </c>
      <c r="AB1684" s="23" t="s">
        <v>8704</v>
      </c>
      <c r="AC1684" s="23" t="s">
        <v>573</v>
      </c>
      <c r="AD1684" s="23">
        <v>0</v>
      </c>
      <c r="AE1684" s="23">
        <v>1</v>
      </c>
      <c r="AF1684" s="23" t="s">
        <v>3297</v>
      </c>
      <c r="AG1684" s="23" t="s">
        <v>666</v>
      </c>
      <c r="AH1684" s="39">
        <v>44764</v>
      </c>
      <c r="AJ1684" s="75" t="s">
        <v>8758</v>
      </c>
      <c r="AK1684" s="53">
        <v>44765</v>
      </c>
    </row>
    <row r="1685" spans="1:37">
      <c r="A1685" s="75" t="s">
        <v>8705</v>
      </c>
      <c r="B1685" s="23" t="s">
        <v>8706</v>
      </c>
      <c r="C1685" s="140">
        <v>44752</v>
      </c>
      <c r="D1685" s="23" t="s">
        <v>729</v>
      </c>
      <c r="E1685" s="23" t="s">
        <v>3773</v>
      </c>
      <c r="F1685" s="23" t="s">
        <v>8493</v>
      </c>
      <c r="G1685" s="23" t="s">
        <v>3469</v>
      </c>
      <c r="H1685" s="23" t="s">
        <v>8713</v>
      </c>
      <c r="I1685" s="23" t="s">
        <v>8713</v>
      </c>
      <c r="J1685" s="140">
        <v>44742</v>
      </c>
      <c r="T1685" s="23" t="s">
        <v>12031</v>
      </c>
      <c r="U1685" s="23" t="s">
        <v>12031</v>
      </c>
      <c r="V1685" s="23" t="s">
        <v>299</v>
      </c>
      <c r="W1685" s="23" t="s">
        <v>8707</v>
      </c>
      <c r="AB1685" s="23" t="s">
        <v>8561</v>
      </c>
      <c r="AC1685" s="23">
        <v>15</v>
      </c>
      <c r="AD1685" s="23">
        <v>0</v>
      </c>
      <c r="AE1685" s="23">
        <v>0</v>
      </c>
      <c r="AF1685" s="23" t="s">
        <v>8561</v>
      </c>
      <c r="AG1685" s="23" t="s">
        <v>4893</v>
      </c>
      <c r="AH1685" s="39">
        <v>44764</v>
      </c>
      <c r="AI1685" s="53" t="s">
        <v>5706</v>
      </c>
      <c r="AJ1685" s="75" t="s">
        <v>8782</v>
      </c>
      <c r="AK1685" s="53">
        <v>44768</v>
      </c>
    </row>
    <row r="1686" spans="1:37">
      <c r="A1686" s="75" t="s">
        <v>8708</v>
      </c>
      <c r="B1686" s="23" t="s">
        <v>8709</v>
      </c>
      <c r="C1686" s="140">
        <v>44761</v>
      </c>
      <c r="D1686" s="23" t="s">
        <v>729</v>
      </c>
      <c r="E1686" s="23" t="s">
        <v>752</v>
      </c>
      <c r="F1686" s="23" t="s">
        <v>6113</v>
      </c>
      <c r="G1686" s="23" t="s">
        <v>5538</v>
      </c>
      <c r="H1686" s="23" t="s">
        <v>8710</v>
      </c>
      <c r="I1686" s="23" t="s">
        <v>8710</v>
      </c>
      <c r="J1686" s="140">
        <v>44720</v>
      </c>
      <c r="T1686" s="23" t="s">
        <v>12031</v>
      </c>
      <c r="U1686" s="23" t="s">
        <v>12031</v>
      </c>
      <c r="V1686" s="23" t="s">
        <v>299</v>
      </c>
      <c r="W1686" s="23" t="s">
        <v>8711</v>
      </c>
      <c r="AB1686" s="59" t="s">
        <v>8712</v>
      </c>
      <c r="AC1686" s="23">
        <v>3</v>
      </c>
      <c r="AD1686" s="23">
        <v>0</v>
      </c>
      <c r="AE1686" s="23">
        <v>1</v>
      </c>
      <c r="AG1686" s="23" t="s">
        <v>5879</v>
      </c>
      <c r="AH1686" s="39">
        <v>44764</v>
      </c>
      <c r="AI1686" s="53" t="s">
        <v>5027</v>
      </c>
      <c r="AJ1686" s="75" t="s">
        <v>8783</v>
      </c>
      <c r="AK1686" s="53">
        <v>44769</v>
      </c>
    </row>
    <row r="1687" spans="1:37">
      <c r="A1687" s="75" t="s">
        <v>8715</v>
      </c>
      <c r="B1687" s="23" t="s">
        <v>8716</v>
      </c>
      <c r="C1687" s="140">
        <v>44761</v>
      </c>
      <c r="D1687" s="23" t="s">
        <v>729</v>
      </c>
      <c r="E1687" s="23" t="s">
        <v>752</v>
      </c>
      <c r="F1687" s="23" t="s">
        <v>5765</v>
      </c>
      <c r="G1687" s="23" t="s">
        <v>1724</v>
      </c>
      <c r="P1687" s="23" t="s">
        <v>8717</v>
      </c>
      <c r="Q1687" s="141" t="s">
        <v>8681</v>
      </c>
      <c r="T1687" s="23" t="s">
        <v>12031</v>
      </c>
      <c r="U1687" s="23" t="s">
        <v>12031</v>
      </c>
      <c r="V1687" s="23" t="s">
        <v>298</v>
      </c>
      <c r="W1687" s="23" t="s">
        <v>6359</v>
      </c>
      <c r="Y1687" s="23">
        <v>22500</v>
      </c>
      <c r="Z1687" s="23">
        <v>68</v>
      </c>
      <c r="AB1687" s="23" t="s">
        <v>8718</v>
      </c>
      <c r="AC1687" s="23" t="s">
        <v>8539</v>
      </c>
      <c r="AD1687" s="23">
        <v>0</v>
      </c>
      <c r="AE1687" s="23">
        <v>2</v>
      </c>
      <c r="AF1687" s="23" t="s">
        <v>5478</v>
      </c>
      <c r="AG1687" s="23" t="s">
        <v>665</v>
      </c>
      <c r="AH1687" s="39">
        <v>44763</v>
      </c>
      <c r="AJ1687" s="75" t="s">
        <v>8759</v>
      </c>
      <c r="AK1687" s="53">
        <v>44767</v>
      </c>
    </row>
    <row r="1688" spans="1:37">
      <c r="A1688" s="75" t="s">
        <v>8719</v>
      </c>
      <c r="B1688" s="23" t="s">
        <v>8720</v>
      </c>
      <c r="C1688" s="140">
        <v>44761</v>
      </c>
      <c r="F1688" s="23" t="s">
        <v>5765</v>
      </c>
      <c r="G1688" s="23" t="s">
        <v>1724</v>
      </c>
      <c r="W1688" s="23" t="s">
        <v>6359</v>
      </c>
      <c r="Y1688" s="23">
        <v>21600</v>
      </c>
      <c r="Z1688" s="23">
        <v>68</v>
      </c>
      <c r="AB1688" s="23" t="s">
        <v>8721</v>
      </c>
      <c r="AC1688" s="23" t="s">
        <v>7576</v>
      </c>
      <c r="AF1688" s="23" t="s">
        <v>5478</v>
      </c>
      <c r="AG1688" s="23" t="s">
        <v>665</v>
      </c>
      <c r="AH1688" s="39">
        <v>44763</v>
      </c>
    </row>
    <row r="1689" spans="1:37">
      <c r="A1689" s="75" t="s">
        <v>8722</v>
      </c>
      <c r="B1689" s="23" t="s">
        <v>8723</v>
      </c>
      <c r="C1689" s="140">
        <v>44754</v>
      </c>
      <c r="D1689" s="23" t="s">
        <v>729</v>
      </c>
      <c r="E1689" s="23" t="s">
        <v>752</v>
      </c>
      <c r="F1689" s="23" t="s">
        <v>4899</v>
      </c>
      <c r="G1689" s="23" t="s">
        <v>1724</v>
      </c>
      <c r="P1689" s="23" t="s">
        <v>8724</v>
      </c>
      <c r="Q1689" s="141" t="s">
        <v>8725</v>
      </c>
      <c r="T1689" s="23" t="s">
        <v>12031</v>
      </c>
      <c r="U1689" s="23" t="s">
        <v>12031</v>
      </c>
      <c r="V1689" s="23" t="s">
        <v>298</v>
      </c>
      <c r="W1689" s="23" t="s">
        <v>7158</v>
      </c>
      <c r="Y1689" s="37">
        <v>17255.099999999999</v>
      </c>
      <c r="Z1689" s="23">
        <v>45.5</v>
      </c>
      <c r="AB1689" s="23" t="s">
        <v>8727</v>
      </c>
      <c r="AC1689" s="23" t="s">
        <v>8726</v>
      </c>
      <c r="AD1689" s="23">
        <v>0</v>
      </c>
      <c r="AE1689" s="23">
        <v>1</v>
      </c>
      <c r="AF1689" s="23" t="s">
        <v>5478</v>
      </c>
      <c r="AG1689" s="23" t="s">
        <v>7161</v>
      </c>
      <c r="AH1689" s="39">
        <v>44767</v>
      </c>
      <c r="AJ1689" s="75" t="s">
        <v>8760</v>
      </c>
      <c r="AK1689" s="53">
        <v>44768</v>
      </c>
    </row>
    <row r="1690" spans="1:37">
      <c r="A1690" s="75" t="s">
        <v>8785</v>
      </c>
      <c r="B1690" s="23" t="s">
        <v>8789</v>
      </c>
      <c r="C1690" s="140">
        <v>44767</v>
      </c>
      <c r="D1690" s="23" t="s">
        <v>729</v>
      </c>
      <c r="E1690" s="23" t="s">
        <v>752</v>
      </c>
      <c r="F1690" s="23" t="s">
        <v>4899</v>
      </c>
      <c r="G1690" s="23" t="s">
        <v>1724</v>
      </c>
      <c r="P1690" s="23" t="s">
        <v>8790</v>
      </c>
      <c r="Q1690" s="141" t="s">
        <v>8791</v>
      </c>
      <c r="T1690" s="23" t="s">
        <v>12031</v>
      </c>
      <c r="U1690" s="23" t="s">
        <v>12031</v>
      </c>
      <c r="V1690" s="23" t="s">
        <v>298</v>
      </c>
      <c r="W1690" s="23" t="s">
        <v>7446</v>
      </c>
      <c r="Y1690" s="23">
        <v>16200</v>
      </c>
      <c r="Z1690" s="23">
        <v>68</v>
      </c>
      <c r="AB1690" s="23" t="s">
        <v>8792</v>
      </c>
      <c r="AC1690" s="23" t="s">
        <v>8793</v>
      </c>
      <c r="AD1690" s="23">
        <v>0</v>
      </c>
      <c r="AE1690" s="23">
        <v>1</v>
      </c>
      <c r="AF1690" s="23" t="s">
        <v>6434</v>
      </c>
      <c r="AG1690" s="23" t="s">
        <v>666</v>
      </c>
      <c r="AH1690" s="39">
        <v>44769</v>
      </c>
      <c r="AJ1690" s="75" t="s">
        <v>9060</v>
      </c>
      <c r="AK1690" s="53">
        <v>44770</v>
      </c>
    </row>
    <row r="1691" spans="1:37">
      <c r="A1691" s="75" t="s">
        <v>8786</v>
      </c>
      <c r="B1691" s="23" t="s">
        <v>8794</v>
      </c>
      <c r="C1691" s="140">
        <v>44765</v>
      </c>
      <c r="D1691" s="23" t="s">
        <v>729</v>
      </c>
      <c r="E1691" s="23" t="s">
        <v>752</v>
      </c>
      <c r="F1691" s="23" t="s">
        <v>5765</v>
      </c>
      <c r="G1691" s="23" t="s">
        <v>1724</v>
      </c>
      <c r="P1691" s="23" t="s">
        <v>8790</v>
      </c>
      <c r="Q1691" s="141" t="s">
        <v>8791</v>
      </c>
      <c r="T1691" s="23" t="s">
        <v>12031</v>
      </c>
      <c r="U1691" s="23" t="s">
        <v>12031</v>
      </c>
      <c r="V1691" s="23" t="s">
        <v>298</v>
      </c>
      <c r="W1691" s="23" t="s">
        <v>6359</v>
      </c>
      <c r="Y1691" s="38">
        <v>21905</v>
      </c>
      <c r="Z1691" s="23">
        <v>68</v>
      </c>
      <c r="AB1691" s="23" t="s">
        <v>8795</v>
      </c>
      <c r="AC1691" s="23" t="s">
        <v>8796</v>
      </c>
      <c r="AD1691" s="23">
        <v>0</v>
      </c>
      <c r="AE1691" s="23">
        <v>3</v>
      </c>
      <c r="AF1691" s="23" t="s">
        <v>6434</v>
      </c>
      <c r="AG1691" s="23" t="s">
        <v>637</v>
      </c>
      <c r="AH1691" s="39">
        <v>44769</v>
      </c>
      <c r="AJ1691" s="75" t="s">
        <v>9061</v>
      </c>
      <c r="AK1691" s="53">
        <v>44770</v>
      </c>
    </row>
    <row r="1692" spans="1:37">
      <c r="A1692" s="75" t="s">
        <v>8787</v>
      </c>
      <c r="B1692" s="23" t="s">
        <v>8797</v>
      </c>
      <c r="C1692" s="140">
        <v>44760</v>
      </c>
      <c r="F1692" s="23" t="s">
        <v>5765</v>
      </c>
      <c r="G1692" s="23" t="s">
        <v>1724</v>
      </c>
      <c r="W1692" s="23" t="s">
        <v>6359</v>
      </c>
      <c r="Y1692" s="38">
        <v>22112</v>
      </c>
      <c r="Z1692" s="23">
        <v>68</v>
      </c>
      <c r="AB1692" s="23" t="s">
        <v>8798</v>
      </c>
      <c r="AC1692" s="23" t="s">
        <v>8802</v>
      </c>
      <c r="AF1692" s="23" t="s">
        <v>6434</v>
      </c>
      <c r="AG1692" s="23" t="s">
        <v>637</v>
      </c>
      <c r="AH1692" s="39">
        <v>44769</v>
      </c>
    </row>
    <row r="1693" spans="1:37">
      <c r="A1693" s="75" t="s">
        <v>8788</v>
      </c>
      <c r="B1693" s="23" t="s">
        <v>8799</v>
      </c>
      <c r="C1693" s="140">
        <v>44765</v>
      </c>
      <c r="F1693" s="23" t="s">
        <v>5765</v>
      </c>
      <c r="G1693" s="23" t="s">
        <v>1724</v>
      </c>
      <c r="W1693" s="23" t="s">
        <v>6359</v>
      </c>
      <c r="Y1693" s="38">
        <v>22300</v>
      </c>
      <c r="Z1693" s="23">
        <v>68</v>
      </c>
      <c r="AB1693" s="23" t="s">
        <v>8800</v>
      </c>
      <c r="AC1693" s="23" t="s">
        <v>8801</v>
      </c>
      <c r="AF1693" s="23" t="s">
        <v>6434</v>
      </c>
      <c r="AG1693" s="23" t="s">
        <v>665</v>
      </c>
      <c r="AH1693" s="39">
        <v>44769</v>
      </c>
    </row>
    <row r="1694" spans="1:37" ht="112">
      <c r="A1694" s="75" t="s">
        <v>8803</v>
      </c>
      <c r="B1694" s="23" t="s">
        <v>8804</v>
      </c>
      <c r="C1694" s="140">
        <v>44761</v>
      </c>
      <c r="D1694" s="23" t="s">
        <v>729</v>
      </c>
      <c r="E1694" s="23" t="s">
        <v>752</v>
      </c>
      <c r="F1694" s="23" t="s">
        <v>2200</v>
      </c>
      <c r="G1694" s="23" t="s">
        <v>301</v>
      </c>
      <c r="H1694" s="23">
        <v>20413168</v>
      </c>
      <c r="I1694" s="23">
        <v>20413168</v>
      </c>
      <c r="J1694" s="140">
        <v>44747</v>
      </c>
      <c r="K1694" s="23" t="s">
        <v>8805</v>
      </c>
      <c r="L1694" s="140">
        <v>44763</v>
      </c>
      <c r="T1694" s="23" t="s">
        <v>305</v>
      </c>
      <c r="U1694" s="23" t="s">
        <v>305</v>
      </c>
      <c r="V1694" s="23" t="s">
        <v>299</v>
      </c>
      <c r="W1694" s="23" t="s">
        <v>8806</v>
      </c>
      <c r="Y1694" s="23">
        <v>27678</v>
      </c>
      <c r="Z1694" s="38">
        <v>285800</v>
      </c>
      <c r="AB1694" s="60" t="s">
        <v>8825</v>
      </c>
      <c r="AC1694" s="59">
        <v>21</v>
      </c>
      <c r="AD1694" s="23">
        <v>0</v>
      </c>
      <c r="AE1694" s="23">
        <v>7</v>
      </c>
      <c r="AF1694" s="23" t="s">
        <v>3864</v>
      </c>
      <c r="AG1694" s="23" t="s">
        <v>659</v>
      </c>
      <c r="AH1694" s="39">
        <v>44770</v>
      </c>
      <c r="AI1694" s="53" t="s">
        <v>5851</v>
      </c>
      <c r="AJ1694" s="75" t="s">
        <v>9062</v>
      </c>
      <c r="AK1694" s="53">
        <v>44772</v>
      </c>
    </row>
    <row r="1695" spans="1:37" ht="48">
      <c r="A1695" s="75" t="s">
        <v>8807</v>
      </c>
      <c r="B1695" s="23" t="s">
        <v>8808</v>
      </c>
      <c r="C1695" s="140">
        <v>44761</v>
      </c>
      <c r="D1695" s="23" t="s">
        <v>729</v>
      </c>
      <c r="E1695" s="23" t="s">
        <v>752</v>
      </c>
      <c r="F1695" s="23" t="s">
        <v>2200</v>
      </c>
      <c r="G1695" s="23" t="s">
        <v>301</v>
      </c>
      <c r="H1695" s="23">
        <v>20414369</v>
      </c>
      <c r="I1695" s="23">
        <v>20414369</v>
      </c>
      <c r="J1695" s="140">
        <v>44747</v>
      </c>
      <c r="K1695" s="23" t="s">
        <v>8809</v>
      </c>
      <c r="L1695" s="140">
        <v>44763</v>
      </c>
      <c r="T1695" s="23" t="s">
        <v>305</v>
      </c>
      <c r="U1695" s="23" t="s">
        <v>305</v>
      </c>
      <c r="V1695" s="23" t="s">
        <v>299</v>
      </c>
      <c r="W1695" s="23" t="s">
        <v>8810</v>
      </c>
      <c r="Y1695" s="23">
        <v>11868</v>
      </c>
      <c r="Z1695" s="38">
        <v>118800</v>
      </c>
      <c r="AB1695" s="60" t="s">
        <v>8811</v>
      </c>
      <c r="AC1695" s="59">
        <v>9</v>
      </c>
      <c r="AD1695" s="23">
        <v>0</v>
      </c>
      <c r="AE1695" s="23">
        <v>3</v>
      </c>
      <c r="AF1695" s="23" t="s">
        <v>3864</v>
      </c>
      <c r="AG1695" s="23" t="s">
        <v>659</v>
      </c>
      <c r="AH1695" s="39">
        <v>44770</v>
      </c>
      <c r="AI1695" s="53" t="s">
        <v>5851</v>
      </c>
      <c r="AJ1695" s="75" t="s">
        <v>9063</v>
      </c>
      <c r="AK1695" s="53">
        <v>44772</v>
      </c>
    </row>
    <row r="1696" spans="1:37" ht="112">
      <c r="A1696" s="75" t="s">
        <v>8813</v>
      </c>
      <c r="B1696" s="23" t="s">
        <v>8814</v>
      </c>
      <c r="C1696" s="140">
        <v>44758</v>
      </c>
      <c r="D1696" s="23" t="s">
        <v>729</v>
      </c>
      <c r="E1696" s="23" t="s">
        <v>752</v>
      </c>
      <c r="F1696" s="23" t="s">
        <v>4028</v>
      </c>
      <c r="G1696" s="23" t="s">
        <v>5698</v>
      </c>
      <c r="P1696" s="23" t="s">
        <v>8815</v>
      </c>
      <c r="Q1696" s="141" t="s">
        <v>8619</v>
      </c>
      <c r="T1696" s="23" t="s">
        <v>12031</v>
      </c>
      <c r="U1696" s="23" t="s">
        <v>12031</v>
      </c>
      <c r="V1696" s="23" t="s">
        <v>298</v>
      </c>
      <c r="W1696" s="23" t="s">
        <v>8946</v>
      </c>
      <c r="Y1696" s="38">
        <v>176715</v>
      </c>
      <c r="Z1696" s="23">
        <v>361.92099999999999</v>
      </c>
      <c r="AB1696" s="19" t="s">
        <v>8947</v>
      </c>
      <c r="AC1696" s="23" t="s">
        <v>8816</v>
      </c>
      <c r="AD1696" s="23">
        <v>0</v>
      </c>
      <c r="AE1696" s="23">
        <v>7</v>
      </c>
      <c r="AF1696" s="19" t="s">
        <v>8817</v>
      </c>
      <c r="AG1696" s="23" t="s">
        <v>8818</v>
      </c>
      <c r="AH1696" s="39">
        <v>44771</v>
      </c>
      <c r="AJ1696" s="75" t="s">
        <v>9064</v>
      </c>
      <c r="AK1696" s="53">
        <v>44776</v>
      </c>
    </row>
    <row r="1697" spans="1:37">
      <c r="A1697" s="75" t="s">
        <v>8827</v>
      </c>
      <c r="B1697" s="23" t="s">
        <v>8828</v>
      </c>
      <c r="C1697" s="140">
        <v>44770</v>
      </c>
      <c r="D1697" s="23" t="s">
        <v>729</v>
      </c>
      <c r="E1697" s="23" t="s">
        <v>752</v>
      </c>
      <c r="F1697" s="23" t="s">
        <v>6113</v>
      </c>
      <c r="G1697" s="23" t="s">
        <v>5538</v>
      </c>
      <c r="H1697" s="23" t="s">
        <v>8929</v>
      </c>
      <c r="I1697" s="23" t="s">
        <v>8929</v>
      </c>
      <c r="J1697" s="140">
        <v>44749</v>
      </c>
      <c r="T1697" s="23" t="s">
        <v>12031</v>
      </c>
      <c r="U1697" s="23" t="s">
        <v>12031</v>
      </c>
      <c r="V1697" s="23" t="s">
        <v>299</v>
      </c>
      <c r="W1697" s="23" t="s">
        <v>8829</v>
      </c>
      <c r="AB1697" s="23" t="s">
        <v>8830</v>
      </c>
      <c r="AC1697" s="23">
        <v>3</v>
      </c>
      <c r="AD1697" s="23">
        <v>0</v>
      </c>
      <c r="AE1697" s="23">
        <v>1</v>
      </c>
      <c r="AG1697" s="23" t="s">
        <v>5879</v>
      </c>
      <c r="AH1697" s="39">
        <v>44774</v>
      </c>
      <c r="AI1697" s="53" t="s">
        <v>5027</v>
      </c>
      <c r="AJ1697" s="75" t="s">
        <v>9065</v>
      </c>
      <c r="AK1697" s="53">
        <v>44776</v>
      </c>
    </row>
    <row r="1698" spans="1:37">
      <c r="A1698" s="75" t="s">
        <v>8831</v>
      </c>
      <c r="B1698" s="23" t="s">
        <v>8832</v>
      </c>
      <c r="C1698" s="140">
        <v>44770</v>
      </c>
      <c r="D1698" s="23" t="s">
        <v>729</v>
      </c>
      <c r="E1698" s="23" t="s">
        <v>752</v>
      </c>
      <c r="F1698" s="23" t="s">
        <v>6113</v>
      </c>
      <c r="G1698" s="23" t="s">
        <v>5538</v>
      </c>
      <c r="H1698" s="23" t="s">
        <v>8833</v>
      </c>
      <c r="I1698" s="23" t="s">
        <v>8833</v>
      </c>
      <c r="J1698" s="140">
        <v>44749</v>
      </c>
      <c r="T1698" s="23" t="s">
        <v>12031</v>
      </c>
      <c r="U1698" s="23" t="s">
        <v>12031</v>
      </c>
      <c r="V1698" s="23" t="s">
        <v>299</v>
      </c>
      <c r="W1698" s="23" t="s">
        <v>8834</v>
      </c>
      <c r="AB1698" s="59" t="s">
        <v>8835</v>
      </c>
      <c r="AC1698" s="23">
        <v>3</v>
      </c>
      <c r="AD1698" s="23">
        <v>0</v>
      </c>
      <c r="AE1698" s="23">
        <v>1</v>
      </c>
      <c r="AG1698" s="23" t="s">
        <v>5879</v>
      </c>
      <c r="AH1698" s="39">
        <v>44774</v>
      </c>
      <c r="AI1698" s="53" t="s">
        <v>5027</v>
      </c>
      <c r="AJ1698" s="75" t="s">
        <v>9066</v>
      </c>
      <c r="AK1698" s="53">
        <v>44776</v>
      </c>
    </row>
    <row r="1699" spans="1:37">
      <c r="A1699" s="104" t="s">
        <v>8836</v>
      </c>
      <c r="B1699" s="23" t="s">
        <v>8837</v>
      </c>
      <c r="C1699" s="140">
        <v>44765</v>
      </c>
      <c r="D1699" s="23" t="s">
        <v>729</v>
      </c>
      <c r="E1699" s="23" t="s">
        <v>752</v>
      </c>
      <c r="F1699" s="23" t="s">
        <v>57</v>
      </c>
      <c r="G1699" s="23" t="s">
        <v>57</v>
      </c>
      <c r="H1699" s="23" t="s">
        <v>8838</v>
      </c>
      <c r="I1699" s="23" t="s">
        <v>8838</v>
      </c>
      <c r="J1699" s="140">
        <v>44762</v>
      </c>
      <c r="K1699" s="23" t="s">
        <v>8839</v>
      </c>
      <c r="L1699" s="140">
        <v>44768</v>
      </c>
      <c r="P1699" s="23" t="s">
        <v>8840</v>
      </c>
      <c r="Q1699" s="141" t="s">
        <v>8841</v>
      </c>
      <c r="S1699" s="23" t="s">
        <v>184</v>
      </c>
      <c r="T1699" s="23" t="s">
        <v>302</v>
      </c>
      <c r="U1699" s="23" t="s">
        <v>302</v>
      </c>
      <c r="V1699" s="23" t="s">
        <v>233</v>
      </c>
      <c r="W1699" s="23" t="s">
        <v>284</v>
      </c>
      <c r="X1699" s="38">
        <v>8831</v>
      </c>
      <c r="Y1699" s="38">
        <v>9131</v>
      </c>
      <c r="Z1699" s="23">
        <v>14956.58</v>
      </c>
      <c r="AA1699" s="23">
        <v>13673.38</v>
      </c>
      <c r="AB1699" s="23" t="s">
        <v>8842</v>
      </c>
      <c r="AC1699" s="23" t="s">
        <v>286</v>
      </c>
      <c r="AD1699" s="23">
        <v>0</v>
      </c>
      <c r="AE1699" s="23">
        <v>1</v>
      </c>
      <c r="AF1699" s="23" t="s">
        <v>5478</v>
      </c>
      <c r="AG1699" s="23" t="s">
        <v>787</v>
      </c>
      <c r="AH1699" s="39">
        <v>44774</v>
      </c>
    </row>
    <row r="1700" spans="1:37">
      <c r="A1700" s="75" t="s">
        <v>8843</v>
      </c>
      <c r="B1700" s="23" t="s">
        <v>8844</v>
      </c>
      <c r="C1700" s="140">
        <v>44771</v>
      </c>
      <c r="D1700" s="23" t="s">
        <v>729</v>
      </c>
      <c r="E1700" s="23" t="s">
        <v>2919</v>
      </c>
      <c r="F1700" s="23" t="s">
        <v>5765</v>
      </c>
      <c r="G1700" s="23" t="s">
        <v>1724</v>
      </c>
      <c r="Q1700" s="141" t="s">
        <v>8845</v>
      </c>
      <c r="T1700" s="23" t="s">
        <v>3715</v>
      </c>
      <c r="U1700" s="23" t="s">
        <v>3715</v>
      </c>
      <c r="V1700" s="23" t="s">
        <v>298</v>
      </c>
      <c r="W1700" s="23" t="s">
        <v>8846</v>
      </c>
      <c r="Y1700" s="38">
        <v>17180</v>
      </c>
      <c r="Z1700" s="23">
        <v>68.2</v>
      </c>
      <c r="AB1700" s="23" t="s">
        <v>8847</v>
      </c>
      <c r="AC1700" s="23" t="s">
        <v>5160</v>
      </c>
      <c r="AD1700" s="23">
        <v>0</v>
      </c>
      <c r="AE1700" s="23">
        <v>3</v>
      </c>
      <c r="AF1700" s="23" t="s">
        <v>7646</v>
      </c>
      <c r="AG1700" s="23" t="s">
        <v>637</v>
      </c>
      <c r="AH1700" s="39">
        <v>44774</v>
      </c>
      <c r="AJ1700" s="75" t="s">
        <v>9067</v>
      </c>
      <c r="AK1700" s="53">
        <v>44775</v>
      </c>
    </row>
    <row r="1701" spans="1:37">
      <c r="A1701" s="75" t="s">
        <v>8848</v>
      </c>
      <c r="B1701" s="23" t="s">
        <v>8849</v>
      </c>
      <c r="C1701" s="140">
        <v>44771</v>
      </c>
      <c r="F1701" s="23" t="s">
        <v>5765</v>
      </c>
      <c r="G1701" s="23" t="s">
        <v>1724</v>
      </c>
      <c r="Q1701" s="141"/>
      <c r="W1701" s="23" t="s">
        <v>8846</v>
      </c>
      <c r="Y1701" s="38">
        <v>17700</v>
      </c>
      <c r="Z1701" s="23">
        <v>68.599999999999994</v>
      </c>
      <c r="AB1701" s="23" t="s">
        <v>8850</v>
      </c>
      <c r="AC1701" s="23" t="s">
        <v>5202</v>
      </c>
      <c r="AF1701" s="23" t="s">
        <v>7646</v>
      </c>
      <c r="AG1701" s="23" t="s">
        <v>637</v>
      </c>
      <c r="AH1701" s="39">
        <v>44774</v>
      </c>
    </row>
    <row r="1702" spans="1:37">
      <c r="A1702" s="75" t="s">
        <v>8851</v>
      </c>
      <c r="B1702" s="23" t="s">
        <v>8852</v>
      </c>
      <c r="C1702" s="140">
        <v>44774</v>
      </c>
      <c r="F1702" s="23" t="s">
        <v>7082</v>
      </c>
      <c r="G1702" s="23" t="s">
        <v>1724</v>
      </c>
      <c r="W1702" s="23" t="s">
        <v>2280</v>
      </c>
      <c r="Y1702" s="38">
        <v>8040</v>
      </c>
      <c r="Z1702" s="23">
        <v>68</v>
      </c>
      <c r="AB1702" s="23" t="s">
        <v>8853</v>
      </c>
      <c r="AC1702" s="23" t="s">
        <v>573</v>
      </c>
      <c r="AF1702" s="23" t="s">
        <v>3864</v>
      </c>
      <c r="AG1702" s="23" t="s">
        <v>666</v>
      </c>
      <c r="AH1702" s="39">
        <v>44774</v>
      </c>
    </row>
    <row r="1703" spans="1:37">
      <c r="A1703" s="75" t="s">
        <v>8854</v>
      </c>
      <c r="B1703" s="23" t="s">
        <v>8855</v>
      </c>
      <c r="C1703" s="140">
        <v>44761</v>
      </c>
      <c r="D1703" s="23" t="s">
        <v>729</v>
      </c>
      <c r="E1703" s="23" t="s">
        <v>752</v>
      </c>
      <c r="F1703" s="23" t="s">
        <v>5765</v>
      </c>
      <c r="G1703" s="23" t="s">
        <v>1724</v>
      </c>
      <c r="P1703" s="23" t="s">
        <v>8856</v>
      </c>
      <c r="Q1703" s="141" t="s">
        <v>8845</v>
      </c>
      <c r="T1703" s="23" t="s">
        <v>12031</v>
      </c>
      <c r="U1703" s="23" t="s">
        <v>12031</v>
      </c>
      <c r="V1703" s="23" t="s">
        <v>298</v>
      </c>
      <c r="W1703" s="23" t="s">
        <v>4803</v>
      </c>
      <c r="Y1703" s="37">
        <v>13735.08</v>
      </c>
      <c r="Z1703" s="23">
        <v>50</v>
      </c>
      <c r="AB1703" s="23" t="s">
        <v>8857</v>
      </c>
      <c r="AC1703" s="23" t="s">
        <v>8858</v>
      </c>
      <c r="AD1703" s="23">
        <v>0</v>
      </c>
      <c r="AE1703" s="23">
        <v>2</v>
      </c>
      <c r="AF1703" s="23" t="s">
        <v>5478</v>
      </c>
      <c r="AG1703" s="23" t="s">
        <v>5518</v>
      </c>
      <c r="AH1703" s="39">
        <v>44774</v>
      </c>
      <c r="AJ1703" s="75" t="s">
        <v>9068</v>
      </c>
      <c r="AK1703" s="53">
        <v>44775</v>
      </c>
    </row>
    <row r="1704" spans="1:37">
      <c r="A1704" s="75" t="s">
        <v>8859</v>
      </c>
      <c r="B1704" s="23" t="s">
        <v>8860</v>
      </c>
      <c r="C1704" s="140">
        <v>44761</v>
      </c>
      <c r="F1704" s="23" t="s">
        <v>5765</v>
      </c>
      <c r="G1704" s="23" t="s">
        <v>1724</v>
      </c>
      <c r="W1704" s="23" t="s">
        <v>8861</v>
      </c>
      <c r="Y1704" s="38">
        <v>17170</v>
      </c>
      <c r="Z1704" s="23">
        <v>68</v>
      </c>
      <c r="AB1704" s="23" t="s">
        <v>8862</v>
      </c>
      <c r="AC1704" s="23" t="s">
        <v>8863</v>
      </c>
      <c r="AF1704" s="23" t="s">
        <v>5478</v>
      </c>
      <c r="AG1704" s="23" t="s">
        <v>8864</v>
      </c>
      <c r="AH1704" s="39">
        <v>44774</v>
      </c>
    </row>
    <row r="1705" spans="1:37">
      <c r="A1705" s="75" t="s">
        <v>8865</v>
      </c>
      <c r="B1705" s="23" t="s">
        <v>8866</v>
      </c>
      <c r="C1705" s="140">
        <v>44769</v>
      </c>
      <c r="D1705" s="23" t="s">
        <v>729</v>
      </c>
      <c r="E1705" s="23" t="s">
        <v>752</v>
      </c>
      <c r="F1705" s="23" t="s">
        <v>6957</v>
      </c>
      <c r="G1705" s="23" t="s">
        <v>3469</v>
      </c>
      <c r="H1705" s="23" t="s">
        <v>8867</v>
      </c>
      <c r="I1705" s="23" t="s">
        <v>8867</v>
      </c>
      <c r="J1705" s="140">
        <v>44763</v>
      </c>
      <c r="T1705" s="23" t="s">
        <v>12031</v>
      </c>
      <c r="U1705" s="23" t="s">
        <v>12031</v>
      </c>
      <c r="V1705" s="23" t="s">
        <v>299</v>
      </c>
      <c r="W1705" s="23" t="s">
        <v>8868</v>
      </c>
      <c r="AB1705" s="23" t="s">
        <v>8561</v>
      </c>
      <c r="AC1705" s="23">
        <v>7</v>
      </c>
      <c r="AD1705" s="23">
        <v>0</v>
      </c>
      <c r="AE1705" s="23">
        <v>0</v>
      </c>
      <c r="AF1705" s="23" t="s">
        <v>8561</v>
      </c>
      <c r="AG1705" s="23" t="s">
        <v>5716</v>
      </c>
      <c r="AH1705" s="39">
        <v>44775</v>
      </c>
      <c r="AI1705" s="53" t="s">
        <v>5706</v>
      </c>
      <c r="AJ1705" s="75" t="s">
        <v>9069</v>
      </c>
      <c r="AK1705" s="53">
        <v>44776</v>
      </c>
    </row>
    <row r="1706" spans="1:37">
      <c r="A1706" s="75" t="s">
        <v>8869</v>
      </c>
      <c r="B1706" s="23" t="s">
        <v>8870</v>
      </c>
      <c r="C1706" s="140">
        <v>44774</v>
      </c>
      <c r="D1706" s="23" t="s">
        <v>729</v>
      </c>
      <c r="E1706" s="23" t="s">
        <v>2919</v>
      </c>
      <c r="F1706" s="23" t="s">
        <v>5765</v>
      </c>
      <c r="G1706" s="23" t="s">
        <v>1724</v>
      </c>
      <c r="Q1706" s="141" t="s">
        <v>8871</v>
      </c>
      <c r="T1706" s="23" t="s">
        <v>3715</v>
      </c>
      <c r="U1706" s="23" t="s">
        <v>3715</v>
      </c>
      <c r="V1706" s="23" t="s">
        <v>298</v>
      </c>
      <c r="W1706" s="23" t="s">
        <v>8872</v>
      </c>
      <c r="Y1706" s="38">
        <v>14400</v>
      </c>
      <c r="Z1706" s="23">
        <v>68</v>
      </c>
      <c r="AB1706" s="23" t="s">
        <v>8873</v>
      </c>
      <c r="AC1706" s="23" t="s">
        <v>5891</v>
      </c>
      <c r="AD1706" s="23">
        <v>0</v>
      </c>
      <c r="AE1706" s="23">
        <v>1</v>
      </c>
      <c r="AF1706" s="23" t="s">
        <v>7646</v>
      </c>
      <c r="AG1706" s="23" t="s">
        <v>666</v>
      </c>
      <c r="AH1706" s="39">
        <v>44775</v>
      </c>
      <c r="AJ1706" s="75" t="s">
        <v>9070</v>
      </c>
      <c r="AK1706" s="53">
        <v>44776</v>
      </c>
    </row>
    <row r="1707" spans="1:37">
      <c r="A1707" s="75" t="s">
        <v>8875</v>
      </c>
      <c r="B1707" s="23" t="s">
        <v>8876</v>
      </c>
      <c r="C1707" s="140">
        <v>44763</v>
      </c>
      <c r="D1707" s="23" t="s">
        <v>729</v>
      </c>
      <c r="E1707" s="23" t="s">
        <v>752</v>
      </c>
      <c r="F1707" s="23" t="s">
        <v>5765</v>
      </c>
      <c r="G1707" s="23" t="s">
        <v>1724</v>
      </c>
      <c r="P1707" s="23" t="s">
        <v>8877</v>
      </c>
      <c r="Q1707" s="141" t="s">
        <v>8871</v>
      </c>
      <c r="T1707" s="23" t="s">
        <v>12031</v>
      </c>
      <c r="U1707" s="23" t="s">
        <v>12031</v>
      </c>
      <c r="V1707" s="23" t="s">
        <v>298</v>
      </c>
      <c r="W1707" s="23" t="s">
        <v>7158</v>
      </c>
      <c r="Y1707" s="37">
        <v>11083.7</v>
      </c>
      <c r="Z1707" s="23">
        <v>45.5</v>
      </c>
      <c r="AB1707" s="23" t="s">
        <v>8878</v>
      </c>
      <c r="AC1707" s="23" t="s">
        <v>8879</v>
      </c>
      <c r="AD1707" s="23">
        <v>0</v>
      </c>
      <c r="AE1707" s="23">
        <v>1</v>
      </c>
      <c r="AF1707" s="23" t="s">
        <v>5478</v>
      </c>
      <c r="AG1707" s="23" t="s">
        <v>7161</v>
      </c>
      <c r="AH1707" s="39">
        <v>44776</v>
      </c>
      <c r="AJ1707" s="75" t="s">
        <v>9071</v>
      </c>
      <c r="AK1707" s="53">
        <v>44777</v>
      </c>
    </row>
    <row r="1708" spans="1:37" ht="32">
      <c r="A1708" s="75" t="s">
        <v>8880</v>
      </c>
      <c r="B1708" s="23" t="s">
        <v>8881</v>
      </c>
      <c r="C1708" s="140">
        <v>44764</v>
      </c>
      <c r="D1708" s="23" t="s">
        <v>729</v>
      </c>
      <c r="E1708" s="23" t="s">
        <v>752</v>
      </c>
      <c r="F1708" s="23" t="s">
        <v>2200</v>
      </c>
      <c r="G1708" s="23" t="s">
        <v>301</v>
      </c>
      <c r="H1708" s="23">
        <v>20415627</v>
      </c>
      <c r="I1708" s="23">
        <v>20415627</v>
      </c>
      <c r="J1708" s="140">
        <v>44756</v>
      </c>
      <c r="K1708" s="23" t="s">
        <v>8882</v>
      </c>
      <c r="L1708" s="140">
        <v>44769</v>
      </c>
      <c r="T1708" s="23" t="s">
        <v>305</v>
      </c>
      <c r="U1708" s="23" t="s">
        <v>305</v>
      </c>
      <c r="V1708" s="23" t="s">
        <v>299</v>
      </c>
      <c r="W1708" s="23" t="s">
        <v>8806</v>
      </c>
      <c r="Y1708" s="38">
        <v>7908</v>
      </c>
      <c r="Z1708" s="38">
        <v>82800</v>
      </c>
      <c r="AB1708" s="19" t="s">
        <v>9119</v>
      </c>
      <c r="AC1708" s="59">
        <v>6</v>
      </c>
      <c r="AD1708" s="23">
        <v>0</v>
      </c>
      <c r="AE1708" s="23">
        <v>2</v>
      </c>
      <c r="AG1708" s="23" t="s">
        <v>1553</v>
      </c>
      <c r="AH1708" s="39">
        <v>44776</v>
      </c>
      <c r="AI1708" s="53" t="s">
        <v>5851</v>
      </c>
      <c r="AJ1708" s="75" t="s">
        <v>9071</v>
      </c>
      <c r="AK1708" s="53">
        <v>44777</v>
      </c>
    </row>
    <row r="1709" spans="1:37" ht="32">
      <c r="A1709" s="75" t="s">
        <v>8883</v>
      </c>
      <c r="B1709" s="23" t="s">
        <v>8884</v>
      </c>
      <c r="C1709" s="140">
        <v>44764</v>
      </c>
      <c r="D1709" s="23" t="s">
        <v>729</v>
      </c>
      <c r="E1709" s="23" t="s">
        <v>752</v>
      </c>
      <c r="F1709" s="23" t="s">
        <v>2200</v>
      </c>
      <c r="G1709" s="23" t="s">
        <v>301</v>
      </c>
      <c r="H1709" s="23">
        <v>20415625</v>
      </c>
      <c r="I1709" s="23">
        <v>20415625</v>
      </c>
      <c r="J1709" s="140">
        <v>44756</v>
      </c>
      <c r="K1709" s="23" t="s">
        <v>8885</v>
      </c>
      <c r="L1709" s="140">
        <v>44769</v>
      </c>
      <c r="T1709" s="23" t="s">
        <v>305</v>
      </c>
      <c r="U1709" s="23" t="s">
        <v>305</v>
      </c>
      <c r="V1709" s="23" t="s">
        <v>299</v>
      </c>
      <c r="W1709" s="23" t="s">
        <v>8806</v>
      </c>
      <c r="Y1709" s="38">
        <v>7908</v>
      </c>
      <c r="Z1709" s="38">
        <v>82800</v>
      </c>
      <c r="AB1709" s="19" t="s">
        <v>9118</v>
      </c>
      <c r="AC1709" s="59">
        <v>6</v>
      </c>
      <c r="AD1709" s="23">
        <v>0</v>
      </c>
      <c r="AE1709" s="23">
        <v>2</v>
      </c>
      <c r="AG1709" s="23" t="s">
        <v>1553</v>
      </c>
      <c r="AH1709" s="39">
        <v>44776</v>
      </c>
      <c r="AI1709" s="53" t="s">
        <v>5851</v>
      </c>
      <c r="AJ1709" s="75" t="s">
        <v>9072</v>
      </c>
      <c r="AK1709" s="53">
        <v>44779</v>
      </c>
    </row>
    <row r="1710" spans="1:37" ht="96">
      <c r="A1710" s="75" t="s">
        <v>8886</v>
      </c>
      <c r="B1710" s="23" t="s">
        <v>8887</v>
      </c>
      <c r="C1710" s="140">
        <v>44764</v>
      </c>
      <c r="D1710" s="23" t="s">
        <v>729</v>
      </c>
      <c r="E1710" s="23" t="s">
        <v>752</v>
      </c>
      <c r="F1710" s="23" t="s">
        <v>2200</v>
      </c>
      <c r="G1710" s="23" t="s">
        <v>301</v>
      </c>
      <c r="H1710" s="23">
        <v>20415626</v>
      </c>
      <c r="I1710" s="23">
        <v>20415626</v>
      </c>
      <c r="J1710" s="140">
        <v>44756</v>
      </c>
      <c r="K1710" s="23" t="s">
        <v>8888</v>
      </c>
      <c r="L1710" s="140">
        <v>44769</v>
      </c>
      <c r="T1710" s="23" t="s">
        <v>305</v>
      </c>
      <c r="U1710" s="23" t="s">
        <v>305</v>
      </c>
      <c r="V1710" s="23" t="s">
        <v>299</v>
      </c>
      <c r="W1710" s="23" t="s">
        <v>8889</v>
      </c>
      <c r="Y1710" s="38">
        <v>24652</v>
      </c>
      <c r="Z1710" s="38">
        <v>224000</v>
      </c>
      <c r="AB1710" s="19" t="s">
        <v>9117</v>
      </c>
      <c r="AC1710" s="59">
        <v>18</v>
      </c>
      <c r="AD1710" s="23">
        <v>0</v>
      </c>
      <c r="AE1710" s="23">
        <v>6</v>
      </c>
      <c r="AG1710" s="23" t="s">
        <v>1553</v>
      </c>
      <c r="AH1710" s="39">
        <v>44776</v>
      </c>
      <c r="AI1710" s="53" t="s">
        <v>5851</v>
      </c>
      <c r="AJ1710" s="75" t="s">
        <v>9073</v>
      </c>
      <c r="AK1710" s="53">
        <v>44779</v>
      </c>
    </row>
    <row r="1711" spans="1:37" ht="224">
      <c r="A1711" s="75" t="s">
        <v>8890</v>
      </c>
      <c r="B1711" s="23" t="s">
        <v>8891</v>
      </c>
      <c r="C1711" s="140">
        <v>44764</v>
      </c>
      <c r="D1711" s="23" t="s">
        <v>729</v>
      </c>
      <c r="E1711" s="23" t="s">
        <v>752</v>
      </c>
      <c r="F1711" s="23" t="s">
        <v>2200</v>
      </c>
      <c r="G1711" s="23" t="s">
        <v>301</v>
      </c>
      <c r="H1711" s="23">
        <v>20415767</v>
      </c>
      <c r="I1711" s="23">
        <v>20415767</v>
      </c>
      <c r="J1711" s="140">
        <v>44756</v>
      </c>
      <c r="K1711" s="23" t="s">
        <v>8892</v>
      </c>
      <c r="L1711" s="140">
        <v>44769</v>
      </c>
      <c r="T1711" s="23" t="s">
        <v>305</v>
      </c>
      <c r="U1711" s="23" t="s">
        <v>305</v>
      </c>
      <c r="V1711" s="23" t="s">
        <v>299</v>
      </c>
      <c r="W1711" s="23" t="s">
        <v>8525</v>
      </c>
      <c r="Y1711" s="38">
        <v>57904</v>
      </c>
      <c r="Z1711" s="38">
        <v>546000</v>
      </c>
      <c r="AB1711" s="19" t="s">
        <v>9116</v>
      </c>
      <c r="AC1711" s="59">
        <v>28</v>
      </c>
      <c r="AD1711" s="23">
        <v>0</v>
      </c>
      <c r="AE1711" s="23">
        <v>14</v>
      </c>
      <c r="AG1711" s="23" t="s">
        <v>1553</v>
      </c>
      <c r="AH1711" s="39">
        <v>44776</v>
      </c>
      <c r="AI1711" s="53" t="s">
        <v>5851</v>
      </c>
      <c r="AJ1711" s="75" t="s">
        <v>9074</v>
      </c>
      <c r="AK1711" s="53">
        <v>44779</v>
      </c>
    </row>
    <row r="1712" spans="1:37">
      <c r="A1712" s="75" t="s">
        <v>8893</v>
      </c>
      <c r="B1712" s="23" t="s">
        <v>8894</v>
      </c>
      <c r="C1712" s="140">
        <v>44776</v>
      </c>
      <c r="D1712" s="23" t="s">
        <v>729</v>
      </c>
      <c r="E1712" s="23" t="s">
        <v>2919</v>
      </c>
      <c r="F1712" s="23" t="s">
        <v>5765</v>
      </c>
      <c r="G1712" s="23" t="s">
        <v>1724</v>
      </c>
      <c r="Q1712" s="141" t="s">
        <v>8895</v>
      </c>
      <c r="T1712" s="23" t="s">
        <v>3715</v>
      </c>
      <c r="U1712" s="23" t="s">
        <v>3715</v>
      </c>
      <c r="V1712" s="23" t="s">
        <v>298</v>
      </c>
      <c r="W1712" s="23" t="s">
        <v>8872</v>
      </c>
      <c r="Y1712" s="38">
        <v>15390</v>
      </c>
      <c r="Z1712" s="23">
        <v>68.599999999999994</v>
      </c>
      <c r="AB1712" s="23" t="s">
        <v>8896</v>
      </c>
      <c r="AC1712" s="23" t="s">
        <v>8897</v>
      </c>
      <c r="AD1712" s="23">
        <v>0</v>
      </c>
      <c r="AE1712" s="23">
        <v>1</v>
      </c>
      <c r="AF1712" s="23" t="s">
        <v>7646</v>
      </c>
      <c r="AG1712" s="23" t="s">
        <v>666</v>
      </c>
      <c r="AH1712" s="39">
        <v>44777</v>
      </c>
      <c r="AJ1712" s="75" t="s">
        <v>9075</v>
      </c>
      <c r="AK1712" s="53">
        <v>44778</v>
      </c>
    </row>
    <row r="1713" spans="1:37">
      <c r="A1713" s="75" t="s">
        <v>8899</v>
      </c>
      <c r="B1713" s="23" t="s">
        <v>8898</v>
      </c>
      <c r="C1713" s="140">
        <v>44777</v>
      </c>
      <c r="D1713" s="23" t="s">
        <v>729</v>
      </c>
      <c r="E1713" s="23" t="s">
        <v>2919</v>
      </c>
      <c r="F1713" s="23" t="s">
        <v>5765</v>
      </c>
      <c r="G1713" s="23" t="s">
        <v>1724</v>
      </c>
      <c r="Q1713" s="141" t="s">
        <v>8900</v>
      </c>
      <c r="T1713" s="23" t="s">
        <v>3715</v>
      </c>
      <c r="U1713" s="23" t="s">
        <v>3715</v>
      </c>
      <c r="V1713" s="23" t="s">
        <v>298</v>
      </c>
      <c r="W1713" s="23" t="s">
        <v>8872</v>
      </c>
      <c r="Y1713" s="38">
        <v>15520</v>
      </c>
      <c r="Z1713" s="23">
        <v>68.400000000000006</v>
      </c>
      <c r="AB1713" s="23" t="s">
        <v>8901</v>
      </c>
      <c r="AC1713" s="23" t="s">
        <v>8902</v>
      </c>
      <c r="AD1713" s="23">
        <v>0</v>
      </c>
      <c r="AE1713" s="23">
        <v>1</v>
      </c>
      <c r="AF1713" s="23" t="s">
        <v>7646</v>
      </c>
      <c r="AG1713" s="23" t="s">
        <v>666</v>
      </c>
      <c r="AH1713" s="39">
        <v>44778</v>
      </c>
      <c r="AJ1713" s="75" t="s">
        <v>9076</v>
      </c>
      <c r="AK1713" s="53">
        <v>44779</v>
      </c>
    </row>
    <row r="1714" spans="1:37">
      <c r="A1714" s="75" t="s">
        <v>8903</v>
      </c>
      <c r="B1714" s="23" t="s">
        <v>8904</v>
      </c>
      <c r="C1714" s="140">
        <v>44775</v>
      </c>
      <c r="D1714" s="23" t="s">
        <v>729</v>
      </c>
      <c r="E1714" s="23" t="s">
        <v>752</v>
      </c>
      <c r="F1714" s="23" t="s">
        <v>7082</v>
      </c>
      <c r="G1714" s="23" t="s">
        <v>1724</v>
      </c>
      <c r="P1714" s="23" t="s">
        <v>8905</v>
      </c>
      <c r="Q1714" s="141" t="s">
        <v>8900</v>
      </c>
      <c r="T1714" s="23" t="s">
        <v>12031</v>
      </c>
      <c r="U1714" s="23" t="s">
        <v>12031</v>
      </c>
      <c r="V1714" s="23" t="s">
        <v>298</v>
      </c>
      <c r="W1714" s="23" t="s">
        <v>6495</v>
      </c>
      <c r="Y1714" s="23">
        <v>22340</v>
      </c>
      <c r="Z1714" s="23">
        <v>68</v>
      </c>
      <c r="AB1714" s="23" t="s">
        <v>8906</v>
      </c>
      <c r="AC1714" s="23" t="s">
        <v>8907</v>
      </c>
      <c r="AD1714" s="23">
        <v>0</v>
      </c>
      <c r="AE1714" s="23">
        <v>3</v>
      </c>
      <c r="AF1714" s="23" t="s">
        <v>5478</v>
      </c>
      <c r="AG1714" s="23" t="s">
        <v>637</v>
      </c>
      <c r="AH1714" s="39">
        <v>44778</v>
      </c>
      <c r="AJ1714" s="75" t="s">
        <v>9077</v>
      </c>
      <c r="AK1714" s="53">
        <v>44779</v>
      </c>
    </row>
    <row r="1715" spans="1:37">
      <c r="A1715" s="75" t="s">
        <v>8908</v>
      </c>
      <c r="B1715" s="23" t="s">
        <v>8909</v>
      </c>
      <c r="C1715" s="140">
        <v>44775</v>
      </c>
      <c r="F1715" s="23" t="s">
        <v>7082</v>
      </c>
      <c r="G1715" s="23" t="s">
        <v>1724</v>
      </c>
      <c r="W1715" s="23" t="s">
        <v>6732</v>
      </c>
      <c r="Y1715" s="23">
        <v>18950</v>
      </c>
      <c r="Z1715" s="23">
        <v>68</v>
      </c>
      <c r="AB1715" s="23" t="s">
        <v>8914</v>
      </c>
      <c r="AC1715" s="23" t="s">
        <v>8910</v>
      </c>
      <c r="AF1715" s="23" t="s">
        <v>5478</v>
      </c>
      <c r="AG1715" s="23" t="s">
        <v>637</v>
      </c>
      <c r="AH1715" s="39">
        <v>44778</v>
      </c>
    </row>
    <row r="1716" spans="1:37">
      <c r="A1716" s="75" t="s">
        <v>8911</v>
      </c>
      <c r="B1716" s="23" t="s">
        <v>8912</v>
      </c>
      <c r="C1716" s="140">
        <v>44769</v>
      </c>
      <c r="F1716" s="23" t="s">
        <v>5765</v>
      </c>
      <c r="G1716" s="23" t="s">
        <v>1724</v>
      </c>
      <c r="P1716" s="23" t="s">
        <v>8913</v>
      </c>
      <c r="Q1716" s="141" t="s">
        <v>8895</v>
      </c>
      <c r="W1716" s="23" t="s">
        <v>6359</v>
      </c>
      <c r="Y1716" s="38">
        <v>21700</v>
      </c>
      <c r="Z1716" s="23">
        <v>68</v>
      </c>
      <c r="AB1716" s="23" t="s">
        <v>8915</v>
      </c>
      <c r="AC1716" s="23" t="s">
        <v>8916</v>
      </c>
      <c r="AF1716" s="23" t="s">
        <v>6434</v>
      </c>
      <c r="AG1716" s="23" t="s">
        <v>665</v>
      </c>
      <c r="AH1716" s="39">
        <v>44778</v>
      </c>
    </row>
    <row r="1717" spans="1:37">
      <c r="A1717" s="75" t="s">
        <v>8917</v>
      </c>
      <c r="B1717" s="23" t="s">
        <v>8918</v>
      </c>
      <c r="C1717" s="140">
        <v>44771</v>
      </c>
      <c r="D1717" s="23" t="s">
        <v>729</v>
      </c>
      <c r="E1717" s="23" t="s">
        <v>752</v>
      </c>
      <c r="F1717" s="23" t="s">
        <v>5765</v>
      </c>
      <c r="G1717" s="23" t="s">
        <v>1724</v>
      </c>
      <c r="P1717" s="23" t="s">
        <v>8905</v>
      </c>
      <c r="Q1717" s="141" t="s">
        <v>8900</v>
      </c>
      <c r="T1717" s="23" t="s">
        <v>12031</v>
      </c>
      <c r="U1717" s="23" t="s">
        <v>12031</v>
      </c>
      <c r="V1717" s="23" t="s">
        <v>298</v>
      </c>
      <c r="W1717" s="23" t="s">
        <v>6359</v>
      </c>
      <c r="Y1717" s="23">
        <v>22000</v>
      </c>
      <c r="Z1717" s="23">
        <v>68</v>
      </c>
      <c r="AB1717" s="23" t="s">
        <v>8919</v>
      </c>
      <c r="AC1717" s="23" t="s">
        <v>8920</v>
      </c>
      <c r="AD1717" s="23">
        <v>0</v>
      </c>
      <c r="AE1717" s="23">
        <v>3</v>
      </c>
      <c r="AF1717" s="23" t="s">
        <v>5478</v>
      </c>
      <c r="AG1717" s="23" t="s">
        <v>665</v>
      </c>
      <c r="AH1717" s="39">
        <v>44778</v>
      </c>
      <c r="AJ1717" s="75" t="s">
        <v>9078</v>
      </c>
      <c r="AK1717" s="53">
        <v>44779</v>
      </c>
    </row>
    <row r="1718" spans="1:37">
      <c r="A1718" s="75" t="s">
        <v>8921</v>
      </c>
      <c r="B1718" s="23" t="s">
        <v>8922</v>
      </c>
      <c r="C1718" s="140">
        <v>44771</v>
      </c>
      <c r="F1718" s="23" t="s">
        <v>5765</v>
      </c>
      <c r="G1718" s="23" t="s">
        <v>1724</v>
      </c>
      <c r="W1718" s="23" t="s">
        <v>6359</v>
      </c>
      <c r="Y1718" s="23">
        <v>22100</v>
      </c>
      <c r="Z1718" s="23">
        <v>68</v>
      </c>
      <c r="AB1718" s="23" t="s">
        <v>8923</v>
      </c>
      <c r="AC1718" s="23" t="s">
        <v>8924</v>
      </c>
      <c r="AF1718" s="23" t="s">
        <v>5478</v>
      </c>
      <c r="AG1718" s="23" t="s">
        <v>665</v>
      </c>
      <c r="AH1718" s="39">
        <v>44778</v>
      </c>
    </row>
    <row r="1719" spans="1:37">
      <c r="A1719" s="75" t="s">
        <v>8925</v>
      </c>
      <c r="B1719" s="23" t="s">
        <v>8926</v>
      </c>
      <c r="C1719" s="140">
        <v>44775</v>
      </c>
      <c r="F1719" s="23" t="s">
        <v>5765</v>
      </c>
      <c r="G1719" s="23" t="s">
        <v>1724</v>
      </c>
      <c r="W1719" s="23" t="s">
        <v>6359</v>
      </c>
      <c r="Y1719" s="23">
        <v>22500</v>
      </c>
      <c r="Z1719" s="23">
        <v>68</v>
      </c>
      <c r="AB1719" s="23" t="s">
        <v>8927</v>
      </c>
      <c r="AC1719" s="23" t="s">
        <v>8928</v>
      </c>
      <c r="AF1719" s="23" t="s">
        <v>5478</v>
      </c>
      <c r="AG1719" s="23" t="s">
        <v>665</v>
      </c>
      <c r="AH1719" s="39">
        <v>44778</v>
      </c>
    </row>
    <row r="1720" spans="1:37">
      <c r="A1720" s="75" t="s">
        <v>8930</v>
      </c>
      <c r="B1720" s="23" t="s">
        <v>8931</v>
      </c>
      <c r="C1720" s="140">
        <v>44775</v>
      </c>
      <c r="D1720" s="23" t="s">
        <v>729</v>
      </c>
      <c r="E1720" s="23" t="s">
        <v>752</v>
      </c>
      <c r="F1720" s="23" t="s">
        <v>4899</v>
      </c>
      <c r="G1720" s="23" t="s">
        <v>1724</v>
      </c>
      <c r="P1720" s="23" t="s">
        <v>8905</v>
      </c>
      <c r="Q1720" s="141" t="s">
        <v>8900</v>
      </c>
      <c r="T1720" s="23" t="s">
        <v>12031</v>
      </c>
      <c r="U1720" s="23" t="s">
        <v>12031</v>
      </c>
      <c r="V1720" s="23" t="s">
        <v>298</v>
      </c>
      <c r="W1720" s="23" t="s">
        <v>2280</v>
      </c>
      <c r="Y1720" s="23">
        <v>8050</v>
      </c>
      <c r="Z1720" s="23">
        <v>68</v>
      </c>
      <c r="AB1720" s="23" t="s">
        <v>8932</v>
      </c>
      <c r="AC1720" s="23" t="s">
        <v>8364</v>
      </c>
      <c r="AD1720" s="23">
        <v>0</v>
      </c>
      <c r="AE1720" s="23">
        <v>3</v>
      </c>
      <c r="AF1720" s="23" t="s">
        <v>5478</v>
      </c>
      <c r="AG1720" s="23" t="s">
        <v>666</v>
      </c>
      <c r="AH1720" s="39">
        <v>44781</v>
      </c>
      <c r="AJ1720" s="75" t="s">
        <v>9079</v>
      </c>
      <c r="AK1720" s="53">
        <v>44782</v>
      </c>
    </row>
    <row r="1721" spans="1:37">
      <c r="A1721" s="75" t="s">
        <v>8933</v>
      </c>
      <c r="B1721" s="23" t="s">
        <v>8934</v>
      </c>
      <c r="C1721" s="140">
        <v>44775</v>
      </c>
      <c r="F1721" s="23" t="s">
        <v>5765</v>
      </c>
      <c r="G1721" s="23" t="s">
        <v>1724</v>
      </c>
      <c r="W1721" s="23" t="s">
        <v>8938</v>
      </c>
      <c r="Y1721" s="23">
        <v>12500</v>
      </c>
      <c r="Z1721" s="23">
        <v>68</v>
      </c>
      <c r="AB1721" s="23" t="s">
        <v>8935</v>
      </c>
      <c r="AC1721" s="23" t="s">
        <v>7465</v>
      </c>
      <c r="AF1721" s="23" t="s">
        <v>5478</v>
      </c>
      <c r="AG1721" s="23" t="s">
        <v>666</v>
      </c>
      <c r="AH1721" s="39">
        <v>44781</v>
      </c>
    </row>
    <row r="1722" spans="1:37">
      <c r="A1722" s="75" t="s">
        <v>8936</v>
      </c>
      <c r="B1722" s="23" t="s">
        <v>8937</v>
      </c>
      <c r="C1722" s="140">
        <v>44777</v>
      </c>
      <c r="F1722" s="23" t="s">
        <v>5765</v>
      </c>
      <c r="G1722" s="23" t="s">
        <v>1724</v>
      </c>
      <c r="W1722" s="23" t="s">
        <v>8938</v>
      </c>
      <c r="Y1722" s="23">
        <v>17220</v>
      </c>
      <c r="Z1722" s="23">
        <v>68</v>
      </c>
      <c r="AB1722" s="23" t="s">
        <v>8939</v>
      </c>
      <c r="AC1722" s="23" t="s">
        <v>8940</v>
      </c>
      <c r="AF1722" s="23" t="s">
        <v>5478</v>
      </c>
      <c r="AG1722" s="23" t="s">
        <v>666</v>
      </c>
      <c r="AH1722" s="39">
        <v>44781</v>
      </c>
    </row>
    <row r="1723" spans="1:37" ht="64">
      <c r="A1723" s="75" t="s">
        <v>8941</v>
      </c>
      <c r="B1723" s="23" t="s">
        <v>8942</v>
      </c>
      <c r="C1723" s="140">
        <v>44765</v>
      </c>
      <c r="D1723" s="23" t="s">
        <v>729</v>
      </c>
      <c r="E1723" s="23" t="s">
        <v>752</v>
      </c>
      <c r="F1723" s="23" t="s">
        <v>6957</v>
      </c>
      <c r="G1723" s="23" t="s">
        <v>3469</v>
      </c>
      <c r="H1723" s="23" t="s">
        <v>8943</v>
      </c>
      <c r="I1723" s="23" t="s">
        <v>8943</v>
      </c>
      <c r="J1723" s="140">
        <v>44750</v>
      </c>
      <c r="T1723" s="23" t="s">
        <v>12031</v>
      </c>
      <c r="U1723" s="23" t="s">
        <v>12031</v>
      </c>
      <c r="V1723" s="23" t="s">
        <v>299</v>
      </c>
      <c r="W1723" s="23" t="s">
        <v>8944</v>
      </c>
      <c r="AB1723" s="19" t="s">
        <v>8945</v>
      </c>
      <c r="AC1723" s="23">
        <v>4</v>
      </c>
      <c r="AD1723" s="23">
        <v>0</v>
      </c>
      <c r="AE1723" s="23">
        <v>4</v>
      </c>
      <c r="AG1723" s="23" t="s">
        <v>5716</v>
      </c>
      <c r="AH1723" s="39">
        <v>44781</v>
      </c>
      <c r="AI1723" s="53" t="s">
        <v>5706</v>
      </c>
      <c r="AJ1723" s="75" t="s">
        <v>9080</v>
      </c>
      <c r="AK1723" s="53">
        <v>44783</v>
      </c>
    </row>
    <row r="1724" spans="1:37" ht="64">
      <c r="A1724" s="75" t="s">
        <v>8948</v>
      </c>
      <c r="B1724" s="23" t="s">
        <v>8949</v>
      </c>
      <c r="C1724" s="140">
        <v>44765</v>
      </c>
      <c r="D1724" s="23" t="s">
        <v>729</v>
      </c>
      <c r="E1724" s="23" t="s">
        <v>752</v>
      </c>
      <c r="F1724" s="23" t="s">
        <v>8493</v>
      </c>
      <c r="G1724" s="23" t="s">
        <v>3469</v>
      </c>
      <c r="H1724" s="23" t="s">
        <v>8950</v>
      </c>
      <c r="I1724" s="23" t="s">
        <v>8950</v>
      </c>
      <c r="J1724" s="140">
        <v>44756</v>
      </c>
      <c r="T1724" s="23" t="s">
        <v>12031</v>
      </c>
      <c r="U1724" s="23" t="s">
        <v>12031</v>
      </c>
      <c r="V1724" s="23" t="s">
        <v>299</v>
      </c>
      <c r="W1724" s="23" t="s">
        <v>8951</v>
      </c>
      <c r="AB1724" s="19" t="s">
        <v>8952</v>
      </c>
      <c r="AC1724" s="23">
        <v>12</v>
      </c>
      <c r="AD1724" s="23">
        <v>0</v>
      </c>
      <c r="AE1724" s="23">
        <v>4</v>
      </c>
      <c r="AG1724" s="23" t="s">
        <v>5879</v>
      </c>
      <c r="AH1724" s="39">
        <v>44781</v>
      </c>
      <c r="AI1724" s="53" t="s">
        <v>6975</v>
      </c>
      <c r="AJ1724" s="75" t="s">
        <v>9081</v>
      </c>
      <c r="AK1724" s="53">
        <v>44789</v>
      </c>
    </row>
    <row r="1725" spans="1:37" ht="48">
      <c r="A1725" s="75" t="s">
        <v>8953</v>
      </c>
      <c r="B1725" s="23" t="s">
        <v>8954</v>
      </c>
      <c r="C1725" s="140">
        <v>44775</v>
      </c>
      <c r="D1725" s="23" t="s">
        <v>729</v>
      </c>
      <c r="E1725" s="23" t="s">
        <v>752</v>
      </c>
      <c r="F1725" s="23" t="s">
        <v>3456</v>
      </c>
      <c r="G1725" s="23" t="s">
        <v>1989</v>
      </c>
      <c r="H1725" s="23" t="s">
        <v>8955</v>
      </c>
      <c r="I1725" s="23" t="s">
        <v>8955</v>
      </c>
      <c r="J1725" s="140">
        <v>44774</v>
      </c>
      <c r="T1725" s="23" t="s">
        <v>12031</v>
      </c>
      <c r="U1725" s="23" t="s">
        <v>12031</v>
      </c>
      <c r="V1725" s="23" t="s">
        <v>299</v>
      </c>
      <c r="W1725" s="23" t="s">
        <v>8956</v>
      </c>
      <c r="AB1725" s="19" t="s">
        <v>8957</v>
      </c>
      <c r="AC1725" s="23">
        <v>6</v>
      </c>
      <c r="AD1725" s="23">
        <v>0</v>
      </c>
      <c r="AE1725" s="23">
        <v>3</v>
      </c>
      <c r="AG1725" s="23" t="s">
        <v>8958</v>
      </c>
      <c r="AH1725" s="39">
        <v>44782</v>
      </c>
      <c r="AI1725" s="53" t="s">
        <v>3857</v>
      </c>
    </row>
    <row r="1726" spans="1:37">
      <c r="A1726" s="75" t="s">
        <v>8959</v>
      </c>
      <c r="B1726" s="23" t="s">
        <v>8960</v>
      </c>
      <c r="C1726" s="140">
        <v>44782</v>
      </c>
      <c r="D1726" s="23" t="s">
        <v>729</v>
      </c>
      <c r="E1726" s="23" t="s">
        <v>2919</v>
      </c>
      <c r="F1726" s="23" t="s">
        <v>5765</v>
      </c>
      <c r="G1726" s="23" t="s">
        <v>1724</v>
      </c>
      <c r="Q1726" s="141" t="s">
        <v>8961</v>
      </c>
      <c r="T1726" s="23" t="s">
        <v>3715</v>
      </c>
      <c r="U1726" s="23" t="s">
        <v>3715</v>
      </c>
      <c r="V1726" s="23" t="s">
        <v>298</v>
      </c>
      <c r="W1726" s="23" t="s">
        <v>8846</v>
      </c>
      <c r="Y1726" s="38">
        <v>16680</v>
      </c>
      <c r="Z1726" s="23">
        <v>68.2</v>
      </c>
      <c r="AB1726" s="23" t="s">
        <v>8962</v>
      </c>
      <c r="AC1726" s="23" t="s">
        <v>5836</v>
      </c>
      <c r="AD1726" s="23">
        <v>0</v>
      </c>
      <c r="AE1726" s="23">
        <v>1</v>
      </c>
      <c r="AF1726" s="23" t="s">
        <v>7646</v>
      </c>
      <c r="AG1726" s="23" t="s">
        <v>637</v>
      </c>
      <c r="AH1726" s="39">
        <v>44783</v>
      </c>
      <c r="AJ1726" s="75" t="s">
        <v>9082</v>
      </c>
      <c r="AK1726" s="53">
        <v>44784</v>
      </c>
    </row>
    <row r="1727" spans="1:37">
      <c r="A1727" s="75" t="s">
        <v>8963</v>
      </c>
      <c r="B1727" s="23" t="s">
        <v>8964</v>
      </c>
      <c r="C1727" s="140">
        <v>44772</v>
      </c>
      <c r="D1727" s="23" t="s">
        <v>729</v>
      </c>
      <c r="E1727" s="23" t="s">
        <v>752</v>
      </c>
      <c r="F1727" s="23" t="s">
        <v>5765</v>
      </c>
      <c r="G1727" s="23" t="s">
        <v>1724</v>
      </c>
      <c r="P1727" s="23" t="s">
        <v>8965</v>
      </c>
      <c r="Q1727" s="141" t="s">
        <v>8966</v>
      </c>
      <c r="T1727" s="23" t="s">
        <v>12031</v>
      </c>
      <c r="U1727" s="23" t="s">
        <v>12031</v>
      </c>
      <c r="V1727" s="23" t="s">
        <v>298</v>
      </c>
      <c r="W1727" s="23" t="s">
        <v>4803</v>
      </c>
      <c r="Y1727" s="37">
        <v>13800.3</v>
      </c>
      <c r="Z1727" s="23">
        <v>50</v>
      </c>
      <c r="AB1727" s="23" t="s">
        <v>8967</v>
      </c>
      <c r="AC1727" s="23" t="s">
        <v>8968</v>
      </c>
      <c r="AD1727" s="23">
        <v>0</v>
      </c>
      <c r="AE1727" s="23">
        <v>1</v>
      </c>
      <c r="AF1727" s="23" t="s">
        <v>5478</v>
      </c>
      <c r="AG1727" s="23" t="s">
        <v>5518</v>
      </c>
      <c r="AH1727" s="39">
        <v>44783</v>
      </c>
      <c r="AJ1727" s="75" t="s">
        <v>9083</v>
      </c>
      <c r="AK1727" s="53">
        <v>44784</v>
      </c>
    </row>
    <row r="1728" spans="1:37">
      <c r="A1728" s="75" t="s">
        <v>8969</v>
      </c>
      <c r="B1728" s="23" t="s">
        <v>8970</v>
      </c>
      <c r="C1728" s="140">
        <v>44783</v>
      </c>
      <c r="D1728" s="23" t="s">
        <v>729</v>
      </c>
      <c r="E1728" s="23" t="s">
        <v>2919</v>
      </c>
      <c r="F1728" s="23" t="s">
        <v>5765</v>
      </c>
      <c r="G1728" s="23" t="s">
        <v>1724</v>
      </c>
      <c r="Q1728" s="141" t="s">
        <v>8971</v>
      </c>
      <c r="T1728" s="23" t="s">
        <v>3715</v>
      </c>
      <c r="U1728" s="23" t="s">
        <v>3715</v>
      </c>
      <c r="V1728" s="23" t="s">
        <v>298</v>
      </c>
      <c r="W1728" s="23" t="s">
        <v>8846</v>
      </c>
      <c r="Y1728" s="38">
        <v>18025</v>
      </c>
      <c r="Z1728" s="23">
        <v>68.400000000000006</v>
      </c>
      <c r="AB1728" s="23" t="s">
        <v>8972</v>
      </c>
      <c r="AC1728" s="23" t="s">
        <v>8973</v>
      </c>
      <c r="AD1728" s="23">
        <v>0</v>
      </c>
      <c r="AE1728" s="23">
        <v>1</v>
      </c>
      <c r="AF1728" s="23" t="s">
        <v>7646</v>
      </c>
      <c r="AG1728" s="23" t="s">
        <v>637</v>
      </c>
      <c r="AH1728" s="39">
        <v>44784</v>
      </c>
      <c r="AJ1728" s="75" t="s">
        <v>9084</v>
      </c>
      <c r="AK1728" s="53">
        <v>44785</v>
      </c>
    </row>
    <row r="1729" spans="1:37">
      <c r="A1729" s="104" t="s">
        <v>8975</v>
      </c>
      <c r="B1729" s="23" t="s">
        <v>8974</v>
      </c>
      <c r="C1729" s="140">
        <v>44781</v>
      </c>
      <c r="D1729" s="23" t="s">
        <v>729</v>
      </c>
      <c r="E1729" s="23" t="s">
        <v>752</v>
      </c>
      <c r="F1729" s="23" t="s">
        <v>57</v>
      </c>
      <c r="G1729" s="23" t="s">
        <v>57</v>
      </c>
      <c r="H1729" s="23" t="s">
        <v>8976</v>
      </c>
      <c r="I1729" s="23" t="s">
        <v>8976</v>
      </c>
      <c r="J1729" s="140">
        <v>44778</v>
      </c>
      <c r="K1729" s="23" t="s">
        <v>8977</v>
      </c>
      <c r="L1729" s="140">
        <v>44782</v>
      </c>
      <c r="S1729" s="23" t="s">
        <v>183</v>
      </c>
      <c r="T1729" s="23" t="s">
        <v>305</v>
      </c>
      <c r="U1729" s="23" t="s">
        <v>305</v>
      </c>
      <c r="V1729" s="23" t="s">
        <v>233</v>
      </c>
      <c r="W1729" s="23" t="s">
        <v>68</v>
      </c>
      <c r="X1729" s="23">
        <v>12973.1</v>
      </c>
      <c r="Y1729" s="23">
        <v>13081.1</v>
      </c>
      <c r="Z1729" s="23">
        <v>14906.09</v>
      </c>
      <c r="AA1729" s="23">
        <v>13438.09</v>
      </c>
      <c r="AB1729" s="23" t="s">
        <v>8978</v>
      </c>
      <c r="AC1729" s="23" t="s">
        <v>8007</v>
      </c>
      <c r="AD1729" s="23">
        <v>0</v>
      </c>
      <c r="AE1729" s="23">
        <v>1</v>
      </c>
      <c r="AF1729" s="23" t="s">
        <v>5478</v>
      </c>
      <c r="AG1729" s="23" t="s">
        <v>792</v>
      </c>
      <c r="AH1729" s="39">
        <v>44784</v>
      </c>
    </row>
    <row r="1730" spans="1:37">
      <c r="A1730" s="75" t="s">
        <v>8979</v>
      </c>
      <c r="B1730" s="23" t="s">
        <v>8980</v>
      </c>
      <c r="C1730" s="140">
        <v>44782</v>
      </c>
      <c r="D1730" s="23" t="s">
        <v>729</v>
      </c>
      <c r="E1730" s="23" t="s">
        <v>752</v>
      </c>
      <c r="F1730" s="23" t="s">
        <v>6113</v>
      </c>
      <c r="G1730" s="23" t="s">
        <v>5538</v>
      </c>
      <c r="H1730" s="23" t="s">
        <v>8981</v>
      </c>
      <c r="I1730" s="23" t="s">
        <v>8981</v>
      </c>
      <c r="J1730" s="140">
        <v>44761</v>
      </c>
      <c r="T1730" s="23" t="s">
        <v>12031</v>
      </c>
      <c r="U1730" s="23" t="s">
        <v>12031</v>
      </c>
      <c r="V1730" s="23" t="s">
        <v>299</v>
      </c>
      <c r="W1730" s="23" t="s">
        <v>8834</v>
      </c>
      <c r="AB1730" s="59" t="s">
        <v>8982</v>
      </c>
      <c r="AC1730" s="23">
        <v>3</v>
      </c>
      <c r="AD1730" s="23">
        <v>0</v>
      </c>
      <c r="AE1730" s="23">
        <v>1</v>
      </c>
      <c r="AG1730" s="23" t="s">
        <v>5879</v>
      </c>
      <c r="AH1730" s="39">
        <v>44784</v>
      </c>
      <c r="AI1730" s="53" t="s">
        <v>5027</v>
      </c>
      <c r="AJ1730" s="75" t="s">
        <v>9085</v>
      </c>
      <c r="AK1730" s="53">
        <v>44789</v>
      </c>
    </row>
    <row r="1731" spans="1:37" ht="32">
      <c r="A1731" s="75" t="s">
        <v>8983</v>
      </c>
      <c r="B1731" s="23" t="s">
        <v>8984</v>
      </c>
      <c r="C1731" s="140">
        <v>44782</v>
      </c>
      <c r="D1731" s="23" t="s">
        <v>729</v>
      </c>
      <c r="E1731" s="23" t="s">
        <v>752</v>
      </c>
      <c r="F1731" s="23" t="s">
        <v>6113</v>
      </c>
      <c r="G1731" s="23" t="s">
        <v>5538</v>
      </c>
      <c r="H1731" s="23" t="s">
        <v>8985</v>
      </c>
      <c r="I1731" s="23" t="s">
        <v>8985</v>
      </c>
      <c r="J1731" s="140">
        <v>44774</v>
      </c>
      <c r="T1731" s="23" t="s">
        <v>12031</v>
      </c>
      <c r="U1731" s="23" t="s">
        <v>12031</v>
      </c>
      <c r="V1731" s="23" t="s">
        <v>299</v>
      </c>
      <c r="W1731" s="23" t="s">
        <v>8986</v>
      </c>
      <c r="AB1731" s="19" t="s">
        <v>9149</v>
      </c>
      <c r="AC1731" s="23">
        <v>6</v>
      </c>
      <c r="AD1731" s="23">
        <v>0</v>
      </c>
      <c r="AE1731" s="23">
        <v>2</v>
      </c>
      <c r="AG1731" s="23" t="s">
        <v>5388</v>
      </c>
      <c r="AH1731" s="39">
        <v>44784</v>
      </c>
      <c r="AI1731" s="53" t="s">
        <v>5027</v>
      </c>
      <c r="AJ1731" s="75" t="s">
        <v>9086</v>
      </c>
      <c r="AK1731" s="53">
        <v>44789</v>
      </c>
    </row>
    <row r="1732" spans="1:37">
      <c r="A1732" s="75" t="s">
        <v>8987</v>
      </c>
      <c r="B1732" s="23" t="s">
        <v>8990</v>
      </c>
      <c r="C1732" s="140">
        <v>44781</v>
      </c>
      <c r="D1732" s="23" t="s">
        <v>729</v>
      </c>
      <c r="E1732" s="23" t="s">
        <v>752</v>
      </c>
      <c r="F1732" s="23" t="s">
        <v>7082</v>
      </c>
      <c r="G1732" s="23" t="s">
        <v>1724</v>
      </c>
      <c r="P1732" s="23" t="s">
        <v>9008</v>
      </c>
      <c r="Q1732" s="141" t="s">
        <v>8971</v>
      </c>
      <c r="T1732" s="23" t="s">
        <v>12031</v>
      </c>
      <c r="U1732" s="23" t="s">
        <v>12031</v>
      </c>
      <c r="V1732" s="23" t="s">
        <v>298</v>
      </c>
      <c r="W1732" s="23" t="s">
        <v>6732</v>
      </c>
      <c r="Y1732" s="23">
        <v>21740</v>
      </c>
      <c r="Z1732" s="23">
        <v>68</v>
      </c>
      <c r="AB1732" s="23" t="s">
        <v>8991</v>
      </c>
      <c r="AC1732" s="23" t="s">
        <v>8992</v>
      </c>
      <c r="AD1732" s="23">
        <v>0</v>
      </c>
      <c r="AE1732" s="23">
        <v>5</v>
      </c>
      <c r="AF1732" s="23" t="s">
        <v>5478</v>
      </c>
      <c r="AG1732" s="23" t="s">
        <v>637</v>
      </c>
      <c r="AH1732" s="39">
        <v>44785</v>
      </c>
      <c r="AJ1732" s="75" t="s">
        <v>9087</v>
      </c>
      <c r="AK1732" s="53">
        <v>44786</v>
      </c>
    </row>
    <row r="1733" spans="1:37" ht="64">
      <c r="A1733" s="75" t="s">
        <v>8988</v>
      </c>
      <c r="B1733" s="23" t="s">
        <v>8994</v>
      </c>
      <c r="C1733" s="140">
        <v>44781</v>
      </c>
      <c r="F1733" s="23" t="s">
        <v>5765</v>
      </c>
      <c r="G1733" s="23" t="s">
        <v>1724</v>
      </c>
      <c r="T1733" s="23" t="s">
        <v>12031</v>
      </c>
      <c r="U1733" s="23" t="s">
        <v>12031</v>
      </c>
      <c r="V1733" s="23" t="s">
        <v>298</v>
      </c>
      <c r="W1733" s="23" t="s">
        <v>6359</v>
      </c>
      <c r="Y1733" s="23">
        <v>44500</v>
      </c>
      <c r="Z1733" s="23">
        <v>136</v>
      </c>
      <c r="AB1733" s="19" t="s">
        <v>8996</v>
      </c>
      <c r="AC1733" s="23" t="s">
        <v>8995</v>
      </c>
      <c r="AF1733" s="19" t="s">
        <v>7368</v>
      </c>
      <c r="AG1733" s="23" t="s">
        <v>665</v>
      </c>
      <c r="AH1733" s="39">
        <v>44785</v>
      </c>
    </row>
    <row r="1734" spans="1:37">
      <c r="A1734" s="75" t="s">
        <v>8989</v>
      </c>
      <c r="B1734" s="23" t="s">
        <v>8997</v>
      </c>
      <c r="C1734" s="140">
        <v>44781</v>
      </c>
      <c r="F1734" s="23" t="s">
        <v>5765</v>
      </c>
      <c r="G1734" s="23" t="s">
        <v>1724</v>
      </c>
      <c r="T1734" s="23" t="s">
        <v>12031</v>
      </c>
      <c r="U1734" s="23" t="s">
        <v>12031</v>
      </c>
      <c r="V1734" s="23" t="s">
        <v>298</v>
      </c>
      <c r="W1734" s="23" t="s">
        <v>6359</v>
      </c>
      <c r="Y1734" s="23">
        <v>21100</v>
      </c>
      <c r="Z1734" s="23">
        <v>68</v>
      </c>
      <c r="AB1734" s="23" t="s">
        <v>8998</v>
      </c>
      <c r="AC1734" s="23" t="s">
        <v>8999</v>
      </c>
      <c r="AF1734" s="23" t="s">
        <v>5478</v>
      </c>
      <c r="AG1734" s="23" t="s">
        <v>665</v>
      </c>
      <c r="AH1734" s="39">
        <v>44785</v>
      </c>
    </row>
    <row r="1735" spans="1:37">
      <c r="A1735" s="75" t="s">
        <v>8993</v>
      </c>
      <c r="B1735" s="23" t="s">
        <v>9000</v>
      </c>
      <c r="C1735" s="140">
        <v>44781</v>
      </c>
      <c r="F1735" s="23" t="s">
        <v>5765</v>
      </c>
      <c r="G1735" s="23" t="s">
        <v>1724</v>
      </c>
      <c r="T1735" s="23" t="s">
        <v>12031</v>
      </c>
      <c r="U1735" s="23" t="s">
        <v>12031</v>
      </c>
      <c r="V1735" s="23" t="s">
        <v>298</v>
      </c>
      <c r="W1735" s="23" t="s">
        <v>6359</v>
      </c>
      <c r="Y1735" s="23">
        <v>21700</v>
      </c>
      <c r="Z1735" s="23">
        <v>68</v>
      </c>
      <c r="AB1735" s="23" t="s">
        <v>9001</v>
      </c>
      <c r="AC1735" s="23" t="s">
        <v>9002</v>
      </c>
      <c r="AF1735" s="23" t="s">
        <v>5478</v>
      </c>
      <c r="AG1735" s="23" t="s">
        <v>665</v>
      </c>
      <c r="AH1735" s="39">
        <v>44785</v>
      </c>
    </row>
    <row r="1736" spans="1:37" ht="64">
      <c r="A1736" s="75" t="s">
        <v>9003</v>
      </c>
      <c r="B1736" s="23" t="s">
        <v>9004</v>
      </c>
      <c r="C1736" s="140">
        <v>44751</v>
      </c>
      <c r="D1736" s="23" t="s">
        <v>729</v>
      </c>
      <c r="E1736" s="23" t="s">
        <v>752</v>
      </c>
      <c r="F1736" s="23" t="s">
        <v>4899</v>
      </c>
      <c r="G1736" s="23" t="s">
        <v>1724</v>
      </c>
      <c r="P1736" s="23" t="s">
        <v>9005</v>
      </c>
      <c r="Q1736" s="141" t="s">
        <v>8971</v>
      </c>
      <c r="T1736" s="23" t="s">
        <v>12031</v>
      </c>
      <c r="U1736" s="23" t="s">
        <v>12031</v>
      </c>
      <c r="V1736" s="23" t="s">
        <v>298</v>
      </c>
      <c r="W1736" s="19" t="s">
        <v>9009</v>
      </c>
      <c r="Y1736" s="23">
        <v>11475</v>
      </c>
      <c r="Z1736" s="23" t="s">
        <v>2131</v>
      </c>
      <c r="AB1736" s="19" t="s">
        <v>9006</v>
      </c>
      <c r="AC1736" s="23" t="s">
        <v>123</v>
      </c>
      <c r="AD1736" s="23">
        <v>0</v>
      </c>
      <c r="AE1736" s="23">
        <v>2</v>
      </c>
      <c r="AF1736" s="19" t="s">
        <v>3214</v>
      </c>
      <c r="AG1736" s="23" t="s">
        <v>9007</v>
      </c>
      <c r="AH1736" s="39">
        <v>44785</v>
      </c>
      <c r="AJ1736" s="75" t="s">
        <v>9088</v>
      </c>
      <c r="AK1736" s="53">
        <v>44786</v>
      </c>
    </row>
    <row r="1737" spans="1:37">
      <c r="A1737" s="75" t="s">
        <v>9010</v>
      </c>
      <c r="B1737" s="23" t="s">
        <v>9011</v>
      </c>
      <c r="C1737" s="140">
        <v>44785</v>
      </c>
      <c r="D1737" s="23" t="s">
        <v>729</v>
      </c>
      <c r="E1737" s="23" t="s">
        <v>2919</v>
      </c>
      <c r="F1737" s="23" t="s">
        <v>7082</v>
      </c>
      <c r="G1737" s="23" t="s">
        <v>1724</v>
      </c>
      <c r="Q1737" s="141" t="s">
        <v>9012</v>
      </c>
      <c r="T1737" s="23" t="s">
        <v>3715</v>
      </c>
      <c r="U1737" s="23" t="s">
        <v>3715</v>
      </c>
      <c r="V1737" s="23" t="s">
        <v>298</v>
      </c>
      <c r="W1737" s="23" t="s">
        <v>2280</v>
      </c>
      <c r="Y1737" s="38">
        <v>5480</v>
      </c>
      <c r="Z1737" s="23">
        <v>27.5</v>
      </c>
      <c r="AB1737" s="23" t="s">
        <v>9013</v>
      </c>
      <c r="AC1737" s="23" t="s">
        <v>1147</v>
      </c>
      <c r="AD1737" s="23">
        <v>0</v>
      </c>
      <c r="AE1737" s="23">
        <v>1</v>
      </c>
      <c r="AF1737" s="23" t="s">
        <v>9014</v>
      </c>
      <c r="AG1737" s="23" t="s">
        <v>666</v>
      </c>
      <c r="AH1737" s="39">
        <v>44788</v>
      </c>
      <c r="AJ1737" s="75" t="s">
        <v>9089</v>
      </c>
      <c r="AK1737" s="53">
        <v>44789</v>
      </c>
    </row>
    <row r="1738" spans="1:37">
      <c r="A1738" s="75" t="s">
        <v>9015</v>
      </c>
      <c r="B1738" s="23" t="s">
        <v>9016</v>
      </c>
      <c r="C1738" s="140">
        <v>44788</v>
      </c>
      <c r="D1738" s="23" t="s">
        <v>729</v>
      </c>
      <c r="E1738" s="23" t="s">
        <v>2919</v>
      </c>
      <c r="F1738" s="23" t="s">
        <v>5765</v>
      </c>
      <c r="G1738" s="23" t="s">
        <v>1724</v>
      </c>
      <c r="Q1738" s="141" t="s">
        <v>9017</v>
      </c>
      <c r="T1738" s="23" t="s">
        <v>3715</v>
      </c>
      <c r="U1738" s="23" t="s">
        <v>3715</v>
      </c>
      <c r="V1738" s="23" t="s">
        <v>298</v>
      </c>
      <c r="W1738" s="23" t="s">
        <v>8846</v>
      </c>
      <c r="Y1738" s="38">
        <v>18180</v>
      </c>
      <c r="Z1738" s="23">
        <v>68.599999999999994</v>
      </c>
      <c r="AB1738" s="23" t="s">
        <v>9018</v>
      </c>
      <c r="AC1738" s="23" t="s">
        <v>5607</v>
      </c>
      <c r="AD1738" s="23">
        <v>0</v>
      </c>
      <c r="AE1738" s="23">
        <v>3</v>
      </c>
      <c r="AF1738" s="23" t="s">
        <v>7646</v>
      </c>
      <c r="AG1738" s="23" t="s">
        <v>637</v>
      </c>
      <c r="AH1738" s="39">
        <v>44789</v>
      </c>
      <c r="AJ1738" s="75" t="s">
        <v>9505</v>
      </c>
      <c r="AK1738" s="53">
        <v>44790</v>
      </c>
    </row>
    <row r="1739" spans="1:37">
      <c r="A1739" s="75" t="s">
        <v>9019</v>
      </c>
      <c r="B1739" s="23" t="s">
        <v>9020</v>
      </c>
      <c r="C1739" s="140">
        <v>44788</v>
      </c>
      <c r="F1739" s="23" t="s">
        <v>5765</v>
      </c>
      <c r="G1739" s="23" t="s">
        <v>1724</v>
      </c>
      <c r="W1739" s="23" t="s">
        <v>8872</v>
      </c>
      <c r="Y1739" s="38">
        <v>15900</v>
      </c>
      <c r="Z1739" s="23">
        <v>68.5</v>
      </c>
      <c r="AB1739" s="23" t="s">
        <v>9021</v>
      </c>
      <c r="AC1739" s="23" t="s">
        <v>9022</v>
      </c>
      <c r="AF1739" s="23" t="s">
        <v>7646</v>
      </c>
      <c r="AG1739" s="23" t="s">
        <v>666</v>
      </c>
      <c r="AH1739" s="39">
        <v>44789</v>
      </c>
    </row>
    <row r="1740" spans="1:37">
      <c r="A1740" s="75" t="s">
        <v>9023</v>
      </c>
      <c r="B1740" s="23" t="s">
        <v>9024</v>
      </c>
      <c r="C1740" s="140">
        <v>44788</v>
      </c>
      <c r="F1740" s="23" t="s">
        <v>7082</v>
      </c>
      <c r="G1740" s="23" t="s">
        <v>1724</v>
      </c>
      <c r="W1740" s="23" t="s">
        <v>2280</v>
      </c>
      <c r="Y1740" s="38">
        <v>8040</v>
      </c>
      <c r="Z1740" s="23">
        <v>68</v>
      </c>
      <c r="AB1740" s="23" t="s">
        <v>9025</v>
      </c>
      <c r="AC1740" s="23" t="s">
        <v>573</v>
      </c>
      <c r="AF1740" s="23" t="s">
        <v>9026</v>
      </c>
      <c r="AG1740" s="23" t="s">
        <v>666</v>
      </c>
      <c r="AH1740" s="39">
        <v>44789</v>
      </c>
    </row>
    <row r="1741" spans="1:37" ht="32">
      <c r="A1741" s="75" t="s">
        <v>9027</v>
      </c>
      <c r="B1741" s="23" t="s">
        <v>9028</v>
      </c>
      <c r="C1741" s="140">
        <v>44786</v>
      </c>
      <c r="D1741" s="23" t="s">
        <v>729</v>
      </c>
      <c r="E1741" s="23" t="s">
        <v>752</v>
      </c>
      <c r="F1741" s="23" t="s">
        <v>5765</v>
      </c>
      <c r="G1741" s="23" t="s">
        <v>1724</v>
      </c>
      <c r="P1741" s="23" t="s">
        <v>9029</v>
      </c>
      <c r="Q1741" s="141" t="s">
        <v>9017</v>
      </c>
      <c r="T1741" s="23" t="s">
        <v>12031</v>
      </c>
      <c r="U1741" s="23" t="s">
        <v>12031</v>
      </c>
      <c r="V1741" s="23" t="s">
        <v>298</v>
      </c>
      <c r="W1741" s="19" t="s">
        <v>7446</v>
      </c>
      <c r="Y1741" s="23">
        <v>29000</v>
      </c>
      <c r="Z1741" s="23">
        <v>136</v>
      </c>
      <c r="AB1741" s="19" t="s">
        <v>9031</v>
      </c>
      <c r="AC1741" s="23" t="s">
        <v>9030</v>
      </c>
      <c r="AD1741" s="23">
        <v>0</v>
      </c>
      <c r="AE1741" s="23">
        <v>2</v>
      </c>
      <c r="AF1741" s="19" t="s">
        <v>6379</v>
      </c>
      <c r="AG1741" s="23" t="s">
        <v>665</v>
      </c>
      <c r="AH1741" s="39">
        <v>44789</v>
      </c>
      <c r="AJ1741" s="75" t="s">
        <v>9506</v>
      </c>
      <c r="AK1741" s="53">
        <v>44790</v>
      </c>
    </row>
    <row r="1742" spans="1:37" ht="144">
      <c r="A1742" s="75" t="s">
        <v>9090</v>
      </c>
      <c r="B1742" s="23" t="s">
        <v>9091</v>
      </c>
      <c r="C1742" s="140">
        <v>44773</v>
      </c>
      <c r="D1742" s="23" t="s">
        <v>729</v>
      </c>
      <c r="E1742" s="23" t="s">
        <v>752</v>
      </c>
      <c r="F1742" s="23" t="s">
        <v>2200</v>
      </c>
      <c r="G1742" s="23" t="s">
        <v>301</v>
      </c>
      <c r="H1742" s="23">
        <v>20421021</v>
      </c>
      <c r="I1742" s="23">
        <v>20421021</v>
      </c>
      <c r="J1742" s="140">
        <v>44771</v>
      </c>
      <c r="K1742" s="23" t="s">
        <v>9092</v>
      </c>
      <c r="L1742" s="140">
        <v>44778</v>
      </c>
      <c r="Q1742" s="141" t="s">
        <v>9093</v>
      </c>
      <c r="T1742" s="23" t="s">
        <v>305</v>
      </c>
      <c r="U1742" s="23" t="s">
        <v>305</v>
      </c>
      <c r="V1742" s="23" t="s">
        <v>299</v>
      </c>
      <c r="W1742" s="23" t="s">
        <v>9094</v>
      </c>
      <c r="Y1742" s="23">
        <v>36720</v>
      </c>
      <c r="Z1742" s="23">
        <v>396000</v>
      </c>
      <c r="AB1742" s="19" t="s">
        <v>9220</v>
      </c>
      <c r="AC1742" s="59">
        <v>18</v>
      </c>
      <c r="AD1742" s="23">
        <v>0</v>
      </c>
      <c r="AE1742" s="23">
        <v>9</v>
      </c>
      <c r="AG1742" s="23" t="s">
        <v>1553</v>
      </c>
      <c r="AH1742" s="39">
        <v>44790</v>
      </c>
      <c r="AI1742" s="53" t="s">
        <v>5852</v>
      </c>
      <c r="AJ1742" s="75" t="s">
        <v>9507</v>
      </c>
      <c r="AK1742" s="53">
        <v>44793</v>
      </c>
    </row>
    <row r="1743" spans="1:37" ht="80">
      <c r="A1743" s="75" t="s">
        <v>9095</v>
      </c>
      <c r="B1743" s="23" t="s">
        <v>9096</v>
      </c>
      <c r="C1743" s="140">
        <v>44773</v>
      </c>
      <c r="D1743" s="23" t="s">
        <v>729</v>
      </c>
      <c r="E1743" s="23" t="s">
        <v>752</v>
      </c>
      <c r="F1743" s="23" t="s">
        <v>2200</v>
      </c>
      <c r="G1743" s="23" t="s">
        <v>301</v>
      </c>
      <c r="H1743" s="23">
        <v>20421022</v>
      </c>
      <c r="I1743" s="23">
        <v>20421022</v>
      </c>
      <c r="J1743" s="140">
        <v>44771</v>
      </c>
      <c r="K1743" s="23" t="s">
        <v>9097</v>
      </c>
      <c r="L1743" s="140">
        <v>44778</v>
      </c>
      <c r="Q1743" s="141" t="s">
        <v>9093</v>
      </c>
      <c r="T1743" s="23" t="s">
        <v>305</v>
      </c>
      <c r="U1743" s="23" t="s">
        <v>305</v>
      </c>
      <c r="V1743" s="23" t="s">
        <v>299</v>
      </c>
      <c r="W1743" s="23" t="s">
        <v>9094</v>
      </c>
      <c r="Y1743" s="23">
        <v>18360</v>
      </c>
      <c r="Z1743" s="23">
        <v>198000</v>
      </c>
      <c r="AB1743" s="19" t="s">
        <v>9221</v>
      </c>
      <c r="AC1743" s="59">
        <v>9</v>
      </c>
      <c r="AD1743" s="23">
        <v>1</v>
      </c>
      <c r="AE1743" s="23">
        <v>4</v>
      </c>
      <c r="AG1743" s="23" t="s">
        <v>1553</v>
      </c>
      <c r="AH1743" s="39">
        <v>44790</v>
      </c>
      <c r="AI1743" s="53" t="s">
        <v>5852</v>
      </c>
      <c r="AJ1743" s="75" t="s">
        <v>9508</v>
      </c>
      <c r="AK1743" s="53">
        <v>44793</v>
      </c>
    </row>
    <row r="1744" spans="1:37" ht="32">
      <c r="A1744" s="75" t="s">
        <v>9098</v>
      </c>
      <c r="B1744" s="23" t="s">
        <v>9106</v>
      </c>
      <c r="C1744" s="140">
        <v>44781</v>
      </c>
      <c r="D1744" s="23" t="s">
        <v>729</v>
      </c>
      <c r="E1744" s="23" t="s">
        <v>752</v>
      </c>
      <c r="F1744" s="23" t="s">
        <v>2200</v>
      </c>
      <c r="G1744" s="23" t="s">
        <v>301</v>
      </c>
      <c r="H1744" s="23" t="s">
        <v>9107</v>
      </c>
      <c r="I1744" s="23" t="s">
        <v>9107</v>
      </c>
      <c r="J1744" s="140">
        <v>44776</v>
      </c>
      <c r="K1744" s="23" t="s">
        <v>9108</v>
      </c>
      <c r="L1744" s="140">
        <v>44783</v>
      </c>
      <c r="Q1744" s="141" t="s">
        <v>9093</v>
      </c>
      <c r="T1744" s="23" t="s">
        <v>305</v>
      </c>
      <c r="U1744" s="23" t="s">
        <v>305</v>
      </c>
      <c r="V1744" s="23" t="s">
        <v>299</v>
      </c>
      <c r="W1744" s="23" t="s">
        <v>8806</v>
      </c>
      <c r="Y1744" s="23">
        <v>6590</v>
      </c>
      <c r="Z1744" s="23">
        <v>69000</v>
      </c>
      <c r="AB1744" s="19" t="s">
        <v>9231</v>
      </c>
      <c r="AC1744" s="59">
        <v>5</v>
      </c>
      <c r="AD1744" s="23">
        <v>0</v>
      </c>
      <c r="AE1744" s="23">
        <v>2</v>
      </c>
      <c r="AG1744" s="23" t="s">
        <v>1553</v>
      </c>
      <c r="AH1744" s="39">
        <v>44790</v>
      </c>
      <c r="AI1744" s="53" t="s">
        <v>5851</v>
      </c>
      <c r="AJ1744" s="75" t="s">
        <v>9509</v>
      </c>
      <c r="AK1744" s="53">
        <v>44793</v>
      </c>
    </row>
    <row r="1745" spans="1:37" ht="16">
      <c r="A1745" s="75" t="s">
        <v>9102</v>
      </c>
      <c r="B1745" s="23" t="s">
        <v>9099</v>
      </c>
      <c r="C1745" s="140">
        <v>44781</v>
      </c>
      <c r="D1745" s="23" t="s">
        <v>729</v>
      </c>
      <c r="E1745" s="23" t="s">
        <v>752</v>
      </c>
      <c r="F1745" s="23" t="s">
        <v>2200</v>
      </c>
      <c r="G1745" s="23" t="s">
        <v>301</v>
      </c>
      <c r="H1745" s="23">
        <v>20419500</v>
      </c>
      <c r="I1745" s="23">
        <v>20419500</v>
      </c>
      <c r="J1745" s="140">
        <v>44776</v>
      </c>
      <c r="K1745" s="23" t="s">
        <v>9100</v>
      </c>
      <c r="L1745" s="140">
        <v>44783</v>
      </c>
      <c r="Q1745" s="141" t="s">
        <v>9093</v>
      </c>
      <c r="T1745" s="23" t="s">
        <v>305</v>
      </c>
      <c r="U1745" s="23" t="s">
        <v>305</v>
      </c>
      <c r="V1745" s="23" t="s">
        <v>299</v>
      </c>
      <c r="W1745" s="19" t="s">
        <v>9101</v>
      </c>
      <c r="Y1745" s="23">
        <v>1320</v>
      </c>
      <c r="Z1745" s="23">
        <v>12000</v>
      </c>
      <c r="AB1745" s="59" t="s">
        <v>9114</v>
      </c>
      <c r="AC1745" s="59">
        <v>1</v>
      </c>
      <c r="AD1745" s="23">
        <v>0</v>
      </c>
      <c r="AE1745" s="23">
        <v>0</v>
      </c>
      <c r="AG1745" s="23" t="s">
        <v>1553</v>
      </c>
      <c r="AH1745" s="39">
        <v>44790</v>
      </c>
      <c r="AI1745" s="53" t="s">
        <v>5851</v>
      </c>
    </row>
    <row r="1746" spans="1:37" ht="128">
      <c r="A1746" s="75" t="s">
        <v>9105</v>
      </c>
      <c r="B1746" s="23" t="s">
        <v>9110</v>
      </c>
      <c r="C1746" s="140">
        <v>44781</v>
      </c>
      <c r="D1746" s="23" t="s">
        <v>729</v>
      </c>
      <c r="E1746" s="23" t="s">
        <v>752</v>
      </c>
      <c r="F1746" s="23" t="s">
        <v>2200</v>
      </c>
      <c r="G1746" s="23" t="s">
        <v>301</v>
      </c>
      <c r="H1746" s="23" t="s">
        <v>9111</v>
      </c>
      <c r="I1746" s="23" t="s">
        <v>9111</v>
      </c>
      <c r="J1746" s="140">
        <v>44776</v>
      </c>
      <c r="K1746" s="23" t="s">
        <v>9112</v>
      </c>
      <c r="L1746" s="140">
        <v>44783</v>
      </c>
      <c r="Q1746" s="141" t="s">
        <v>9093</v>
      </c>
      <c r="T1746" s="23" t="s">
        <v>305</v>
      </c>
      <c r="U1746" s="23" t="s">
        <v>305</v>
      </c>
      <c r="V1746" s="23" t="s">
        <v>299</v>
      </c>
      <c r="W1746" s="19" t="s">
        <v>9113</v>
      </c>
      <c r="Y1746" s="23">
        <v>33868</v>
      </c>
      <c r="Z1746" s="23">
        <v>334050</v>
      </c>
      <c r="AB1746" s="19" t="s">
        <v>9232</v>
      </c>
      <c r="AC1746" s="59">
        <v>22</v>
      </c>
      <c r="AD1746" s="23">
        <v>0</v>
      </c>
      <c r="AE1746" s="23">
        <v>8</v>
      </c>
      <c r="AG1746" s="23" t="s">
        <v>1553</v>
      </c>
      <c r="AH1746" s="39">
        <v>44790</v>
      </c>
      <c r="AI1746" s="53" t="s">
        <v>5851</v>
      </c>
      <c r="AJ1746" s="75" t="s">
        <v>9510</v>
      </c>
      <c r="AK1746" s="53">
        <v>44793</v>
      </c>
    </row>
    <row r="1747" spans="1:37">
      <c r="A1747" s="75" t="s">
        <v>9109</v>
      </c>
      <c r="B1747" s="23" t="s">
        <v>9103</v>
      </c>
      <c r="C1747" s="140">
        <v>44781</v>
      </c>
      <c r="D1747" s="23" t="s">
        <v>729</v>
      </c>
      <c r="E1747" s="23" t="s">
        <v>752</v>
      </c>
      <c r="F1747" s="23" t="s">
        <v>2200</v>
      </c>
      <c r="G1747" s="23" t="s">
        <v>301</v>
      </c>
      <c r="H1747" s="23">
        <v>20419501</v>
      </c>
      <c r="I1747" s="23">
        <v>20419501</v>
      </c>
      <c r="J1747" s="140">
        <v>44776</v>
      </c>
      <c r="K1747" s="23" t="s">
        <v>9104</v>
      </c>
      <c r="L1747" s="140">
        <v>44783</v>
      </c>
      <c r="Q1747" s="141" t="s">
        <v>9093</v>
      </c>
      <c r="T1747" s="23" t="s">
        <v>305</v>
      </c>
      <c r="U1747" s="23" t="s">
        <v>305</v>
      </c>
      <c r="V1747" s="23" t="s">
        <v>299</v>
      </c>
      <c r="W1747" s="23" t="s">
        <v>8806</v>
      </c>
      <c r="Y1747" s="23">
        <v>2636</v>
      </c>
      <c r="Z1747" s="23">
        <v>27600</v>
      </c>
      <c r="AB1747" s="59" t="s">
        <v>9115</v>
      </c>
      <c r="AC1747" s="59">
        <v>2</v>
      </c>
      <c r="AD1747" s="23">
        <v>0</v>
      </c>
      <c r="AE1747" s="23">
        <v>0</v>
      </c>
      <c r="AG1747" s="23" t="s">
        <v>1553</v>
      </c>
      <c r="AH1747" s="39">
        <v>44790</v>
      </c>
      <c r="AI1747" s="53" t="s">
        <v>5851</v>
      </c>
      <c r="AJ1747" s="75" t="s">
        <v>9510</v>
      </c>
      <c r="AK1747" s="53">
        <v>44793</v>
      </c>
    </row>
    <row r="1748" spans="1:37">
      <c r="A1748" s="75" t="s">
        <v>9120</v>
      </c>
      <c r="B1748" s="23" t="s">
        <v>9121</v>
      </c>
      <c r="C1748" s="140">
        <v>44790</v>
      </c>
      <c r="D1748" s="23" t="s">
        <v>729</v>
      </c>
      <c r="E1748" s="23" t="s">
        <v>2919</v>
      </c>
      <c r="F1748" s="23" t="s">
        <v>5765</v>
      </c>
      <c r="G1748" s="23" t="s">
        <v>1724</v>
      </c>
      <c r="Q1748" s="141" t="s">
        <v>9017</v>
      </c>
      <c r="T1748" s="23" t="s">
        <v>3715</v>
      </c>
      <c r="U1748" s="23" t="s">
        <v>3715</v>
      </c>
      <c r="V1748" s="23" t="s">
        <v>298</v>
      </c>
      <c r="W1748" s="23" t="s">
        <v>8872</v>
      </c>
      <c r="Y1748" s="37">
        <v>16270</v>
      </c>
      <c r="Z1748" s="23">
        <v>68.599999999999994</v>
      </c>
      <c r="AB1748" s="135" t="s">
        <v>9122</v>
      </c>
      <c r="AC1748" s="23" t="s">
        <v>8897</v>
      </c>
      <c r="AD1748" s="23">
        <v>0</v>
      </c>
      <c r="AE1748" s="23">
        <v>1</v>
      </c>
      <c r="AF1748" s="23" t="s">
        <v>3260</v>
      </c>
      <c r="AG1748" s="23" t="s">
        <v>666</v>
      </c>
      <c r="AH1748" s="39">
        <v>44791</v>
      </c>
      <c r="AJ1748" s="75" t="s">
        <v>9511</v>
      </c>
      <c r="AK1748" s="53">
        <v>44792</v>
      </c>
    </row>
    <row r="1749" spans="1:37" ht="16">
      <c r="A1749" s="75" t="s">
        <v>9123</v>
      </c>
      <c r="B1749" s="23" t="s">
        <v>9127</v>
      </c>
      <c r="C1749" s="140">
        <v>44781</v>
      </c>
      <c r="D1749" s="23" t="s">
        <v>729</v>
      </c>
      <c r="E1749" s="23" t="s">
        <v>752</v>
      </c>
      <c r="F1749" s="23" t="s">
        <v>5765</v>
      </c>
      <c r="G1749" s="23" t="s">
        <v>1724</v>
      </c>
      <c r="P1749" s="23" t="s">
        <v>9008</v>
      </c>
      <c r="Q1749" s="141" t="s">
        <v>9128</v>
      </c>
      <c r="T1749" s="23" t="s">
        <v>12031</v>
      </c>
      <c r="U1749" s="23" t="s">
        <v>12031</v>
      </c>
      <c r="V1749" s="23" t="s">
        <v>298</v>
      </c>
      <c r="W1749" s="19" t="s">
        <v>8938</v>
      </c>
      <c r="Y1749" s="23">
        <v>10550</v>
      </c>
      <c r="Z1749" s="23">
        <v>68</v>
      </c>
      <c r="AB1749" s="59" t="s">
        <v>9129</v>
      </c>
      <c r="AC1749" s="23" t="s">
        <v>9130</v>
      </c>
      <c r="AD1749" s="23">
        <v>0</v>
      </c>
      <c r="AE1749" s="23">
        <v>4</v>
      </c>
      <c r="AF1749" s="23" t="s">
        <v>5478</v>
      </c>
      <c r="AG1749" s="23" t="s">
        <v>666</v>
      </c>
      <c r="AH1749" s="39">
        <v>44792</v>
      </c>
      <c r="AJ1749" s="75" t="s">
        <v>9512</v>
      </c>
      <c r="AK1749" s="53">
        <v>44793</v>
      </c>
    </row>
    <row r="1750" spans="1:37" ht="32">
      <c r="A1750" s="75" t="s">
        <v>9124</v>
      </c>
      <c r="B1750" s="23" t="s">
        <v>9131</v>
      </c>
      <c r="C1750" s="140">
        <v>44781</v>
      </c>
      <c r="F1750" s="23" t="s">
        <v>5765</v>
      </c>
      <c r="G1750" s="23" t="s">
        <v>1724</v>
      </c>
      <c r="Q1750" s="141"/>
      <c r="W1750" s="23" t="s">
        <v>8938</v>
      </c>
      <c r="Y1750" s="23">
        <v>17220</v>
      </c>
      <c r="Z1750" s="23">
        <v>68</v>
      </c>
      <c r="AB1750" s="19" t="s">
        <v>9132</v>
      </c>
      <c r="AC1750" s="23" t="s">
        <v>9133</v>
      </c>
      <c r="AF1750" s="23" t="s">
        <v>5478</v>
      </c>
      <c r="AG1750" s="23" t="s">
        <v>666</v>
      </c>
      <c r="AH1750" s="39">
        <v>44792</v>
      </c>
    </row>
    <row r="1751" spans="1:37" ht="32">
      <c r="A1751" s="75" t="s">
        <v>9125</v>
      </c>
      <c r="B1751" s="23" t="s">
        <v>9134</v>
      </c>
      <c r="C1751" s="140">
        <v>44788</v>
      </c>
      <c r="F1751" s="23" t="s">
        <v>5765</v>
      </c>
      <c r="G1751" s="23" t="s">
        <v>1724</v>
      </c>
      <c r="W1751" s="23" t="s">
        <v>8938</v>
      </c>
      <c r="Y1751" s="23">
        <v>17220</v>
      </c>
      <c r="Z1751" s="23">
        <v>68</v>
      </c>
      <c r="AB1751" s="19" t="s">
        <v>9135</v>
      </c>
      <c r="AC1751" s="136" t="s">
        <v>9136</v>
      </c>
      <c r="AF1751" s="23" t="s">
        <v>5478</v>
      </c>
      <c r="AG1751" s="23" t="s">
        <v>666</v>
      </c>
      <c r="AH1751" s="39">
        <v>44792</v>
      </c>
    </row>
    <row r="1752" spans="1:37" ht="16">
      <c r="A1752" s="75" t="s">
        <v>9126</v>
      </c>
      <c r="B1752" s="23" t="s">
        <v>9137</v>
      </c>
      <c r="C1752" s="140">
        <v>44781</v>
      </c>
      <c r="F1752" s="23" t="s">
        <v>5765</v>
      </c>
      <c r="G1752" s="23" t="s">
        <v>1724</v>
      </c>
      <c r="P1752" s="23" t="s">
        <v>9138</v>
      </c>
      <c r="Q1752" s="141" t="s">
        <v>9128</v>
      </c>
      <c r="W1752" s="19" t="s">
        <v>7158</v>
      </c>
      <c r="Y1752" s="37">
        <v>16459</v>
      </c>
      <c r="Z1752" s="23">
        <v>45.5</v>
      </c>
      <c r="AB1752" s="23" t="s">
        <v>9139</v>
      </c>
      <c r="AC1752" s="23" t="s">
        <v>9140</v>
      </c>
      <c r="AF1752" s="23" t="s">
        <v>5478</v>
      </c>
      <c r="AG1752" s="23" t="s">
        <v>7161</v>
      </c>
      <c r="AH1752" s="39">
        <v>44792</v>
      </c>
    </row>
    <row r="1753" spans="1:37">
      <c r="A1753" s="75" t="s">
        <v>9141</v>
      </c>
      <c r="B1753" s="23" t="s">
        <v>9142</v>
      </c>
      <c r="C1753" s="140">
        <v>44788</v>
      </c>
      <c r="D1753" s="23" t="s">
        <v>729</v>
      </c>
      <c r="E1753" s="23" t="s">
        <v>752</v>
      </c>
      <c r="F1753" s="23" t="s">
        <v>7082</v>
      </c>
      <c r="G1753" s="23" t="s">
        <v>1724</v>
      </c>
      <c r="P1753" s="23" t="s">
        <v>9008</v>
      </c>
      <c r="Q1753" s="141" t="s">
        <v>9128</v>
      </c>
      <c r="T1753" s="23" t="s">
        <v>12031</v>
      </c>
      <c r="U1753" s="23" t="s">
        <v>12031</v>
      </c>
      <c r="V1753" s="23" t="s">
        <v>298</v>
      </c>
      <c r="W1753" s="23" t="s">
        <v>6732</v>
      </c>
      <c r="Y1753" s="23">
        <v>19855</v>
      </c>
      <c r="Z1753" s="23">
        <v>68</v>
      </c>
      <c r="AB1753" s="23" t="s">
        <v>9143</v>
      </c>
      <c r="AC1753" s="23" t="s">
        <v>9144</v>
      </c>
      <c r="AD1753" s="23">
        <v>0</v>
      </c>
      <c r="AE1753" s="23">
        <v>1</v>
      </c>
      <c r="AF1753" s="23" t="s">
        <v>5478</v>
      </c>
      <c r="AG1753" s="23" t="s">
        <v>637</v>
      </c>
      <c r="AH1753" s="39">
        <v>44795</v>
      </c>
      <c r="AJ1753" s="75" t="s">
        <v>9513</v>
      </c>
      <c r="AK1753" s="53">
        <v>44796</v>
      </c>
    </row>
    <row r="1754" spans="1:37">
      <c r="A1754" s="75" t="s">
        <v>9145</v>
      </c>
      <c r="B1754" s="23" t="s">
        <v>9146</v>
      </c>
      <c r="C1754" s="140">
        <v>44792</v>
      </c>
      <c r="D1754" s="23" t="s">
        <v>729</v>
      </c>
      <c r="E1754" s="23" t="s">
        <v>2919</v>
      </c>
      <c r="F1754" s="23" t="s">
        <v>5765</v>
      </c>
      <c r="G1754" s="23" t="s">
        <v>1724</v>
      </c>
      <c r="Q1754" s="141" t="s">
        <v>9147</v>
      </c>
      <c r="T1754" s="23" t="s">
        <v>3715</v>
      </c>
      <c r="U1754" s="23" t="s">
        <v>3715</v>
      </c>
      <c r="V1754" s="23" t="s">
        <v>298</v>
      </c>
      <c r="W1754" s="23" t="s">
        <v>8872</v>
      </c>
      <c r="Y1754" s="38">
        <v>16270</v>
      </c>
      <c r="Z1754" s="23">
        <v>68.5</v>
      </c>
      <c r="AB1754" s="23" t="s">
        <v>9148</v>
      </c>
      <c r="AC1754" s="23" t="s">
        <v>445</v>
      </c>
      <c r="AD1754" s="23">
        <v>0</v>
      </c>
      <c r="AE1754" s="23">
        <v>1</v>
      </c>
      <c r="AF1754" s="23" t="s">
        <v>7646</v>
      </c>
      <c r="AG1754" s="23" t="s">
        <v>666</v>
      </c>
      <c r="AH1754" s="39">
        <v>44795</v>
      </c>
      <c r="AJ1754" s="75" t="s">
        <v>9514</v>
      </c>
      <c r="AK1754" s="53">
        <v>44796</v>
      </c>
    </row>
    <row r="1755" spans="1:37">
      <c r="A1755" s="75" t="s">
        <v>9150</v>
      </c>
      <c r="B1755" s="23" t="s">
        <v>9151</v>
      </c>
      <c r="C1755" s="140">
        <v>44791</v>
      </c>
      <c r="D1755" s="23" t="s">
        <v>729</v>
      </c>
      <c r="E1755" s="23" t="s">
        <v>752</v>
      </c>
      <c r="F1755" s="23" t="s">
        <v>5765</v>
      </c>
      <c r="G1755" s="23" t="s">
        <v>1724</v>
      </c>
      <c r="P1755" s="23" t="s">
        <v>9152</v>
      </c>
      <c r="Q1755" s="141" t="s">
        <v>9153</v>
      </c>
      <c r="T1755" s="23" t="s">
        <v>12031</v>
      </c>
      <c r="U1755" s="23" t="s">
        <v>12031</v>
      </c>
      <c r="V1755" s="23" t="s">
        <v>298</v>
      </c>
      <c r="W1755" s="23" t="s">
        <v>7446</v>
      </c>
      <c r="Y1755" s="38">
        <v>10300</v>
      </c>
      <c r="Z1755" s="23">
        <v>68</v>
      </c>
      <c r="AB1755" s="23" t="s">
        <v>9154</v>
      </c>
      <c r="AC1755" s="23" t="s">
        <v>9155</v>
      </c>
      <c r="AD1755" s="23">
        <v>0</v>
      </c>
      <c r="AE1755" s="23">
        <v>2</v>
      </c>
      <c r="AF1755" s="23" t="s">
        <v>6434</v>
      </c>
      <c r="AG1755" s="23" t="s">
        <v>666</v>
      </c>
      <c r="AH1755" s="39">
        <v>44796</v>
      </c>
      <c r="AJ1755" s="75" t="s">
        <v>9515</v>
      </c>
      <c r="AK1755" s="53">
        <v>44797</v>
      </c>
    </row>
    <row r="1756" spans="1:37">
      <c r="A1756" s="75" t="s">
        <v>9156</v>
      </c>
      <c r="B1756" s="23" t="s">
        <v>9157</v>
      </c>
      <c r="C1756" s="140">
        <v>44791</v>
      </c>
      <c r="F1756" s="23" t="s">
        <v>5765</v>
      </c>
      <c r="G1756" s="23" t="s">
        <v>1724</v>
      </c>
      <c r="W1756" s="23" t="s">
        <v>7446</v>
      </c>
      <c r="Y1756" s="38">
        <v>15100</v>
      </c>
      <c r="Z1756" s="23">
        <v>68</v>
      </c>
      <c r="AB1756" s="23" t="s">
        <v>9158</v>
      </c>
      <c r="AC1756" s="23" t="s">
        <v>9159</v>
      </c>
      <c r="AF1756" s="23" t="s">
        <v>6434</v>
      </c>
      <c r="AG1756" s="23" t="s">
        <v>9160</v>
      </c>
      <c r="AH1756" s="39">
        <v>44796</v>
      </c>
    </row>
    <row r="1757" spans="1:37">
      <c r="A1757" s="75" t="s">
        <v>9161</v>
      </c>
      <c r="B1757" s="23" t="s">
        <v>9162</v>
      </c>
      <c r="C1757" s="140">
        <v>44792</v>
      </c>
      <c r="D1757" s="23" t="s">
        <v>729</v>
      </c>
      <c r="E1757" s="23" t="s">
        <v>2919</v>
      </c>
      <c r="F1757" s="23" t="s">
        <v>5765</v>
      </c>
      <c r="G1757" s="23" t="s">
        <v>1724</v>
      </c>
      <c r="Q1757" s="141" t="s">
        <v>9163</v>
      </c>
      <c r="T1757" s="23" t="s">
        <v>3715</v>
      </c>
      <c r="U1757" s="23" t="s">
        <v>3715</v>
      </c>
      <c r="V1757" s="23" t="s">
        <v>298</v>
      </c>
      <c r="W1757" s="23" t="s">
        <v>8872</v>
      </c>
      <c r="Y1757" s="38">
        <v>16250</v>
      </c>
      <c r="Z1757" s="23">
        <v>68.8</v>
      </c>
      <c r="AB1757" s="23" t="s">
        <v>9164</v>
      </c>
      <c r="AC1757" s="23" t="s">
        <v>1666</v>
      </c>
      <c r="AD1757" s="23">
        <v>0</v>
      </c>
      <c r="AE1757" s="23">
        <v>1</v>
      </c>
      <c r="AF1757" s="23" t="s">
        <v>7646</v>
      </c>
      <c r="AG1757" s="23" t="s">
        <v>666</v>
      </c>
      <c r="AH1757" s="39">
        <v>44796</v>
      </c>
      <c r="AJ1757" s="75" t="s">
        <v>9516</v>
      </c>
      <c r="AK1757" s="53">
        <v>44797</v>
      </c>
    </row>
    <row r="1758" spans="1:37">
      <c r="A1758" s="75" t="s">
        <v>9165</v>
      </c>
      <c r="B1758" s="23" t="s">
        <v>9166</v>
      </c>
      <c r="C1758" s="140">
        <v>44791</v>
      </c>
      <c r="D1758" s="23" t="s">
        <v>729</v>
      </c>
      <c r="E1758" s="23" t="s">
        <v>752</v>
      </c>
      <c r="F1758" s="23" t="s">
        <v>5765</v>
      </c>
      <c r="G1758" s="23" t="s">
        <v>1724</v>
      </c>
      <c r="P1758" s="23" t="s">
        <v>9167</v>
      </c>
      <c r="Q1758" s="141" t="s">
        <v>9168</v>
      </c>
      <c r="T1758" s="23" t="s">
        <v>12031</v>
      </c>
      <c r="U1758" s="23" t="s">
        <v>12031</v>
      </c>
      <c r="V1758" s="23" t="s">
        <v>298</v>
      </c>
      <c r="W1758" s="23" t="s">
        <v>8938</v>
      </c>
      <c r="Y1758" s="23">
        <v>17850</v>
      </c>
      <c r="Z1758" s="23">
        <v>68</v>
      </c>
      <c r="AB1758" s="23" t="s">
        <v>9169</v>
      </c>
      <c r="AC1758" s="23" t="s">
        <v>9170</v>
      </c>
      <c r="AD1758" s="23">
        <v>0</v>
      </c>
      <c r="AE1758" s="23">
        <v>2</v>
      </c>
      <c r="AF1758" s="23" t="s">
        <v>5478</v>
      </c>
      <c r="AG1758" s="23" t="s">
        <v>666</v>
      </c>
      <c r="AH1758" s="39">
        <v>44796</v>
      </c>
      <c r="AJ1758" s="75" t="s">
        <v>9517</v>
      </c>
      <c r="AK1758" s="53">
        <v>44797</v>
      </c>
    </row>
    <row r="1759" spans="1:37">
      <c r="A1759" s="75" t="s">
        <v>9171</v>
      </c>
      <c r="B1759" s="23" t="s">
        <v>9172</v>
      </c>
      <c r="C1759" s="140">
        <v>44786</v>
      </c>
      <c r="F1759" s="23" t="s">
        <v>5765</v>
      </c>
      <c r="G1759" s="23" t="s">
        <v>1724</v>
      </c>
      <c r="W1759" s="23" t="s">
        <v>6359</v>
      </c>
      <c r="Y1759" s="23">
        <v>22500</v>
      </c>
      <c r="Z1759" s="23">
        <v>68</v>
      </c>
      <c r="AB1759" s="23" t="s">
        <v>9173</v>
      </c>
      <c r="AC1759" s="23" t="s">
        <v>9174</v>
      </c>
      <c r="AF1759" s="23" t="s">
        <v>5478</v>
      </c>
      <c r="AG1759" s="23" t="s">
        <v>665</v>
      </c>
      <c r="AH1759" s="39">
        <v>44796</v>
      </c>
    </row>
    <row r="1760" spans="1:37">
      <c r="A1760" s="75" t="s">
        <v>9175</v>
      </c>
      <c r="B1760" s="23" t="s">
        <v>9176</v>
      </c>
      <c r="C1760" s="140">
        <v>44789</v>
      </c>
      <c r="D1760" s="23" t="s">
        <v>729</v>
      </c>
      <c r="E1760" s="23" t="s">
        <v>752</v>
      </c>
      <c r="F1760" s="23" t="s">
        <v>6957</v>
      </c>
      <c r="G1760" s="23" t="s">
        <v>3469</v>
      </c>
      <c r="H1760" s="23" t="s">
        <v>8867</v>
      </c>
      <c r="I1760" s="23" t="s">
        <v>8867</v>
      </c>
      <c r="J1760" s="140">
        <v>44763</v>
      </c>
      <c r="T1760" s="23" t="s">
        <v>12031</v>
      </c>
      <c r="U1760" s="23" t="s">
        <v>12031</v>
      </c>
      <c r="V1760" s="23" t="s">
        <v>299</v>
      </c>
      <c r="W1760" s="23" t="s">
        <v>8944</v>
      </c>
      <c r="AB1760" s="23" t="s">
        <v>8561</v>
      </c>
      <c r="AC1760" s="23">
        <v>2</v>
      </c>
      <c r="AD1760" s="23">
        <v>0</v>
      </c>
      <c r="AE1760" s="23">
        <v>0</v>
      </c>
      <c r="AF1760" s="23" t="s">
        <v>8561</v>
      </c>
      <c r="AG1760" s="23" t="s">
        <v>5716</v>
      </c>
      <c r="AH1760" s="39">
        <v>44797</v>
      </c>
      <c r="AI1760" s="53" t="s">
        <v>5706</v>
      </c>
      <c r="AJ1760" s="75" t="s">
        <v>9518</v>
      </c>
      <c r="AK1760" s="53">
        <v>44798</v>
      </c>
    </row>
    <row r="1761" spans="1:37">
      <c r="A1761" s="75" t="s">
        <v>9177</v>
      </c>
      <c r="B1761" s="23" t="s">
        <v>9178</v>
      </c>
      <c r="C1761" s="140">
        <v>44796</v>
      </c>
      <c r="D1761" s="23" t="s">
        <v>729</v>
      </c>
      <c r="E1761" s="23" t="s">
        <v>2919</v>
      </c>
      <c r="F1761" s="23" t="s">
        <v>5765</v>
      </c>
      <c r="G1761" s="23" t="s">
        <v>1724</v>
      </c>
      <c r="Q1761" s="141" t="s">
        <v>9179</v>
      </c>
      <c r="T1761" s="23" t="s">
        <v>3715</v>
      </c>
      <c r="U1761" s="23" t="s">
        <v>3715</v>
      </c>
      <c r="V1761" s="23" t="s">
        <v>298</v>
      </c>
      <c r="W1761" s="23" t="s">
        <v>8846</v>
      </c>
      <c r="Y1761" s="38">
        <v>17840</v>
      </c>
      <c r="Z1761" s="23">
        <v>68.5</v>
      </c>
      <c r="AB1761" s="23" t="s">
        <v>9180</v>
      </c>
      <c r="AC1761" s="23" t="s">
        <v>5809</v>
      </c>
      <c r="AD1761" s="23">
        <v>0</v>
      </c>
      <c r="AE1761" s="23">
        <v>1</v>
      </c>
      <c r="AF1761" s="23" t="s">
        <v>7646</v>
      </c>
      <c r="AG1761" s="23" t="s">
        <v>637</v>
      </c>
      <c r="AH1761" s="39">
        <v>44797</v>
      </c>
      <c r="AJ1761" s="75" t="s">
        <v>9519</v>
      </c>
      <c r="AK1761" s="53">
        <v>44798</v>
      </c>
    </row>
    <row r="1762" spans="1:37" ht="64">
      <c r="A1762" s="75" t="s">
        <v>9181</v>
      </c>
      <c r="B1762" s="23" t="s">
        <v>9182</v>
      </c>
      <c r="C1762" s="140">
        <v>44787</v>
      </c>
      <c r="D1762" s="23" t="s">
        <v>729</v>
      </c>
      <c r="E1762" s="23" t="s">
        <v>752</v>
      </c>
      <c r="F1762" s="23" t="s">
        <v>2200</v>
      </c>
      <c r="G1762" s="23" t="s">
        <v>301</v>
      </c>
      <c r="H1762" s="23">
        <v>20421563</v>
      </c>
      <c r="I1762" s="23">
        <v>20421563</v>
      </c>
      <c r="J1762" s="140">
        <v>44781</v>
      </c>
      <c r="K1762" s="23" t="s">
        <v>9183</v>
      </c>
      <c r="L1762" s="140">
        <v>44791</v>
      </c>
      <c r="T1762" s="23" t="s">
        <v>305</v>
      </c>
      <c r="U1762" s="23" t="s">
        <v>305</v>
      </c>
      <c r="V1762" s="23" t="s">
        <v>299</v>
      </c>
      <c r="W1762" s="23" t="s">
        <v>8525</v>
      </c>
      <c r="Z1762" s="23">
        <v>156000</v>
      </c>
      <c r="AB1762" s="19" t="s">
        <v>9256</v>
      </c>
      <c r="AC1762" s="59">
        <v>8</v>
      </c>
      <c r="AD1762" s="23">
        <v>0</v>
      </c>
      <c r="AE1762" s="23">
        <v>4</v>
      </c>
      <c r="AF1762" s="23" t="s">
        <v>5478</v>
      </c>
      <c r="AG1762" s="23" t="s">
        <v>1553</v>
      </c>
      <c r="AH1762" s="39">
        <v>44797</v>
      </c>
      <c r="AI1762" s="53" t="s">
        <v>5851</v>
      </c>
      <c r="AJ1762" s="75" t="s">
        <v>9520</v>
      </c>
      <c r="AK1762" s="53">
        <v>44800</v>
      </c>
    </row>
    <row r="1763" spans="1:37">
      <c r="A1763" s="75" t="s">
        <v>9184</v>
      </c>
      <c r="B1763" s="23" t="s">
        <v>9185</v>
      </c>
      <c r="C1763" s="140">
        <v>44787</v>
      </c>
      <c r="D1763" s="23" t="s">
        <v>729</v>
      </c>
      <c r="E1763" s="23" t="s">
        <v>752</v>
      </c>
      <c r="F1763" s="23" t="s">
        <v>2200</v>
      </c>
      <c r="G1763" s="23" t="s">
        <v>301</v>
      </c>
      <c r="H1763" s="23">
        <v>20421560</v>
      </c>
      <c r="I1763" s="23">
        <v>20421560</v>
      </c>
      <c r="J1763" s="140">
        <v>44781</v>
      </c>
      <c r="K1763" s="23" t="s">
        <v>9186</v>
      </c>
      <c r="L1763" s="140">
        <v>44791</v>
      </c>
      <c r="T1763" s="23" t="s">
        <v>305</v>
      </c>
      <c r="U1763" s="23" t="s">
        <v>305</v>
      </c>
      <c r="V1763" s="23" t="s">
        <v>299</v>
      </c>
      <c r="W1763" s="23" t="s">
        <v>8525</v>
      </c>
      <c r="Y1763" s="23">
        <v>4136</v>
      </c>
      <c r="Z1763" s="23">
        <v>41600</v>
      </c>
      <c r="AB1763" s="59" t="s">
        <v>9187</v>
      </c>
      <c r="AC1763" s="59">
        <v>2</v>
      </c>
      <c r="AD1763" s="23">
        <v>0</v>
      </c>
      <c r="AE1763" s="23">
        <v>1</v>
      </c>
      <c r="AF1763" s="23" t="s">
        <v>5478</v>
      </c>
      <c r="AG1763" s="23" t="s">
        <v>1553</v>
      </c>
      <c r="AH1763" s="39">
        <v>44797</v>
      </c>
      <c r="AI1763" s="53" t="s">
        <v>5851</v>
      </c>
      <c r="AJ1763" s="75" t="s">
        <v>9521</v>
      </c>
      <c r="AK1763" s="53">
        <v>44800</v>
      </c>
    </row>
    <row r="1764" spans="1:37">
      <c r="A1764" s="104" t="s">
        <v>9188</v>
      </c>
      <c r="B1764" s="23" t="s">
        <v>9189</v>
      </c>
      <c r="C1764" s="140">
        <v>44794</v>
      </c>
      <c r="D1764" s="23" t="s">
        <v>729</v>
      </c>
      <c r="E1764" s="23" t="s">
        <v>752</v>
      </c>
      <c r="F1764" s="23" t="s">
        <v>57</v>
      </c>
      <c r="G1764" s="23" t="s">
        <v>57</v>
      </c>
      <c r="H1764" s="23" t="s">
        <v>9190</v>
      </c>
      <c r="I1764" s="23" t="s">
        <v>9190</v>
      </c>
      <c r="J1764" s="140">
        <v>44789</v>
      </c>
      <c r="S1764" s="23" t="s">
        <v>184</v>
      </c>
      <c r="T1764" s="23" t="s">
        <v>302</v>
      </c>
      <c r="U1764" s="23" t="s">
        <v>302</v>
      </c>
      <c r="V1764" s="23" t="s">
        <v>233</v>
      </c>
      <c r="W1764" s="23" t="s">
        <v>9191</v>
      </c>
      <c r="X1764" s="23">
        <v>5313.9</v>
      </c>
      <c r="Y1764" s="37">
        <v>5479.8</v>
      </c>
      <c r="Z1764" s="37">
        <v>5271.72</v>
      </c>
      <c r="AB1764" s="23" t="s">
        <v>9192</v>
      </c>
      <c r="AC1764" s="23" t="s">
        <v>9193</v>
      </c>
      <c r="AD1764" s="23">
        <v>0</v>
      </c>
      <c r="AE1764" s="23">
        <v>1</v>
      </c>
      <c r="AF1764" s="23" t="s">
        <v>5478</v>
      </c>
      <c r="AG1764" s="23" t="s">
        <v>787</v>
      </c>
      <c r="AH1764" s="39">
        <v>44797</v>
      </c>
    </row>
    <row r="1765" spans="1:37">
      <c r="A1765" s="75" t="s">
        <v>9194</v>
      </c>
      <c r="B1765" s="23" t="s">
        <v>9195</v>
      </c>
      <c r="C1765" s="140">
        <v>44792</v>
      </c>
      <c r="D1765" s="23" t="s">
        <v>729</v>
      </c>
      <c r="E1765" s="23" t="s">
        <v>752</v>
      </c>
      <c r="F1765" s="23" t="s">
        <v>7082</v>
      </c>
      <c r="G1765" s="23" t="s">
        <v>1724</v>
      </c>
      <c r="P1765" s="23" t="s">
        <v>9196</v>
      </c>
      <c r="Q1765" s="141" t="s">
        <v>9153</v>
      </c>
      <c r="T1765" s="23" t="s">
        <v>12031</v>
      </c>
      <c r="U1765" s="23" t="s">
        <v>12031</v>
      </c>
      <c r="V1765" s="23" t="s">
        <v>298</v>
      </c>
      <c r="W1765" s="23" t="s">
        <v>7080</v>
      </c>
      <c r="Y1765" s="23">
        <v>15550</v>
      </c>
      <c r="Z1765" s="23">
        <v>54</v>
      </c>
      <c r="AB1765" s="23" t="s">
        <v>9197</v>
      </c>
      <c r="AC1765" s="23" t="s">
        <v>9198</v>
      </c>
      <c r="AD1765" s="23">
        <v>0</v>
      </c>
      <c r="AE1765" s="23">
        <v>1</v>
      </c>
      <c r="AF1765" s="23" t="s">
        <v>5478</v>
      </c>
      <c r="AG1765" s="23" t="s">
        <v>1845</v>
      </c>
      <c r="AH1765" s="39">
        <v>44798</v>
      </c>
      <c r="AJ1765" s="75" t="s">
        <v>9522</v>
      </c>
      <c r="AK1765" s="53">
        <v>44799</v>
      </c>
    </row>
    <row r="1766" spans="1:37" ht="64">
      <c r="A1766" s="75" t="s">
        <v>9199</v>
      </c>
      <c r="B1766" s="23" t="s">
        <v>9200</v>
      </c>
      <c r="C1766" s="140">
        <v>44792</v>
      </c>
      <c r="D1766" s="23" t="s">
        <v>729</v>
      </c>
      <c r="E1766" s="23" t="s">
        <v>752</v>
      </c>
      <c r="F1766" s="23" t="s">
        <v>6957</v>
      </c>
      <c r="G1766" s="23" t="s">
        <v>3469</v>
      </c>
      <c r="H1766" s="23" t="s">
        <v>9201</v>
      </c>
      <c r="I1766" s="23" t="s">
        <v>9201</v>
      </c>
      <c r="J1766" s="140">
        <v>44777</v>
      </c>
      <c r="T1766" s="23" t="s">
        <v>12031</v>
      </c>
      <c r="U1766" s="23" t="s">
        <v>12031</v>
      </c>
      <c r="V1766" s="23" t="s">
        <v>299</v>
      </c>
      <c r="W1766" s="23" t="s">
        <v>9202</v>
      </c>
      <c r="AB1766" s="19" t="s">
        <v>9203</v>
      </c>
      <c r="AC1766" s="23">
        <v>4</v>
      </c>
      <c r="AD1766" s="23">
        <v>0</v>
      </c>
      <c r="AE1766" s="23">
        <v>4</v>
      </c>
      <c r="AG1766" s="23" t="s">
        <v>5716</v>
      </c>
      <c r="AH1766" s="39">
        <v>44798</v>
      </c>
      <c r="AI1766" s="53" t="s">
        <v>5706</v>
      </c>
      <c r="AJ1766" s="75" t="s">
        <v>9523</v>
      </c>
      <c r="AK1766" s="53">
        <v>44800</v>
      </c>
    </row>
    <row r="1767" spans="1:37">
      <c r="A1767" s="75" t="s">
        <v>9204</v>
      </c>
      <c r="B1767" s="23" t="s">
        <v>9205</v>
      </c>
      <c r="C1767" s="140">
        <v>44789</v>
      </c>
      <c r="D1767" s="23" t="s">
        <v>729</v>
      </c>
      <c r="E1767" s="23" t="s">
        <v>752</v>
      </c>
      <c r="F1767" s="23" t="s">
        <v>6957</v>
      </c>
      <c r="G1767" s="23" t="s">
        <v>3469</v>
      </c>
      <c r="H1767" s="23" t="s">
        <v>9206</v>
      </c>
      <c r="I1767" s="23" t="s">
        <v>9206</v>
      </c>
      <c r="J1767" s="140">
        <v>44771</v>
      </c>
      <c r="T1767" s="23" t="s">
        <v>12031</v>
      </c>
      <c r="U1767" s="23" t="s">
        <v>12031</v>
      </c>
      <c r="V1767" s="23" t="s">
        <v>299</v>
      </c>
      <c r="W1767" s="23" t="s">
        <v>8572</v>
      </c>
      <c r="AB1767" s="23" t="s">
        <v>8561</v>
      </c>
      <c r="AC1767" s="23">
        <v>1</v>
      </c>
      <c r="AG1767" s="23" t="s">
        <v>1581</v>
      </c>
      <c r="AH1767" s="39">
        <v>44799</v>
      </c>
      <c r="AI1767" s="53" t="s">
        <v>5706</v>
      </c>
      <c r="AJ1767" s="75" t="s">
        <v>9524</v>
      </c>
      <c r="AK1767" s="53">
        <v>44800</v>
      </c>
    </row>
    <row r="1768" spans="1:37">
      <c r="A1768" s="75" t="s">
        <v>9207</v>
      </c>
      <c r="B1768" s="23" t="s">
        <v>9208</v>
      </c>
      <c r="C1768" s="140">
        <v>44788</v>
      </c>
      <c r="D1768" s="23" t="s">
        <v>729</v>
      </c>
      <c r="E1768" s="23" t="s">
        <v>752</v>
      </c>
      <c r="F1768" s="23" t="s">
        <v>5765</v>
      </c>
      <c r="G1768" s="23" t="s">
        <v>1724</v>
      </c>
      <c r="P1768" s="23" t="s">
        <v>9215</v>
      </c>
      <c r="Q1768" s="141" t="s">
        <v>9179</v>
      </c>
      <c r="T1768" s="23" t="s">
        <v>12031</v>
      </c>
      <c r="U1768" s="23" t="s">
        <v>12031</v>
      </c>
      <c r="V1768" s="23" t="s">
        <v>298</v>
      </c>
      <c r="W1768" s="23" t="s">
        <v>4803</v>
      </c>
      <c r="Y1768" s="37">
        <v>13443.2</v>
      </c>
      <c r="Z1768" s="23">
        <v>50</v>
      </c>
      <c r="AB1768" s="23" t="s">
        <v>9209</v>
      </c>
      <c r="AC1768" s="23" t="s">
        <v>9210</v>
      </c>
      <c r="AD1768" s="23">
        <v>0</v>
      </c>
      <c r="AE1768" s="23">
        <v>2</v>
      </c>
      <c r="AF1768" s="23" t="s">
        <v>5478</v>
      </c>
      <c r="AG1768" s="23" t="s">
        <v>5518</v>
      </c>
      <c r="AH1768" s="39">
        <v>44799</v>
      </c>
      <c r="AJ1768" s="75" t="s">
        <v>9525</v>
      </c>
      <c r="AK1768" s="53">
        <v>44800</v>
      </c>
    </row>
    <row r="1769" spans="1:37">
      <c r="A1769" s="75" t="s">
        <v>9211</v>
      </c>
      <c r="B1769" s="23" t="s">
        <v>9212</v>
      </c>
      <c r="C1769" s="140">
        <v>44795</v>
      </c>
      <c r="F1769" s="23" t="s">
        <v>5765</v>
      </c>
      <c r="G1769" s="23" t="s">
        <v>1724</v>
      </c>
      <c r="W1769" s="23" t="s">
        <v>6359</v>
      </c>
      <c r="Y1769" s="23">
        <v>19980</v>
      </c>
      <c r="Z1769" s="23">
        <v>68</v>
      </c>
      <c r="AB1769" s="23" t="s">
        <v>9213</v>
      </c>
      <c r="AC1769" s="23" t="s">
        <v>9214</v>
      </c>
      <c r="AF1769" s="23" t="s">
        <v>5478</v>
      </c>
      <c r="AG1769" s="23" t="s">
        <v>637</v>
      </c>
      <c r="AH1769" s="39">
        <v>44799</v>
      </c>
      <c r="AJ1769" s="75" t="s">
        <v>9526</v>
      </c>
      <c r="AK1769" s="53">
        <v>44800</v>
      </c>
    </row>
    <row r="1770" spans="1:37">
      <c r="A1770" s="75" t="s">
        <v>9216</v>
      </c>
      <c r="B1770" s="23" t="s">
        <v>9217</v>
      </c>
      <c r="C1770" s="140">
        <v>44799</v>
      </c>
      <c r="D1770" s="23" t="s">
        <v>729</v>
      </c>
      <c r="E1770" s="23" t="s">
        <v>2919</v>
      </c>
      <c r="F1770" s="23" t="s">
        <v>5765</v>
      </c>
      <c r="G1770" s="23" t="s">
        <v>1724</v>
      </c>
      <c r="Q1770" s="141" t="s">
        <v>9218</v>
      </c>
      <c r="T1770" s="23" t="s">
        <v>3715</v>
      </c>
      <c r="U1770" s="23" t="s">
        <v>3715</v>
      </c>
      <c r="V1770" s="23" t="s">
        <v>298</v>
      </c>
      <c r="W1770" s="23" t="s">
        <v>8846</v>
      </c>
      <c r="Y1770" s="38">
        <v>17350</v>
      </c>
      <c r="Z1770" s="23">
        <v>68.599999999999994</v>
      </c>
      <c r="AB1770" s="23" t="s">
        <v>9219</v>
      </c>
      <c r="AC1770" s="23" t="s">
        <v>6127</v>
      </c>
      <c r="AD1770" s="23">
        <v>0</v>
      </c>
      <c r="AE1770" s="23">
        <v>1</v>
      </c>
      <c r="AF1770" s="23" t="s">
        <v>7646</v>
      </c>
      <c r="AG1770" s="23" t="s">
        <v>637</v>
      </c>
      <c r="AH1770" s="39">
        <v>44799</v>
      </c>
      <c r="AJ1770" s="75" t="s">
        <v>9526</v>
      </c>
      <c r="AK1770" s="53">
        <v>44800</v>
      </c>
    </row>
    <row r="1771" spans="1:37">
      <c r="A1771" s="75" t="s">
        <v>9222</v>
      </c>
      <c r="B1771" s="23" t="s">
        <v>9223</v>
      </c>
      <c r="C1771" s="140">
        <v>44801</v>
      </c>
      <c r="D1771" s="23" t="s">
        <v>729</v>
      </c>
      <c r="E1771" s="23" t="s">
        <v>752</v>
      </c>
      <c r="F1771" s="23" t="s">
        <v>5765</v>
      </c>
      <c r="G1771" s="23" t="s">
        <v>1724</v>
      </c>
      <c r="P1771" s="23" t="s">
        <v>9224</v>
      </c>
      <c r="Q1771" s="141" t="s">
        <v>9225</v>
      </c>
      <c r="T1771" s="23" t="s">
        <v>12031</v>
      </c>
      <c r="U1771" s="23" t="s">
        <v>12031</v>
      </c>
      <c r="V1771" s="23" t="s">
        <v>298</v>
      </c>
      <c r="W1771" s="23" t="s">
        <v>7446</v>
      </c>
      <c r="Y1771" s="38">
        <v>17950</v>
      </c>
      <c r="Z1771" s="23">
        <v>68</v>
      </c>
      <c r="AB1771" s="23" t="s">
        <v>9226</v>
      </c>
      <c r="AC1771" s="23" t="s">
        <v>5381</v>
      </c>
      <c r="AD1771" s="23">
        <v>0</v>
      </c>
      <c r="AE1771" s="23">
        <v>2</v>
      </c>
      <c r="AF1771" s="23" t="s">
        <v>5478</v>
      </c>
      <c r="AG1771" s="23" t="s">
        <v>665</v>
      </c>
      <c r="AH1771" s="39">
        <v>44803</v>
      </c>
      <c r="AJ1771" s="75" t="s">
        <v>9527</v>
      </c>
      <c r="AK1771" s="53">
        <v>44784</v>
      </c>
    </row>
    <row r="1772" spans="1:37">
      <c r="A1772" s="75" t="s">
        <v>9227</v>
      </c>
      <c r="B1772" s="23">
        <v>220964234</v>
      </c>
      <c r="C1772" s="140">
        <v>44801</v>
      </c>
      <c r="F1772" s="23" t="s">
        <v>5765</v>
      </c>
      <c r="G1772" s="23" t="s">
        <v>1724</v>
      </c>
      <c r="P1772" s="23" t="s">
        <v>9228</v>
      </c>
      <c r="Q1772" s="141" t="s">
        <v>9225</v>
      </c>
      <c r="T1772" s="23" t="s">
        <v>12031</v>
      </c>
      <c r="U1772" s="23" t="s">
        <v>12031</v>
      </c>
      <c r="V1772" s="23" t="s">
        <v>298</v>
      </c>
      <c r="W1772" s="23" t="s">
        <v>7446</v>
      </c>
      <c r="Y1772" s="23">
        <v>16100</v>
      </c>
      <c r="Z1772" s="23">
        <v>68</v>
      </c>
      <c r="AB1772" s="23" t="s">
        <v>9229</v>
      </c>
      <c r="AC1772" s="23" t="s">
        <v>3199</v>
      </c>
      <c r="AF1772" s="23" t="s">
        <v>7754</v>
      </c>
      <c r="AG1772" s="23" t="s">
        <v>9230</v>
      </c>
      <c r="AH1772" s="39">
        <v>44803</v>
      </c>
    </row>
    <row r="1773" spans="1:37" ht="64">
      <c r="A1773" s="75" t="s">
        <v>9233</v>
      </c>
      <c r="B1773" s="23" t="s">
        <v>9234</v>
      </c>
      <c r="C1773" s="140">
        <v>44794</v>
      </c>
      <c r="D1773" s="23" t="s">
        <v>729</v>
      </c>
      <c r="E1773" s="23" t="s">
        <v>752</v>
      </c>
      <c r="F1773" s="23" t="s">
        <v>6957</v>
      </c>
      <c r="G1773" s="23" t="s">
        <v>3469</v>
      </c>
      <c r="H1773" s="23" t="s">
        <v>9235</v>
      </c>
      <c r="I1773" s="23" t="s">
        <v>9235</v>
      </c>
      <c r="J1773" s="140">
        <v>44789</v>
      </c>
      <c r="T1773" s="23" t="s">
        <v>12031</v>
      </c>
      <c r="U1773" s="23" t="s">
        <v>12031</v>
      </c>
      <c r="V1773" s="23" t="s">
        <v>299</v>
      </c>
      <c r="W1773" s="23" t="s">
        <v>9202</v>
      </c>
      <c r="AB1773" s="19" t="s">
        <v>9236</v>
      </c>
      <c r="AC1773" s="23">
        <v>4</v>
      </c>
      <c r="AD1773" s="23">
        <v>0</v>
      </c>
      <c r="AE1773" s="23">
        <v>4</v>
      </c>
      <c r="AG1773" s="23" t="s">
        <v>5716</v>
      </c>
      <c r="AH1773" s="39">
        <v>44803</v>
      </c>
      <c r="AI1773" s="53" t="s">
        <v>5706</v>
      </c>
      <c r="AJ1773" s="75" t="s">
        <v>9528</v>
      </c>
      <c r="AK1773" s="53">
        <v>44805</v>
      </c>
    </row>
    <row r="1774" spans="1:37">
      <c r="A1774" s="75" t="s">
        <v>9237</v>
      </c>
      <c r="B1774" s="23" t="s">
        <v>9238</v>
      </c>
      <c r="C1774" s="140">
        <v>44791</v>
      </c>
      <c r="D1774" s="23" t="s">
        <v>729</v>
      </c>
      <c r="E1774" s="23" t="s">
        <v>752</v>
      </c>
      <c r="F1774" s="23" t="s">
        <v>5765</v>
      </c>
      <c r="G1774" s="23" t="s">
        <v>1724</v>
      </c>
      <c r="P1774" s="23" t="s">
        <v>9239</v>
      </c>
      <c r="Q1774" s="141" t="s">
        <v>9240</v>
      </c>
      <c r="T1774" s="23" t="s">
        <v>12031</v>
      </c>
      <c r="U1774" s="23" t="s">
        <v>12031</v>
      </c>
      <c r="V1774" s="23" t="s">
        <v>298</v>
      </c>
      <c r="W1774" s="23" t="s">
        <v>7158</v>
      </c>
      <c r="Y1774" s="23">
        <v>12615.91</v>
      </c>
      <c r="Z1774" s="23">
        <v>45.5</v>
      </c>
      <c r="AB1774" s="23" t="s">
        <v>9241</v>
      </c>
      <c r="AC1774" s="23" t="s">
        <v>9242</v>
      </c>
      <c r="AD1774" s="23">
        <v>0</v>
      </c>
      <c r="AE1774" s="23">
        <v>1</v>
      </c>
      <c r="AF1774" s="23" t="s">
        <v>5478</v>
      </c>
      <c r="AG1774" s="23" t="s">
        <v>7161</v>
      </c>
      <c r="AH1774" s="39">
        <v>44804</v>
      </c>
      <c r="AJ1774" s="75" t="s">
        <v>9529</v>
      </c>
      <c r="AK1774" s="53">
        <v>44805</v>
      </c>
    </row>
    <row r="1775" spans="1:37">
      <c r="A1775" s="75" t="s">
        <v>9243</v>
      </c>
      <c r="B1775" s="23" t="s">
        <v>9244</v>
      </c>
      <c r="C1775" s="140">
        <v>44803</v>
      </c>
      <c r="D1775" s="23" t="s">
        <v>729</v>
      </c>
      <c r="E1775" s="23" t="s">
        <v>2919</v>
      </c>
      <c r="F1775" s="23" t="s">
        <v>5765</v>
      </c>
      <c r="G1775" s="23" t="s">
        <v>1724</v>
      </c>
      <c r="Q1775" s="141" t="s">
        <v>9245</v>
      </c>
      <c r="T1775" s="23" t="s">
        <v>3715</v>
      </c>
      <c r="U1775" s="23" t="s">
        <v>3715</v>
      </c>
      <c r="V1775" s="23" t="s">
        <v>298</v>
      </c>
      <c r="W1775" s="23" t="s">
        <v>8846</v>
      </c>
      <c r="Y1775" s="38">
        <v>18200</v>
      </c>
      <c r="Z1775" s="23">
        <v>68.900000000000006</v>
      </c>
      <c r="AB1775" s="23" t="s">
        <v>9246</v>
      </c>
      <c r="AC1775" s="23" t="s">
        <v>9247</v>
      </c>
      <c r="AD1775" s="23">
        <v>0</v>
      </c>
      <c r="AE1775" s="23">
        <v>3</v>
      </c>
      <c r="AF1775" s="23" t="s">
        <v>7646</v>
      </c>
      <c r="AG1775" s="23" t="s">
        <v>637</v>
      </c>
      <c r="AH1775" s="39">
        <v>44804</v>
      </c>
      <c r="AJ1775" s="75" t="s">
        <v>9530</v>
      </c>
      <c r="AK1775" s="53">
        <v>44805</v>
      </c>
    </row>
    <row r="1776" spans="1:37">
      <c r="A1776" s="75" t="s">
        <v>9248</v>
      </c>
      <c r="B1776" s="23" t="s">
        <v>9249</v>
      </c>
      <c r="C1776" s="140">
        <v>44803</v>
      </c>
      <c r="F1776" s="23" t="s">
        <v>5765</v>
      </c>
      <c r="G1776" s="23" t="s">
        <v>1724</v>
      </c>
      <c r="W1776" s="23" t="s">
        <v>8872</v>
      </c>
      <c r="Y1776" s="38">
        <v>15440</v>
      </c>
      <c r="Z1776" s="23">
        <v>66.8</v>
      </c>
      <c r="AB1776" s="23" t="s">
        <v>9250</v>
      </c>
      <c r="AC1776" s="23" t="s">
        <v>9251</v>
      </c>
      <c r="AF1776" s="23" t="s">
        <v>7646</v>
      </c>
      <c r="AG1776" s="23" t="s">
        <v>666</v>
      </c>
      <c r="AH1776" s="39">
        <v>44804</v>
      </c>
    </row>
    <row r="1777" spans="1:37">
      <c r="A1777" s="75" t="s">
        <v>9252</v>
      </c>
      <c r="B1777" s="23" t="s">
        <v>9253</v>
      </c>
      <c r="C1777" s="140">
        <v>44803</v>
      </c>
      <c r="F1777" s="23" t="s">
        <v>5765</v>
      </c>
      <c r="G1777" s="23" t="s">
        <v>1724</v>
      </c>
      <c r="W1777" s="23" t="s">
        <v>8872</v>
      </c>
      <c r="Y1777" s="38">
        <v>16040</v>
      </c>
      <c r="Z1777" s="23">
        <v>68.8</v>
      </c>
      <c r="AB1777" s="23" t="s">
        <v>9254</v>
      </c>
      <c r="AC1777" s="23" t="s">
        <v>9255</v>
      </c>
      <c r="AF1777" s="23" t="s">
        <v>7646</v>
      </c>
      <c r="AG1777" s="23" t="s">
        <v>666</v>
      </c>
      <c r="AH1777" s="39">
        <v>44804</v>
      </c>
    </row>
    <row r="1778" spans="1:37" ht="32">
      <c r="A1778" s="75" t="s">
        <v>9257</v>
      </c>
      <c r="B1778" s="23" t="s">
        <v>9258</v>
      </c>
      <c r="C1778" s="140">
        <v>44797</v>
      </c>
      <c r="D1778" s="23" t="s">
        <v>729</v>
      </c>
      <c r="E1778" s="23" t="s">
        <v>752</v>
      </c>
      <c r="F1778" s="23" t="s">
        <v>2200</v>
      </c>
      <c r="G1778" s="23" t="s">
        <v>301</v>
      </c>
      <c r="H1778" s="23" t="s">
        <v>9259</v>
      </c>
      <c r="I1778" s="23" t="s">
        <v>9259</v>
      </c>
      <c r="J1778" s="140">
        <v>44789</v>
      </c>
      <c r="K1778" s="23" t="s">
        <v>9260</v>
      </c>
      <c r="L1778" s="140">
        <v>44803</v>
      </c>
      <c r="Q1778" s="141" t="s">
        <v>9261</v>
      </c>
      <c r="T1778" s="23" t="s">
        <v>305</v>
      </c>
      <c r="U1778" s="23" t="s">
        <v>305</v>
      </c>
      <c r="V1778" s="23" t="s">
        <v>299</v>
      </c>
      <c r="W1778" s="23" t="s">
        <v>8806</v>
      </c>
      <c r="Y1778" s="23">
        <v>5272</v>
      </c>
      <c r="Z1778" s="23">
        <v>55200</v>
      </c>
      <c r="AB1778" s="19" t="s">
        <v>9357</v>
      </c>
      <c r="AC1778" s="59">
        <v>4</v>
      </c>
      <c r="AD1778" s="23">
        <v>0</v>
      </c>
      <c r="AE1778" s="59">
        <v>2</v>
      </c>
      <c r="AF1778" s="23" t="s">
        <v>3864</v>
      </c>
      <c r="AG1778" s="23" t="s">
        <v>1553</v>
      </c>
      <c r="AH1778" s="39">
        <v>44805</v>
      </c>
      <c r="AI1778" s="53" t="s">
        <v>5851</v>
      </c>
      <c r="AJ1778" s="75" t="s">
        <v>9531</v>
      </c>
      <c r="AK1778" s="53">
        <v>44807</v>
      </c>
    </row>
    <row r="1779" spans="1:37">
      <c r="A1779" s="75" t="s">
        <v>9262</v>
      </c>
      <c r="B1779" s="23" t="s">
        <v>9263</v>
      </c>
      <c r="C1779" s="140">
        <v>44797</v>
      </c>
      <c r="D1779" s="23" t="s">
        <v>729</v>
      </c>
      <c r="E1779" s="23" t="s">
        <v>752</v>
      </c>
      <c r="F1779" s="23" t="s">
        <v>2200</v>
      </c>
      <c r="G1779" s="23" t="s">
        <v>301</v>
      </c>
      <c r="H1779" s="23">
        <v>20422605</v>
      </c>
      <c r="I1779" s="23">
        <v>20422605</v>
      </c>
      <c r="J1779" s="140">
        <v>44789</v>
      </c>
      <c r="K1779" s="23" t="s">
        <v>9264</v>
      </c>
      <c r="L1779" s="140">
        <v>44803</v>
      </c>
      <c r="Q1779" s="141" t="s">
        <v>9261</v>
      </c>
      <c r="T1779" s="23" t="s">
        <v>305</v>
      </c>
      <c r="U1779" s="23" t="s">
        <v>305</v>
      </c>
      <c r="V1779" s="23" t="s">
        <v>299</v>
      </c>
      <c r="W1779" s="23" t="s">
        <v>9101</v>
      </c>
      <c r="Y1779" s="23">
        <v>2640</v>
      </c>
      <c r="Z1779" s="23">
        <v>24000</v>
      </c>
      <c r="AB1779" s="137" t="s">
        <v>9273</v>
      </c>
      <c r="AC1779" s="59">
        <v>2</v>
      </c>
      <c r="AD1779" s="23">
        <v>0</v>
      </c>
      <c r="AE1779" s="59"/>
      <c r="AF1779" s="23" t="s">
        <v>3864</v>
      </c>
      <c r="AG1779" s="23" t="s">
        <v>1553</v>
      </c>
      <c r="AH1779" s="39">
        <v>44805</v>
      </c>
      <c r="AI1779" s="53" t="s">
        <v>5851</v>
      </c>
      <c r="AJ1779" s="75" t="s">
        <v>9531</v>
      </c>
      <c r="AK1779" s="53">
        <v>44807</v>
      </c>
    </row>
    <row r="1780" spans="1:37">
      <c r="A1780" s="75" t="s">
        <v>9265</v>
      </c>
      <c r="B1780" s="23" t="s">
        <v>9266</v>
      </c>
      <c r="C1780" s="140">
        <v>44797</v>
      </c>
      <c r="D1780" s="23" t="s">
        <v>729</v>
      </c>
      <c r="E1780" s="23" t="s">
        <v>752</v>
      </c>
      <c r="F1780" s="23" t="s">
        <v>2200</v>
      </c>
      <c r="G1780" s="23" t="s">
        <v>301</v>
      </c>
      <c r="H1780" s="23">
        <v>20422604</v>
      </c>
      <c r="I1780" s="23">
        <v>20422604</v>
      </c>
      <c r="J1780" s="140">
        <v>44789</v>
      </c>
      <c r="K1780" s="23" t="s">
        <v>9267</v>
      </c>
      <c r="L1780" s="140">
        <v>44803</v>
      </c>
      <c r="Q1780" s="141" t="s">
        <v>9261</v>
      </c>
      <c r="T1780" s="23" t="s">
        <v>305</v>
      </c>
      <c r="U1780" s="23" t="s">
        <v>305</v>
      </c>
      <c r="V1780" s="23" t="s">
        <v>299</v>
      </c>
      <c r="W1780" s="23" t="s">
        <v>9101</v>
      </c>
      <c r="Y1780" s="23">
        <v>3960</v>
      </c>
      <c r="Z1780" s="23">
        <v>36000</v>
      </c>
      <c r="AB1780" s="59" t="s">
        <v>9268</v>
      </c>
      <c r="AC1780" s="59">
        <v>3</v>
      </c>
      <c r="AD1780" s="23">
        <v>0</v>
      </c>
      <c r="AE1780" s="59">
        <v>1</v>
      </c>
      <c r="AF1780" s="23" t="s">
        <v>3864</v>
      </c>
      <c r="AG1780" s="23" t="s">
        <v>1553</v>
      </c>
      <c r="AH1780" s="39">
        <v>44805</v>
      </c>
      <c r="AI1780" s="53" t="s">
        <v>5851</v>
      </c>
      <c r="AJ1780" s="75" t="s">
        <v>9532</v>
      </c>
      <c r="AK1780" s="53">
        <v>44807</v>
      </c>
    </row>
    <row r="1781" spans="1:37" ht="112">
      <c r="A1781" s="75" t="s">
        <v>9269</v>
      </c>
      <c r="B1781" s="23" t="s">
        <v>9270</v>
      </c>
      <c r="C1781" s="140">
        <v>44797</v>
      </c>
      <c r="D1781" s="23" t="s">
        <v>729</v>
      </c>
      <c r="E1781" s="23" t="s">
        <v>752</v>
      </c>
      <c r="F1781" s="23" t="s">
        <v>2200</v>
      </c>
      <c r="G1781" s="23" t="s">
        <v>301</v>
      </c>
      <c r="H1781" s="23">
        <v>20422603</v>
      </c>
      <c r="I1781" s="23">
        <v>20422603</v>
      </c>
      <c r="J1781" s="140">
        <v>44789</v>
      </c>
      <c r="K1781" s="23" t="s">
        <v>9271</v>
      </c>
      <c r="L1781" s="140">
        <v>44803</v>
      </c>
      <c r="Q1781" s="141" t="s">
        <v>9261</v>
      </c>
      <c r="T1781" s="23" t="s">
        <v>305</v>
      </c>
      <c r="U1781" s="23" t="s">
        <v>305</v>
      </c>
      <c r="V1781" s="23" t="s">
        <v>299</v>
      </c>
      <c r="W1781" s="23" t="s">
        <v>9272</v>
      </c>
      <c r="Y1781" s="23">
        <v>32550</v>
      </c>
      <c r="Z1781" s="23">
        <v>320250</v>
      </c>
      <c r="AB1781" s="19" t="s">
        <v>9356</v>
      </c>
      <c r="AC1781" s="59">
        <v>21</v>
      </c>
      <c r="AD1781" s="23">
        <v>0</v>
      </c>
      <c r="AE1781" s="59">
        <v>7</v>
      </c>
      <c r="AF1781" s="23" t="s">
        <v>3864</v>
      </c>
      <c r="AG1781" s="23" t="s">
        <v>1553</v>
      </c>
      <c r="AH1781" s="39">
        <v>44805</v>
      </c>
      <c r="AI1781" s="53" t="s">
        <v>5851</v>
      </c>
      <c r="AJ1781" s="75" t="s">
        <v>9533</v>
      </c>
      <c r="AK1781" s="53">
        <v>44807</v>
      </c>
    </row>
    <row r="1782" spans="1:37">
      <c r="A1782" s="75" t="s">
        <v>9274</v>
      </c>
      <c r="B1782" s="23" t="s">
        <v>9275</v>
      </c>
      <c r="C1782" s="140">
        <v>44806</v>
      </c>
      <c r="D1782" s="23" t="s">
        <v>729</v>
      </c>
      <c r="E1782" s="23" t="s">
        <v>2919</v>
      </c>
      <c r="F1782" s="23" t="s">
        <v>5765</v>
      </c>
      <c r="G1782" s="23" t="s">
        <v>1724</v>
      </c>
      <c r="Q1782" s="141" t="s">
        <v>9276</v>
      </c>
      <c r="T1782" s="23" t="s">
        <v>3715</v>
      </c>
      <c r="U1782" s="23" t="s">
        <v>3715</v>
      </c>
      <c r="V1782" s="23" t="s">
        <v>298</v>
      </c>
      <c r="W1782" s="23" t="s">
        <v>8872</v>
      </c>
      <c r="Y1782" s="38">
        <v>16380</v>
      </c>
      <c r="Z1782" s="23">
        <v>67</v>
      </c>
      <c r="AB1782" s="23" t="s">
        <v>9277</v>
      </c>
      <c r="AC1782" s="23" t="s">
        <v>9278</v>
      </c>
      <c r="AD1782" s="23">
        <v>0</v>
      </c>
      <c r="AE1782" s="23">
        <v>1</v>
      </c>
      <c r="AF1782" s="23" t="s">
        <v>7646</v>
      </c>
      <c r="AG1782" s="23" t="s">
        <v>666</v>
      </c>
      <c r="AH1782" s="39">
        <v>44809</v>
      </c>
      <c r="AJ1782" s="75" t="s">
        <v>9534</v>
      </c>
      <c r="AK1782" s="53">
        <v>44810</v>
      </c>
    </row>
    <row r="1783" spans="1:37">
      <c r="A1783" s="75" t="s">
        <v>9279</v>
      </c>
      <c r="B1783" s="23" t="s">
        <v>9280</v>
      </c>
      <c r="C1783" s="140">
        <v>44804</v>
      </c>
      <c r="D1783" s="23" t="s">
        <v>729</v>
      </c>
      <c r="E1783" s="23" t="s">
        <v>752</v>
      </c>
      <c r="F1783" s="23" t="s">
        <v>5765</v>
      </c>
      <c r="G1783" s="23" t="s">
        <v>1724</v>
      </c>
      <c r="P1783" s="23" t="s">
        <v>9281</v>
      </c>
      <c r="Q1783" s="141" t="s">
        <v>9283</v>
      </c>
      <c r="T1783" s="23" t="s">
        <v>12031</v>
      </c>
      <c r="U1783" s="23" t="s">
        <v>12031</v>
      </c>
      <c r="V1783" s="23" t="s">
        <v>298</v>
      </c>
      <c r="W1783" s="23" t="s">
        <v>7446</v>
      </c>
      <c r="Y1783" s="38">
        <v>16850</v>
      </c>
      <c r="Z1783" s="23">
        <v>68</v>
      </c>
      <c r="AB1783" s="23" t="s">
        <v>9284</v>
      </c>
      <c r="AC1783" s="23" t="s">
        <v>9285</v>
      </c>
      <c r="AD1783" s="23">
        <v>0</v>
      </c>
      <c r="AE1783" s="23">
        <v>2</v>
      </c>
      <c r="AF1783" s="23" t="s">
        <v>6434</v>
      </c>
      <c r="AG1783" s="23" t="s">
        <v>666</v>
      </c>
      <c r="AH1783" s="39">
        <v>44810</v>
      </c>
      <c r="AJ1783" s="75" t="s">
        <v>9535</v>
      </c>
      <c r="AK1783" s="53">
        <v>44811</v>
      </c>
    </row>
    <row r="1784" spans="1:37">
      <c r="A1784" s="75" t="s">
        <v>9286</v>
      </c>
      <c r="B1784" s="23" t="s">
        <v>9287</v>
      </c>
      <c r="C1784" s="140">
        <v>44799</v>
      </c>
      <c r="F1784" s="23" t="s">
        <v>5765</v>
      </c>
      <c r="G1784" s="23" t="s">
        <v>1724</v>
      </c>
      <c r="P1784" s="23" t="s">
        <v>9288</v>
      </c>
      <c r="Q1784" s="141" t="s">
        <v>9289</v>
      </c>
      <c r="W1784" s="23" t="s">
        <v>4803</v>
      </c>
      <c r="Y1784" s="37">
        <v>13593.6</v>
      </c>
      <c r="Z1784" s="23">
        <v>50</v>
      </c>
      <c r="AB1784" s="23" t="s">
        <v>9290</v>
      </c>
      <c r="AC1784" s="23" t="s">
        <v>9291</v>
      </c>
      <c r="AF1784" s="23" t="s">
        <v>5478</v>
      </c>
      <c r="AG1784" s="23" t="s">
        <v>5518</v>
      </c>
      <c r="AH1784" s="39">
        <v>44810</v>
      </c>
    </row>
    <row r="1785" spans="1:37">
      <c r="A1785" s="75" t="s">
        <v>9292</v>
      </c>
      <c r="B1785" s="23" t="s">
        <v>9293</v>
      </c>
      <c r="C1785" s="140">
        <v>44810</v>
      </c>
      <c r="D1785" s="23" t="s">
        <v>729</v>
      </c>
      <c r="E1785" s="23" t="s">
        <v>2919</v>
      </c>
      <c r="F1785" s="23" t="s">
        <v>5765</v>
      </c>
      <c r="G1785" s="23" t="s">
        <v>1724</v>
      </c>
      <c r="Q1785" s="141" t="s">
        <v>9282</v>
      </c>
      <c r="T1785" s="23" t="s">
        <v>3715</v>
      </c>
      <c r="U1785" s="23" t="s">
        <v>3715</v>
      </c>
      <c r="V1785" s="23" t="s">
        <v>298</v>
      </c>
      <c r="W1785" s="23" t="s">
        <v>8938</v>
      </c>
      <c r="Y1785" s="38">
        <v>17690</v>
      </c>
      <c r="Z1785" s="23">
        <v>68.599999999999994</v>
      </c>
      <c r="AB1785" s="23" t="s">
        <v>9294</v>
      </c>
      <c r="AC1785" s="23" t="s">
        <v>5888</v>
      </c>
      <c r="AD1785" s="23">
        <v>0</v>
      </c>
      <c r="AE1785" s="23">
        <v>1</v>
      </c>
      <c r="AF1785" s="23" t="s">
        <v>7646</v>
      </c>
      <c r="AG1785" s="23" t="s">
        <v>666</v>
      </c>
      <c r="AH1785" s="39">
        <v>44810</v>
      </c>
      <c r="AJ1785" s="75" t="s">
        <v>9536</v>
      </c>
      <c r="AK1785" s="53">
        <v>44811</v>
      </c>
    </row>
    <row r="1786" spans="1:37">
      <c r="A1786" s="75" t="s">
        <v>9295</v>
      </c>
      <c r="B1786" s="23" t="s">
        <v>9296</v>
      </c>
      <c r="C1786" s="140">
        <v>44805</v>
      </c>
      <c r="D1786" s="23" t="s">
        <v>729</v>
      </c>
      <c r="E1786" s="23" t="s">
        <v>752</v>
      </c>
      <c r="F1786" s="23" t="s">
        <v>6113</v>
      </c>
      <c r="G1786" s="23" t="s">
        <v>5538</v>
      </c>
      <c r="H1786" s="23" t="s">
        <v>9297</v>
      </c>
      <c r="I1786" s="23" t="s">
        <v>9297</v>
      </c>
      <c r="J1786" s="140">
        <v>44781</v>
      </c>
      <c r="Q1786" s="141" t="s">
        <v>9283</v>
      </c>
      <c r="T1786" s="23" t="s">
        <v>12031</v>
      </c>
      <c r="U1786" s="23" t="s">
        <v>12031</v>
      </c>
      <c r="V1786" s="23" t="s">
        <v>299</v>
      </c>
      <c r="W1786" s="23" t="s">
        <v>9298</v>
      </c>
      <c r="AB1786" s="23" t="s">
        <v>9299</v>
      </c>
      <c r="AC1786" s="23">
        <v>3</v>
      </c>
      <c r="AD1786" s="23">
        <v>0</v>
      </c>
      <c r="AE1786" s="23">
        <v>1</v>
      </c>
      <c r="AG1786" s="23" t="s">
        <v>5879</v>
      </c>
      <c r="AH1786" s="39">
        <v>44811</v>
      </c>
      <c r="AI1786" s="53" t="s">
        <v>5027</v>
      </c>
      <c r="AJ1786" s="75" t="s">
        <v>9537</v>
      </c>
      <c r="AK1786" s="53">
        <v>44812</v>
      </c>
    </row>
    <row r="1787" spans="1:37">
      <c r="A1787" s="75" t="s">
        <v>9300</v>
      </c>
      <c r="B1787" s="23" t="s">
        <v>9301</v>
      </c>
      <c r="C1787" s="140">
        <v>44807</v>
      </c>
      <c r="D1787" s="23" t="s">
        <v>729</v>
      </c>
      <c r="E1787" s="23" t="s">
        <v>752</v>
      </c>
      <c r="F1787" s="23" t="s">
        <v>6113</v>
      </c>
      <c r="G1787" s="23" t="s">
        <v>5538</v>
      </c>
      <c r="H1787" s="23" t="s">
        <v>9302</v>
      </c>
      <c r="I1787" s="23" t="s">
        <v>9302</v>
      </c>
      <c r="J1787" s="140">
        <v>44788</v>
      </c>
      <c r="Q1787" s="141" t="s">
        <v>9303</v>
      </c>
      <c r="T1787" s="23" t="s">
        <v>12031</v>
      </c>
      <c r="U1787" s="23" t="s">
        <v>12031</v>
      </c>
      <c r="V1787" s="23" t="s">
        <v>299</v>
      </c>
      <c r="W1787" s="23" t="s">
        <v>9298</v>
      </c>
      <c r="AB1787" s="23" t="s">
        <v>9304</v>
      </c>
      <c r="AC1787" s="23">
        <v>3</v>
      </c>
      <c r="AD1787" s="23">
        <v>0</v>
      </c>
      <c r="AE1787" s="23">
        <v>1</v>
      </c>
      <c r="AG1787" s="23" t="s">
        <v>5879</v>
      </c>
      <c r="AH1787" s="39">
        <v>44811</v>
      </c>
      <c r="AI1787" s="53" t="s">
        <v>5027</v>
      </c>
      <c r="AJ1787" s="75" t="s">
        <v>9538</v>
      </c>
      <c r="AK1787" s="53">
        <v>44812</v>
      </c>
    </row>
    <row r="1788" spans="1:37">
      <c r="A1788" s="75" t="s">
        <v>9305</v>
      </c>
      <c r="B1788" s="23" t="s">
        <v>9306</v>
      </c>
      <c r="C1788" s="140">
        <v>44810</v>
      </c>
      <c r="D1788" s="23" t="s">
        <v>729</v>
      </c>
      <c r="E1788" s="23" t="s">
        <v>2919</v>
      </c>
      <c r="F1788" s="23" t="s">
        <v>5765</v>
      </c>
      <c r="G1788" s="23" t="s">
        <v>1724</v>
      </c>
      <c r="Q1788" s="141" t="s">
        <v>9282</v>
      </c>
      <c r="T1788" s="23" t="s">
        <v>3715</v>
      </c>
      <c r="U1788" s="23" t="s">
        <v>3715</v>
      </c>
      <c r="V1788" s="23" t="s">
        <v>298</v>
      </c>
      <c r="W1788" s="23" t="s">
        <v>8938</v>
      </c>
      <c r="Y1788" s="38">
        <v>15150</v>
      </c>
      <c r="Z1788" s="23">
        <v>68.400000000000006</v>
      </c>
      <c r="AB1788" s="23" t="s">
        <v>9307</v>
      </c>
      <c r="AC1788" s="23" t="s">
        <v>6914</v>
      </c>
      <c r="AD1788" s="23">
        <v>0</v>
      </c>
      <c r="AE1788" s="23">
        <v>1</v>
      </c>
      <c r="AF1788" s="23" t="s">
        <v>7646</v>
      </c>
      <c r="AG1788" s="23" t="s">
        <v>666</v>
      </c>
      <c r="AH1788" s="39">
        <v>44811</v>
      </c>
      <c r="AJ1788" s="75" t="s">
        <v>9539</v>
      </c>
      <c r="AK1788" s="53">
        <v>44812</v>
      </c>
    </row>
    <row r="1789" spans="1:37">
      <c r="A1789" s="75" t="s">
        <v>9308</v>
      </c>
      <c r="B1789" s="23" t="s">
        <v>9309</v>
      </c>
      <c r="C1789" s="140">
        <v>44803</v>
      </c>
      <c r="D1789" s="23" t="s">
        <v>729</v>
      </c>
      <c r="E1789" s="23" t="s">
        <v>2919</v>
      </c>
      <c r="F1789" s="23" t="s">
        <v>5765</v>
      </c>
      <c r="G1789" s="23" t="s">
        <v>1724</v>
      </c>
      <c r="P1789" s="23" t="s">
        <v>9281</v>
      </c>
      <c r="Q1789" s="141" t="s">
        <v>9283</v>
      </c>
      <c r="T1789" s="23" t="s">
        <v>12031</v>
      </c>
      <c r="U1789" s="23" t="s">
        <v>12031</v>
      </c>
      <c r="V1789" s="23" t="s">
        <v>298</v>
      </c>
      <c r="W1789" s="23" t="s">
        <v>6359</v>
      </c>
      <c r="Y1789" s="38">
        <v>21800</v>
      </c>
      <c r="Z1789" s="23">
        <v>68</v>
      </c>
      <c r="AB1789" s="23" t="s">
        <v>9310</v>
      </c>
      <c r="AC1789" s="23" t="s">
        <v>9311</v>
      </c>
      <c r="AD1789" s="23">
        <v>0</v>
      </c>
      <c r="AE1789" s="23">
        <v>1</v>
      </c>
      <c r="AF1789" s="23" t="s">
        <v>6434</v>
      </c>
      <c r="AG1789" s="23" t="s">
        <v>665</v>
      </c>
      <c r="AH1789" s="39">
        <v>44811</v>
      </c>
      <c r="AJ1789" s="75" t="s">
        <v>9540</v>
      </c>
      <c r="AK1789" s="53">
        <v>44812</v>
      </c>
    </row>
    <row r="1790" spans="1:37">
      <c r="A1790" s="75" t="s">
        <v>9313</v>
      </c>
      <c r="B1790" s="23" t="s">
        <v>9312</v>
      </c>
      <c r="C1790" s="140">
        <v>44812</v>
      </c>
      <c r="D1790" s="23" t="s">
        <v>729</v>
      </c>
      <c r="E1790" s="23" t="s">
        <v>2919</v>
      </c>
      <c r="F1790" s="23" t="s">
        <v>5765</v>
      </c>
      <c r="G1790" s="23" t="s">
        <v>1724</v>
      </c>
      <c r="Q1790" s="141" t="s">
        <v>9303</v>
      </c>
      <c r="T1790" s="23" t="s">
        <v>3715</v>
      </c>
      <c r="U1790" s="23" t="s">
        <v>3715</v>
      </c>
      <c r="V1790" s="23" t="s">
        <v>298</v>
      </c>
      <c r="W1790" s="23" t="s">
        <v>9314</v>
      </c>
      <c r="Y1790" s="38">
        <v>22300</v>
      </c>
      <c r="Z1790" s="23">
        <v>66.400000000000006</v>
      </c>
      <c r="AB1790" s="23" t="s">
        <v>9315</v>
      </c>
      <c r="AC1790" s="23" t="s">
        <v>5202</v>
      </c>
      <c r="AD1790" s="23">
        <v>0</v>
      </c>
      <c r="AE1790" s="23">
        <v>1</v>
      </c>
      <c r="AF1790" s="23" t="s">
        <v>7646</v>
      </c>
      <c r="AG1790" s="23" t="s">
        <v>637</v>
      </c>
      <c r="AH1790" s="39">
        <v>44812</v>
      </c>
      <c r="AJ1790" s="75" t="s">
        <v>9541</v>
      </c>
      <c r="AK1790" s="53">
        <v>44813</v>
      </c>
    </row>
    <row r="1791" spans="1:37">
      <c r="A1791" s="75" t="s">
        <v>9316</v>
      </c>
      <c r="B1791" s="23" t="s">
        <v>9317</v>
      </c>
      <c r="C1791" s="140">
        <v>44797</v>
      </c>
      <c r="D1791" s="23" t="s">
        <v>729</v>
      </c>
      <c r="E1791" s="23" t="s">
        <v>752</v>
      </c>
      <c r="F1791" s="23" t="s">
        <v>3456</v>
      </c>
      <c r="G1791" s="23" t="s">
        <v>1989</v>
      </c>
      <c r="H1791" s="23" t="s">
        <v>9318</v>
      </c>
      <c r="I1791" s="23" t="s">
        <v>9318</v>
      </c>
      <c r="J1791" s="140">
        <v>44796</v>
      </c>
      <c r="Q1791" s="141" t="s">
        <v>9324</v>
      </c>
      <c r="T1791" s="23" t="s">
        <v>12031</v>
      </c>
      <c r="U1791" s="23" t="s">
        <v>12031</v>
      </c>
      <c r="V1791" s="23" t="s">
        <v>299</v>
      </c>
      <c r="W1791" s="23" t="s">
        <v>9319</v>
      </c>
      <c r="AB1791" s="23" t="s">
        <v>8561</v>
      </c>
      <c r="AC1791" s="23">
        <v>1</v>
      </c>
      <c r="AF1791" s="23" t="s">
        <v>8561</v>
      </c>
      <c r="AG1791" s="23" t="s">
        <v>665</v>
      </c>
      <c r="AH1791" s="39">
        <v>44812</v>
      </c>
      <c r="AI1791" s="53" t="s">
        <v>3857</v>
      </c>
    </row>
    <row r="1792" spans="1:37">
      <c r="A1792" s="75" t="s">
        <v>9320</v>
      </c>
      <c r="B1792" s="23" t="s">
        <v>9321</v>
      </c>
      <c r="C1792" s="140">
        <v>44797</v>
      </c>
      <c r="D1792" s="23" t="s">
        <v>729</v>
      </c>
      <c r="E1792" s="23" t="s">
        <v>752</v>
      </c>
      <c r="F1792" s="23" t="s">
        <v>3456</v>
      </c>
      <c r="G1792" s="23" t="s">
        <v>1989</v>
      </c>
      <c r="H1792" s="23" t="s">
        <v>9322</v>
      </c>
      <c r="I1792" s="23" t="s">
        <v>9322</v>
      </c>
      <c r="J1792" s="140">
        <v>44795</v>
      </c>
      <c r="Q1792" s="141" t="s">
        <v>9324</v>
      </c>
      <c r="T1792" s="23" t="s">
        <v>12031</v>
      </c>
      <c r="U1792" s="23" t="s">
        <v>12031</v>
      </c>
      <c r="V1792" s="23" t="s">
        <v>299</v>
      </c>
      <c r="W1792" s="23" t="s">
        <v>9323</v>
      </c>
      <c r="AB1792" s="23" t="s">
        <v>8561</v>
      </c>
      <c r="AC1792" s="23">
        <v>4</v>
      </c>
      <c r="AF1792" s="23" t="s">
        <v>8561</v>
      </c>
      <c r="AG1792" s="23" t="s">
        <v>665</v>
      </c>
      <c r="AH1792" s="39">
        <v>44812</v>
      </c>
      <c r="AI1792" s="53" t="s">
        <v>3857</v>
      </c>
      <c r="AJ1792" s="75" t="s">
        <v>10792</v>
      </c>
      <c r="AK1792" s="53">
        <v>44814</v>
      </c>
    </row>
    <row r="1793" spans="1:37" ht="128">
      <c r="A1793" s="75" t="s">
        <v>9325</v>
      </c>
      <c r="B1793" s="23" t="s">
        <v>9345</v>
      </c>
      <c r="C1793" s="140">
        <v>44805</v>
      </c>
      <c r="D1793" s="23" t="s">
        <v>729</v>
      </c>
      <c r="E1793" s="23" t="s">
        <v>752</v>
      </c>
      <c r="F1793" s="23" t="s">
        <v>2200</v>
      </c>
      <c r="G1793" s="23" t="s">
        <v>301</v>
      </c>
      <c r="H1793" s="23" t="s">
        <v>9346</v>
      </c>
      <c r="I1793" s="23" t="s">
        <v>9346</v>
      </c>
      <c r="J1793" s="140">
        <v>44798</v>
      </c>
      <c r="K1793" s="23" t="s">
        <v>9347</v>
      </c>
      <c r="L1793" s="140">
        <v>44809</v>
      </c>
      <c r="T1793" s="23" t="s">
        <v>305</v>
      </c>
      <c r="U1793" s="23" t="s">
        <v>305</v>
      </c>
      <c r="V1793" s="23" t="s">
        <v>299</v>
      </c>
      <c r="W1793" s="19" t="s">
        <v>9348</v>
      </c>
      <c r="Y1793" s="23">
        <v>22220</v>
      </c>
      <c r="Z1793" s="23">
        <v>216000</v>
      </c>
      <c r="AB1793" s="19" t="s">
        <v>9402</v>
      </c>
      <c r="AC1793" s="59">
        <v>16</v>
      </c>
      <c r="AD1793" s="23">
        <v>0</v>
      </c>
      <c r="AE1793" s="23">
        <v>8</v>
      </c>
      <c r="AG1793" s="23" t="s">
        <v>1553</v>
      </c>
      <c r="AH1793" s="39">
        <v>44816</v>
      </c>
      <c r="AI1793" s="53" t="s">
        <v>5851</v>
      </c>
      <c r="AJ1793" s="75" t="s">
        <v>9542</v>
      </c>
      <c r="AK1793" s="53">
        <v>44817</v>
      </c>
    </row>
    <row r="1794" spans="1:37" ht="64">
      <c r="A1794" s="75" t="s">
        <v>9326</v>
      </c>
      <c r="B1794" s="23" t="s">
        <v>9334</v>
      </c>
      <c r="C1794" s="140">
        <v>44805</v>
      </c>
      <c r="D1794" s="23" t="s">
        <v>729</v>
      </c>
      <c r="E1794" s="23" t="s">
        <v>752</v>
      </c>
      <c r="F1794" s="23" t="s">
        <v>2200</v>
      </c>
      <c r="G1794" s="23" t="s">
        <v>301</v>
      </c>
      <c r="H1794" s="23" t="s">
        <v>9335</v>
      </c>
      <c r="I1794" s="23" t="s">
        <v>9335</v>
      </c>
      <c r="J1794" s="140">
        <v>44798</v>
      </c>
      <c r="K1794" s="23" t="s">
        <v>9336</v>
      </c>
      <c r="L1794" s="140">
        <v>44809</v>
      </c>
      <c r="T1794" s="23" t="s">
        <v>305</v>
      </c>
      <c r="U1794" s="23" t="s">
        <v>305</v>
      </c>
      <c r="V1794" s="23" t="s">
        <v>299</v>
      </c>
      <c r="W1794" s="23" t="s">
        <v>9337</v>
      </c>
      <c r="Y1794" s="23">
        <v>3954</v>
      </c>
      <c r="Z1794" s="23">
        <v>40600</v>
      </c>
      <c r="AB1794" s="19" t="s">
        <v>9350</v>
      </c>
      <c r="AC1794" s="59">
        <v>3</v>
      </c>
      <c r="AD1794" s="23">
        <v>0</v>
      </c>
      <c r="AE1794" s="23">
        <v>0</v>
      </c>
      <c r="AG1794" s="23" t="s">
        <v>1553</v>
      </c>
      <c r="AH1794" s="39">
        <v>44816</v>
      </c>
      <c r="AI1794" s="53" t="s">
        <v>5851</v>
      </c>
      <c r="AJ1794" s="75" t="s">
        <v>9542</v>
      </c>
      <c r="AK1794" s="53">
        <v>44817</v>
      </c>
    </row>
    <row r="1795" spans="1:37" ht="48">
      <c r="A1795" s="75" t="s">
        <v>9327</v>
      </c>
      <c r="B1795" s="23" t="s">
        <v>9338</v>
      </c>
      <c r="C1795" s="140">
        <v>44805</v>
      </c>
      <c r="D1795" s="23" t="s">
        <v>729</v>
      </c>
      <c r="E1795" s="23" t="s">
        <v>752</v>
      </c>
      <c r="F1795" s="23" t="s">
        <v>2200</v>
      </c>
      <c r="G1795" s="23" t="s">
        <v>301</v>
      </c>
      <c r="H1795" s="23" t="s">
        <v>9339</v>
      </c>
      <c r="I1795" s="23" t="s">
        <v>9339</v>
      </c>
      <c r="J1795" s="140">
        <v>44798</v>
      </c>
      <c r="K1795" s="23" t="s">
        <v>9340</v>
      </c>
      <c r="L1795" s="140">
        <v>44809</v>
      </c>
      <c r="T1795" s="23" t="s">
        <v>305</v>
      </c>
      <c r="U1795" s="23" t="s">
        <v>305</v>
      </c>
      <c r="V1795" s="23" t="s">
        <v>299</v>
      </c>
      <c r="W1795" s="23" t="s">
        <v>8525</v>
      </c>
      <c r="Y1795" s="23">
        <v>62400</v>
      </c>
      <c r="Z1795" s="23">
        <v>6204</v>
      </c>
      <c r="AB1795" s="19" t="s">
        <v>9403</v>
      </c>
      <c r="AC1795" s="59">
        <v>3</v>
      </c>
      <c r="AD1795" s="23">
        <v>0</v>
      </c>
      <c r="AE1795" s="23">
        <v>1</v>
      </c>
      <c r="AG1795" s="23" t="s">
        <v>1553</v>
      </c>
      <c r="AH1795" s="39">
        <v>44816</v>
      </c>
      <c r="AI1795" s="53" t="s">
        <v>5851</v>
      </c>
      <c r="AJ1795" s="75" t="s">
        <v>9542</v>
      </c>
      <c r="AK1795" s="53">
        <v>44817</v>
      </c>
    </row>
    <row r="1796" spans="1:37" ht="48">
      <c r="A1796" s="75" t="s">
        <v>9328</v>
      </c>
      <c r="B1796" s="23" t="s">
        <v>9330</v>
      </c>
      <c r="C1796" s="140">
        <v>44805</v>
      </c>
      <c r="D1796" s="23" t="s">
        <v>729</v>
      </c>
      <c r="E1796" s="23" t="s">
        <v>752</v>
      </c>
      <c r="F1796" s="23" t="s">
        <v>2200</v>
      </c>
      <c r="G1796" s="23" t="s">
        <v>301</v>
      </c>
      <c r="H1796" s="23" t="s">
        <v>9331</v>
      </c>
      <c r="I1796" s="23" t="s">
        <v>9331</v>
      </c>
      <c r="J1796" s="140">
        <v>44798</v>
      </c>
      <c r="K1796" s="23" t="s">
        <v>9332</v>
      </c>
      <c r="L1796" s="140">
        <v>44809</v>
      </c>
      <c r="T1796" s="23" t="s">
        <v>305</v>
      </c>
      <c r="U1796" s="23" t="s">
        <v>305</v>
      </c>
      <c r="V1796" s="23" t="s">
        <v>299</v>
      </c>
      <c r="W1796" s="19" t="s">
        <v>9333</v>
      </c>
      <c r="Y1796" s="23">
        <v>4418</v>
      </c>
      <c r="Z1796" s="23">
        <v>44300</v>
      </c>
      <c r="AB1796" s="19" t="s">
        <v>9404</v>
      </c>
      <c r="AC1796" s="59">
        <v>3</v>
      </c>
      <c r="AD1796" s="23">
        <v>0</v>
      </c>
      <c r="AE1796" s="23">
        <v>1</v>
      </c>
      <c r="AG1796" s="23" t="s">
        <v>1553</v>
      </c>
      <c r="AH1796" s="39">
        <v>44816</v>
      </c>
      <c r="AI1796" s="53" t="s">
        <v>5851</v>
      </c>
      <c r="AJ1796" s="75" t="s">
        <v>9542</v>
      </c>
      <c r="AK1796" s="53">
        <v>44817</v>
      </c>
    </row>
    <row r="1797" spans="1:37" ht="96">
      <c r="A1797" s="75" t="s">
        <v>9329</v>
      </c>
      <c r="B1797" s="23" t="s">
        <v>9341</v>
      </c>
      <c r="C1797" s="140">
        <v>44805</v>
      </c>
      <c r="D1797" s="23" t="s">
        <v>729</v>
      </c>
      <c r="E1797" s="23" t="s">
        <v>752</v>
      </c>
      <c r="F1797" s="23" t="s">
        <v>2200</v>
      </c>
      <c r="G1797" s="23" t="s">
        <v>301</v>
      </c>
      <c r="H1797" s="23" t="s">
        <v>9342</v>
      </c>
      <c r="I1797" s="23" t="s">
        <v>9342</v>
      </c>
      <c r="J1797" s="140">
        <v>44798</v>
      </c>
      <c r="K1797" s="23" t="s">
        <v>9343</v>
      </c>
      <c r="L1797" s="140">
        <v>44809</v>
      </c>
      <c r="T1797" s="23" t="s">
        <v>305</v>
      </c>
      <c r="U1797" s="23" t="s">
        <v>305</v>
      </c>
      <c r="V1797" s="23" t="s">
        <v>299</v>
      </c>
      <c r="W1797" s="19" t="s">
        <v>9344</v>
      </c>
      <c r="Y1797" s="23">
        <v>4369</v>
      </c>
      <c r="Z1797" s="23">
        <v>40950</v>
      </c>
      <c r="AB1797" s="19" t="s">
        <v>9349</v>
      </c>
      <c r="AC1797" s="59">
        <v>3</v>
      </c>
      <c r="AD1797" s="23">
        <v>0</v>
      </c>
      <c r="AE1797" s="23">
        <v>0</v>
      </c>
      <c r="AG1797" s="23" t="s">
        <v>1553</v>
      </c>
      <c r="AH1797" s="39">
        <v>44816</v>
      </c>
      <c r="AI1797" s="53" t="s">
        <v>5851</v>
      </c>
      <c r="AJ1797" s="75" t="s">
        <v>9542</v>
      </c>
      <c r="AK1797" s="53">
        <v>44817</v>
      </c>
    </row>
    <row r="1798" spans="1:37">
      <c r="A1798" s="104" t="s">
        <v>9351</v>
      </c>
      <c r="B1798" s="23" t="s">
        <v>9352</v>
      </c>
      <c r="C1798" s="140">
        <v>44809</v>
      </c>
      <c r="D1798" s="23" t="s">
        <v>729</v>
      </c>
      <c r="E1798" s="23" t="s">
        <v>752</v>
      </c>
      <c r="F1798" s="23" t="s">
        <v>57</v>
      </c>
      <c r="G1798" s="23" t="s">
        <v>57</v>
      </c>
      <c r="H1798" s="23" t="s">
        <v>9353</v>
      </c>
      <c r="I1798" s="23" t="s">
        <v>9353</v>
      </c>
      <c r="J1798" s="140">
        <v>44806</v>
      </c>
      <c r="K1798" s="23" t="s">
        <v>9354</v>
      </c>
      <c r="L1798" s="140">
        <v>44811</v>
      </c>
      <c r="Q1798" s="141" t="s">
        <v>9324</v>
      </c>
      <c r="S1798" s="23" t="s">
        <v>183</v>
      </c>
      <c r="T1798" s="23" t="s">
        <v>305</v>
      </c>
      <c r="U1798" s="23" t="s">
        <v>305</v>
      </c>
      <c r="V1798" s="23" t="s">
        <v>233</v>
      </c>
      <c r="W1798" s="23" t="s">
        <v>143</v>
      </c>
      <c r="X1798" s="23">
        <v>30799.7</v>
      </c>
      <c r="Y1798" s="23">
        <v>31010.6</v>
      </c>
      <c r="Z1798" s="23">
        <v>34940.559999999998</v>
      </c>
      <c r="AA1798" s="23">
        <v>32084.560000000001</v>
      </c>
      <c r="AB1798" s="23" t="s">
        <v>9355</v>
      </c>
      <c r="AC1798" s="23" t="s">
        <v>7351</v>
      </c>
      <c r="AD1798" s="23">
        <v>0</v>
      </c>
      <c r="AE1798" s="23">
        <v>2</v>
      </c>
      <c r="AF1798" s="23" t="s">
        <v>5478</v>
      </c>
      <c r="AG1798" s="23" t="s">
        <v>792</v>
      </c>
      <c r="AH1798" s="39">
        <v>44816</v>
      </c>
    </row>
    <row r="1799" spans="1:37">
      <c r="A1799" s="75" t="s">
        <v>9358</v>
      </c>
      <c r="B1799" s="23" t="s">
        <v>9359</v>
      </c>
      <c r="C1799" s="140">
        <v>44814</v>
      </c>
      <c r="D1799" s="23" t="s">
        <v>729</v>
      </c>
      <c r="E1799" s="23" t="s">
        <v>2919</v>
      </c>
      <c r="F1799" s="23" t="s">
        <v>5765</v>
      </c>
      <c r="G1799" s="23" t="s">
        <v>1724</v>
      </c>
      <c r="Q1799" s="141" t="s">
        <v>9360</v>
      </c>
      <c r="T1799" s="23" t="s">
        <v>3715</v>
      </c>
      <c r="U1799" s="23" t="s">
        <v>3715</v>
      </c>
      <c r="V1799" s="23" t="s">
        <v>298</v>
      </c>
      <c r="W1799" s="23" t="s">
        <v>9314</v>
      </c>
      <c r="Y1799" s="38">
        <v>22290</v>
      </c>
      <c r="Z1799" s="23">
        <v>66.3</v>
      </c>
      <c r="AB1799" s="23" t="s">
        <v>9361</v>
      </c>
      <c r="AC1799" s="23" t="s">
        <v>9362</v>
      </c>
      <c r="AD1799" s="23">
        <v>0</v>
      </c>
      <c r="AE1799" s="23">
        <v>2</v>
      </c>
      <c r="AF1799" s="23" t="s">
        <v>7646</v>
      </c>
      <c r="AG1799" s="23" t="s">
        <v>637</v>
      </c>
      <c r="AH1799" s="39">
        <v>44817</v>
      </c>
      <c r="AJ1799" s="75" t="s">
        <v>9543</v>
      </c>
      <c r="AK1799" s="53">
        <v>44818</v>
      </c>
    </row>
    <row r="1800" spans="1:37">
      <c r="A1800" s="75" t="s">
        <v>9363</v>
      </c>
      <c r="B1800" s="23" t="s">
        <v>9364</v>
      </c>
      <c r="C1800" s="140">
        <v>44815</v>
      </c>
      <c r="F1800" s="23" t="s">
        <v>5765</v>
      </c>
      <c r="G1800" s="23" t="s">
        <v>1724</v>
      </c>
      <c r="W1800" s="23" t="s">
        <v>9365</v>
      </c>
      <c r="Y1800" s="38">
        <v>22350</v>
      </c>
      <c r="Z1800" s="23">
        <v>66.2</v>
      </c>
      <c r="AB1800" s="23" t="s">
        <v>9366</v>
      </c>
      <c r="AC1800" s="23" t="s">
        <v>4311</v>
      </c>
      <c r="AF1800" s="23" t="s">
        <v>7646</v>
      </c>
      <c r="AG1800" s="23" t="s">
        <v>637</v>
      </c>
      <c r="AH1800" s="39">
        <v>44817</v>
      </c>
    </row>
    <row r="1801" spans="1:37">
      <c r="A1801" s="75" t="s">
        <v>9367</v>
      </c>
      <c r="B1801" s="23" t="s">
        <v>9368</v>
      </c>
      <c r="C1801" s="140">
        <v>44817</v>
      </c>
      <c r="D1801" s="23" t="s">
        <v>729</v>
      </c>
      <c r="E1801" s="23" t="s">
        <v>2919</v>
      </c>
      <c r="F1801" s="23" t="s">
        <v>5765</v>
      </c>
      <c r="G1801" s="23" t="s">
        <v>1724</v>
      </c>
      <c r="Q1801" s="141" t="s">
        <v>9369</v>
      </c>
      <c r="T1801" s="23" t="s">
        <v>3715</v>
      </c>
      <c r="U1801" s="23" t="s">
        <v>3715</v>
      </c>
      <c r="V1801" s="23" t="s">
        <v>298</v>
      </c>
      <c r="W1801" s="23" t="s">
        <v>9365</v>
      </c>
      <c r="Y1801" s="38">
        <v>22380</v>
      </c>
      <c r="Z1801" s="23">
        <v>66.2</v>
      </c>
      <c r="AB1801" s="23" t="s">
        <v>9370</v>
      </c>
      <c r="AC1801" s="23" t="s">
        <v>9371</v>
      </c>
      <c r="AD1801" s="23">
        <v>0</v>
      </c>
      <c r="AE1801" s="23">
        <v>1</v>
      </c>
      <c r="AF1801" s="23" t="s">
        <v>7646</v>
      </c>
      <c r="AG1801" s="23" t="s">
        <v>637</v>
      </c>
      <c r="AH1801" s="39">
        <v>44818</v>
      </c>
      <c r="AJ1801" s="75" t="s">
        <v>9544</v>
      </c>
      <c r="AK1801" s="53">
        <v>44819</v>
      </c>
    </row>
    <row r="1802" spans="1:37" ht="64">
      <c r="A1802" s="75" t="s">
        <v>9372</v>
      </c>
      <c r="B1802" s="23" t="s">
        <v>9373</v>
      </c>
      <c r="C1802" s="140">
        <v>44813</v>
      </c>
      <c r="D1802" s="23" t="s">
        <v>729</v>
      </c>
      <c r="E1802" s="23" t="s">
        <v>752</v>
      </c>
      <c r="F1802" s="23" t="s">
        <v>7082</v>
      </c>
      <c r="G1802" s="23" t="s">
        <v>1724</v>
      </c>
      <c r="P1802" s="23" t="s">
        <v>9374</v>
      </c>
      <c r="Q1802" s="141" t="s">
        <v>9375</v>
      </c>
      <c r="T1802" s="23" t="s">
        <v>12031</v>
      </c>
      <c r="U1802" s="23" t="s">
        <v>12031</v>
      </c>
      <c r="V1802" s="23" t="s">
        <v>298</v>
      </c>
      <c r="W1802" s="23" t="s">
        <v>6732</v>
      </c>
      <c r="Y1802" s="38">
        <v>35800</v>
      </c>
      <c r="Z1802" s="23">
        <v>136</v>
      </c>
      <c r="AB1802" s="19" t="s">
        <v>9376</v>
      </c>
      <c r="AC1802" s="23" t="s">
        <v>9377</v>
      </c>
      <c r="AD1802" s="23">
        <v>0</v>
      </c>
      <c r="AE1802" s="23">
        <v>2</v>
      </c>
      <c r="AF1802" s="23" t="s">
        <v>6434</v>
      </c>
      <c r="AG1802" s="23" t="s">
        <v>637</v>
      </c>
      <c r="AH1802" s="39">
        <v>44819</v>
      </c>
      <c r="AJ1802" s="75" t="s">
        <v>9545</v>
      </c>
      <c r="AK1802" s="53">
        <v>44820</v>
      </c>
    </row>
    <row r="1803" spans="1:37">
      <c r="A1803" s="75" t="s">
        <v>9378</v>
      </c>
      <c r="B1803" s="23" t="s">
        <v>9379</v>
      </c>
      <c r="C1803" s="140">
        <v>44819</v>
      </c>
      <c r="D1803" s="23" t="s">
        <v>729</v>
      </c>
      <c r="E1803" s="23" t="s">
        <v>2919</v>
      </c>
      <c r="F1803" s="23" t="s">
        <v>5765</v>
      </c>
      <c r="G1803" s="23" t="s">
        <v>1724</v>
      </c>
      <c r="Q1803" s="141" t="s">
        <v>9380</v>
      </c>
      <c r="T1803" s="23" t="s">
        <v>3715</v>
      </c>
      <c r="U1803" s="23" t="s">
        <v>3715</v>
      </c>
      <c r="V1803" s="23" t="s">
        <v>298</v>
      </c>
      <c r="W1803" s="23" t="s">
        <v>9365</v>
      </c>
      <c r="Y1803" s="38">
        <v>22020</v>
      </c>
      <c r="Z1803" s="23">
        <v>66.599999999999994</v>
      </c>
      <c r="AB1803" s="23" t="s">
        <v>9381</v>
      </c>
      <c r="AC1803" s="23" t="s">
        <v>9382</v>
      </c>
      <c r="AD1803" s="23">
        <v>0</v>
      </c>
      <c r="AE1803" s="23">
        <v>1</v>
      </c>
      <c r="AF1803" s="23" t="s">
        <v>7646</v>
      </c>
      <c r="AG1803" s="23" t="s">
        <v>666</v>
      </c>
      <c r="AH1803" s="39">
        <v>44819</v>
      </c>
      <c r="AJ1803" s="75" t="s">
        <v>9546</v>
      </c>
      <c r="AK1803" s="53">
        <v>44820</v>
      </c>
    </row>
    <row r="1804" spans="1:37" ht="64">
      <c r="A1804" s="75" t="s">
        <v>9383</v>
      </c>
      <c r="B1804" s="23" t="s">
        <v>9384</v>
      </c>
      <c r="C1804" s="140">
        <v>44820</v>
      </c>
      <c r="D1804" s="23" t="s">
        <v>729</v>
      </c>
      <c r="E1804" s="23" t="s">
        <v>752</v>
      </c>
      <c r="F1804" s="23" t="s">
        <v>7668</v>
      </c>
      <c r="G1804" s="23" t="s">
        <v>1989</v>
      </c>
      <c r="H1804" s="23" t="s">
        <v>9385</v>
      </c>
      <c r="I1804" s="23" t="s">
        <v>9385</v>
      </c>
      <c r="J1804" s="140">
        <v>44818</v>
      </c>
      <c r="Q1804" s="141" t="s">
        <v>9375</v>
      </c>
      <c r="T1804" s="23" t="s">
        <v>12031</v>
      </c>
      <c r="U1804" s="23" t="s">
        <v>12031</v>
      </c>
      <c r="V1804" s="23" t="s">
        <v>299</v>
      </c>
      <c r="W1804" s="23" t="s">
        <v>9386</v>
      </c>
      <c r="AB1804" s="19" t="s">
        <v>9387</v>
      </c>
      <c r="AC1804" s="23">
        <v>8</v>
      </c>
      <c r="AD1804" s="23">
        <v>0</v>
      </c>
      <c r="AE1804" s="23">
        <v>4</v>
      </c>
      <c r="AG1804" s="23" t="s">
        <v>8958</v>
      </c>
      <c r="AH1804" s="39">
        <v>44820</v>
      </c>
      <c r="AI1804" s="53" t="s">
        <v>3857</v>
      </c>
      <c r="AJ1804" s="75" t="s">
        <v>10793</v>
      </c>
      <c r="AK1804" s="53">
        <v>44821</v>
      </c>
    </row>
    <row r="1805" spans="1:37">
      <c r="A1805" s="75" t="s">
        <v>9388</v>
      </c>
      <c r="B1805" s="23" t="s">
        <v>9389</v>
      </c>
      <c r="C1805" s="140">
        <v>44820</v>
      </c>
      <c r="D1805" s="23" t="s">
        <v>729</v>
      </c>
      <c r="E1805" s="23" t="s">
        <v>752</v>
      </c>
      <c r="F1805" s="23" t="s">
        <v>5765</v>
      </c>
      <c r="G1805" s="23" t="s">
        <v>1724</v>
      </c>
      <c r="P1805" s="23" t="s">
        <v>9390</v>
      </c>
      <c r="Q1805" s="141" t="s">
        <v>9391</v>
      </c>
      <c r="T1805" s="23" t="s">
        <v>12031</v>
      </c>
      <c r="U1805" s="23" t="s">
        <v>12031</v>
      </c>
      <c r="V1805" s="23" t="s">
        <v>298</v>
      </c>
      <c r="W1805" s="23" t="s">
        <v>6359</v>
      </c>
      <c r="Y1805" s="38">
        <v>23500</v>
      </c>
      <c r="Z1805" s="23">
        <v>68</v>
      </c>
      <c r="AB1805" s="23" t="s">
        <v>9392</v>
      </c>
      <c r="AC1805" s="23" t="s">
        <v>9393</v>
      </c>
      <c r="AD1805" s="23">
        <v>0</v>
      </c>
      <c r="AE1805" s="23">
        <v>3</v>
      </c>
      <c r="AF1805" s="23" t="s">
        <v>6434</v>
      </c>
      <c r="AG1805" s="23" t="s">
        <v>665</v>
      </c>
      <c r="AH1805" s="39">
        <v>44823</v>
      </c>
      <c r="AJ1805" s="75" t="s">
        <v>9547</v>
      </c>
      <c r="AK1805" s="53">
        <v>44824</v>
      </c>
    </row>
    <row r="1806" spans="1:37">
      <c r="A1806" s="75" t="s">
        <v>9394</v>
      </c>
      <c r="B1806" s="23" t="s">
        <v>9395</v>
      </c>
      <c r="C1806" s="140">
        <v>44820</v>
      </c>
      <c r="F1806" s="23" t="s">
        <v>5765</v>
      </c>
      <c r="G1806" s="23" t="s">
        <v>1724</v>
      </c>
      <c r="W1806" s="23" t="s">
        <v>6359</v>
      </c>
      <c r="Y1806" s="38">
        <v>23445</v>
      </c>
      <c r="Z1806" s="23">
        <v>68</v>
      </c>
      <c r="AB1806" s="23" t="s">
        <v>9396</v>
      </c>
      <c r="AC1806" s="23" t="s">
        <v>9397</v>
      </c>
      <c r="AF1806" s="23" t="s">
        <v>6434</v>
      </c>
      <c r="AG1806" s="23" t="s">
        <v>637</v>
      </c>
      <c r="AH1806" s="39">
        <v>44823</v>
      </c>
    </row>
    <row r="1807" spans="1:37">
      <c r="A1807" s="75" t="s">
        <v>9398</v>
      </c>
      <c r="B1807" s="23" t="s">
        <v>9399</v>
      </c>
      <c r="C1807" s="140">
        <v>44820</v>
      </c>
      <c r="F1807" s="23" t="s">
        <v>5765</v>
      </c>
      <c r="G1807" s="23" t="s">
        <v>1724</v>
      </c>
      <c r="W1807" s="23" t="s">
        <v>7446</v>
      </c>
      <c r="Y1807" s="38">
        <v>11425</v>
      </c>
      <c r="Z1807" s="23">
        <v>68</v>
      </c>
      <c r="AB1807" s="23" t="s">
        <v>9400</v>
      </c>
      <c r="AC1807" s="23" t="s">
        <v>9401</v>
      </c>
      <c r="AF1807" s="23" t="s">
        <v>6434</v>
      </c>
      <c r="AG1807" s="23" t="s">
        <v>666</v>
      </c>
      <c r="AH1807" s="39">
        <v>44823</v>
      </c>
    </row>
    <row r="1808" spans="1:37">
      <c r="A1808" s="75" t="s">
        <v>9405</v>
      </c>
      <c r="B1808" s="23" t="s">
        <v>9406</v>
      </c>
      <c r="C1808" s="140">
        <v>44823</v>
      </c>
      <c r="D1808" s="23" t="s">
        <v>729</v>
      </c>
      <c r="E1808" s="23" t="s">
        <v>2919</v>
      </c>
      <c r="F1808" s="23" t="s">
        <v>5765</v>
      </c>
      <c r="G1808" s="23" t="s">
        <v>1724</v>
      </c>
      <c r="Q1808" s="141" t="s">
        <v>9391</v>
      </c>
      <c r="T1808" s="23" t="s">
        <v>3715</v>
      </c>
      <c r="U1808" s="23" t="s">
        <v>3715</v>
      </c>
      <c r="V1808" s="23" t="s">
        <v>298</v>
      </c>
      <c r="W1808" s="23" t="s">
        <v>9407</v>
      </c>
      <c r="Y1808" s="38">
        <v>21500</v>
      </c>
      <c r="Z1808" s="23">
        <v>66.5</v>
      </c>
      <c r="AB1808" s="23" t="s">
        <v>9408</v>
      </c>
      <c r="AC1808" s="23" t="s">
        <v>9409</v>
      </c>
      <c r="AD1808" s="23">
        <v>0</v>
      </c>
      <c r="AE1808" s="23">
        <v>1</v>
      </c>
      <c r="AF1808" s="23" t="s">
        <v>7646</v>
      </c>
      <c r="AG1808" s="23" t="s">
        <v>666</v>
      </c>
      <c r="AH1808" s="39">
        <v>44823</v>
      </c>
      <c r="AJ1808" s="75" t="s">
        <v>9548</v>
      </c>
      <c r="AK1808" s="53">
        <v>44825</v>
      </c>
    </row>
    <row r="1809" spans="1:37" ht="160">
      <c r="A1809" s="75" t="s">
        <v>9410</v>
      </c>
      <c r="B1809" s="23" t="s">
        <v>9411</v>
      </c>
      <c r="C1809" s="140">
        <v>44816</v>
      </c>
      <c r="D1809" s="23" t="s">
        <v>729</v>
      </c>
      <c r="E1809" s="23" t="s">
        <v>752</v>
      </c>
      <c r="F1809" s="23" t="s">
        <v>2200</v>
      </c>
      <c r="G1809" s="23" t="s">
        <v>301</v>
      </c>
      <c r="H1809" s="23">
        <v>20427239</v>
      </c>
      <c r="I1809" s="23">
        <v>20427239</v>
      </c>
      <c r="J1809" s="140">
        <v>44804</v>
      </c>
      <c r="K1809" s="23" t="s">
        <v>9412</v>
      </c>
      <c r="L1809" s="140">
        <v>44820</v>
      </c>
      <c r="T1809" s="23" t="s">
        <v>305</v>
      </c>
      <c r="U1809" s="23" t="s">
        <v>305</v>
      </c>
      <c r="V1809" s="23" t="s">
        <v>299</v>
      </c>
      <c r="W1809" s="23" t="s">
        <v>8806</v>
      </c>
      <c r="Y1809" s="38">
        <v>39540</v>
      </c>
      <c r="Z1809" s="23">
        <v>414000</v>
      </c>
      <c r="AB1809" s="19" t="s">
        <v>9498</v>
      </c>
      <c r="AC1809" s="59">
        <v>30</v>
      </c>
      <c r="AD1809" s="23">
        <v>0</v>
      </c>
      <c r="AE1809" s="23">
        <v>10</v>
      </c>
      <c r="AG1809" s="23" t="s">
        <v>1553</v>
      </c>
      <c r="AH1809" s="39">
        <v>44824</v>
      </c>
      <c r="AI1809" s="53" t="s">
        <v>5851</v>
      </c>
      <c r="AJ1809" s="75" t="s">
        <v>9551</v>
      </c>
      <c r="AK1809" s="53">
        <v>44827</v>
      </c>
    </row>
    <row r="1810" spans="1:37">
      <c r="A1810" s="75" t="s">
        <v>9413</v>
      </c>
      <c r="B1810" s="23" t="s">
        <v>9414</v>
      </c>
      <c r="C1810" s="140">
        <v>44820</v>
      </c>
      <c r="D1810" s="23" t="s">
        <v>729</v>
      </c>
      <c r="E1810" s="23" t="s">
        <v>752</v>
      </c>
      <c r="F1810" s="23" t="s">
        <v>5765</v>
      </c>
      <c r="G1810" s="23" t="s">
        <v>1724</v>
      </c>
      <c r="P1810" s="23" t="s">
        <v>9415</v>
      </c>
      <c r="Q1810" s="141" t="s">
        <v>9391</v>
      </c>
      <c r="T1810" s="23" t="s">
        <v>12031</v>
      </c>
      <c r="U1810" s="23" t="s">
        <v>12031</v>
      </c>
      <c r="V1810" s="23" t="s">
        <v>298</v>
      </c>
      <c r="W1810" s="23" t="s">
        <v>6359</v>
      </c>
      <c r="Y1810" s="23">
        <v>22400</v>
      </c>
      <c r="Z1810" s="23">
        <v>68</v>
      </c>
      <c r="AB1810" s="23" t="s">
        <v>9416</v>
      </c>
      <c r="AC1810" s="23" t="s">
        <v>9417</v>
      </c>
      <c r="AD1810" s="23">
        <v>0</v>
      </c>
      <c r="AE1810" s="23">
        <v>1</v>
      </c>
      <c r="AF1810" s="23" t="s">
        <v>5478</v>
      </c>
      <c r="AG1810" s="23" t="s">
        <v>637</v>
      </c>
      <c r="AH1810" s="39">
        <v>44825</v>
      </c>
      <c r="AJ1810" s="75" t="s">
        <v>9549</v>
      </c>
      <c r="AK1810" s="53">
        <v>44826</v>
      </c>
    </row>
    <row r="1811" spans="1:37">
      <c r="A1811" s="75" t="s">
        <v>9418</v>
      </c>
      <c r="B1811" s="23" t="s">
        <v>9419</v>
      </c>
      <c r="C1811" s="140">
        <v>44824</v>
      </c>
      <c r="D1811" s="23" t="s">
        <v>729</v>
      </c>
      <c r="E1811" s="23" t="s">
        <v>752</v>
      </c>
      <c r="F1811" s="23" t="s">
        <v>5765</v>
      </c>
      <c r="G1811" s="23" t="s">
        <v>1724</v>
      </c>
      <c r="Q1811" s="141" t="s">
        <v>9391</v>
      </c>
      <c r="T1811" s="23" t="s">
        <v>3715</v>
      </c>
      <c r="U1811" s="23" t="s">
        <v>3715</v>
      </c>
      <c r="V1811" s="23" t="s">
        <v>298</v>
      </c>
      <c r="W1811" s="23" t="s">
        <v>9420</v>
      </c>
      <c r="Y1811" s="37">
        <v>21440</v>
      </c>
      <c r="Z1811" s="23">
        <v>66.400000000000006</v>
      </c>
      <c r="AB1811" s="23" t="s">
        <v>9421</v>
      </c>
      <c r="AC1811" s="23" t="s">
        <v>9422</v>
      </c>
      <c r="AD1811" s="23">
        <v>0</v>
      </c>
      <c r="AE1811" s="23">
        <v>1</v>
      </c>
      <c r="AF1811" s="23" t="s">
        <v>3260</v>
      </c>
      <c r="AG1811" s="23" t="s">
        <v>666</v>
      </c>
      <c r="AH1811" s="39">
        <v>44825</v>
      </c>
      <c r="AJ1811" s="75" t="s">
        <v>9550</v>
      </c>
      <c r="AK1811" s="53">
        <v>44826</v>
      </c>
    </row>
    <row r="1812" spans="1:37">
      <c r="A1812" s="75" t="s">
        <v>9423</v>
      </c>
      <c r="B1812" s="23" t="s">
        <v>9424</v>
      </c>
      <c r="C1812" s="140">
        <v>44803</v>
      </c>
      <c r="D1812" s="23" t="s">
        <v>729</v>
      </c>
      <c r="E1812" s="23" t="s">
        <v>752</v>
      </c>
      <c r="F1812" s="23" t="s">
        <v>2200</v>
      </c>
      <c r="G1812" s="23" t="s">
        <v>301</v>
      </c>
      <c r="H1812" s="23">
        <v>55011210</v>
      </c>
      <c r="I1812" s="23">
        <v>55011210</v>
      </c>
      <c r="J1812" s="140">
        <v>44798</v>
      </c>
      <c r="K1812" s="23" t="s">
        <v>9425</v>
      </c>
      <c r="L1812" s="140">
        <v>44806</v>
      </c>
      <c r="P1812" s="23" t="s">
        <v>9475</v>
      </c>
      <c r="Q1812" s="141" t="s">
        <v>9476</v>
      </c>
      <c r="T1812" s="23" t="s">
        <v>305</v>
      </c>
      <c r="U1812" s="23" t="s">
        <v>305</v>
      </c>
      <c r="V1812" s="23" t="s">
        <v>298</v>
      </c>
      <c r="W1812" s="23" t="s">
        <v>3141</v>
      </c>
      <c r="Y1812" s="38">
        <v>7320</v>
      </c>
      <c r="Z1812" s="23">
        <v>63.9</v>
      </c>
      <c r="AB1812" s="59" t="s">
        <v>9426</v>
      </c>
      <c r="AC1812" s="23" t="s">
        <v>8462</v>
      </c>
      <c r="AD1812" s="23">
        <v>0</v>
      </c>
      <c r="AE1812" s="23">
        <v>1</v>
      </c>
      <c r="AF1812" s="23" t="s">
        <v>5478</v>
      </c>
      <c r="AG1812" s="23" t="s">
        <v>5950</v>
      </c>
      <c r="AH1812" s="39">
        <v>44826</v>
      </c>
      <c r="AJ1812" s="75" t="s">
        <v>9555</v>
      </c>
      <c r="AK1812" s="53">
        <v>44834</v>
      </c>
    </row>
    <row r="1813" spans="1:37">
      <c r="A1813" s="75" t="s">
        <v>9427</v>
      </c>
      <c r="B1813" s="23" t="s">
        <v>9430</v>
      </c>
      <c r="C1813" s="140">
        <v>44820</v>
      </c>
      <c r="D1813" s="23" t="s">
        <v>729</v>
      </c>
      <c r="E1813" s="23" t="s">
        <v>752</v>
      </c>
      <c r="F1813" s="23" t="s">
        <v>2200</v>
      </c>
      <c r="G1813" s="23" t="s">
        <v>301</v>
      </c>
      <c r="H1813" s="23">
        <v>20428719</v>
      </c>
      <c r="I1813" s="23">
        <v>20428719</v>
      </c>
      <c r="J1813" s="140">
        <v>44810</v>
      </c>
      <c r="K1813" s="23" t="s">
        <v>9456</v>
      </c>
      <c r="L1813" s="140">
        <v>44831</v>
      </c>
      <c r="T1813" s="23" t="s">
        <v>305</v>
      </c>
      <c r="U1813" s="23" t="s">
        <v>305</v>
      </c>
      <c r="V1813" s="23" t="s">
        <v>299</v>
      </c>
      <c r="W1813" s="23" t="s">
        <v>8525</v>
      </c>
      <c r="Y1813" s="23">
        <v>4136</v>
      </c>
      <c r="Z1813" s="23">
        <v>41600</v>
      </c>
      <c r="AB1813" s="59" t="s">
        <v>9431</v>
      </c>
      <c r="AC1813" s="59">
        <v>2</v>
      </c>
      <c r="AD1813" s="23">
        <v>0</v>
      </c>
      <c r="AE1813" s="23">
        <v>1</v>
      </c>
      <c r="AG1813" s="23" t="s">
        <v>1553</v>
      </c>
      <c r="AH1813" s="39">
        <v>44831</v>
      </c>
      <c r="AI1813" s="53" t="s">
        <v>5851</v>
      </c>
      <c r="AJ1813" s="75" t="s">
        <v>9556</v>
      </c>
      <c r="AK1813" s="53">
        <v>44834</v>
      </c>
    </row>
    <row r="1814" spans="1:37" ht="48">
      <c r="A1814" s="75" t="s">
        <v>9428</v>
      </c>
      <c r="B1814" s="23" t="s">
        <v>9432</v>
      </c>
      <c r="C1814" s="140">
        <v>44820</v>
      </c>
      <c r="D1814" s="23" t="s">
        <v>729</v>
      </c>
      <c r="E1814" s="23" t="s">
        <v>752</v>
      </c>
      <c r="F1814" s="23" t="s">
        <v>2200</v>
      </c>
      <c r="G1814" s="23" t="s">
        <v>301</v>
      </c>
      <c r="H1814" s="23" t="s">
        <v>9433</v>
      </c>
      <c r="I1814" s="23" t="s">
        <v>9433</v>
      </c>
      <c r="J1814" s="140">
        <v>44810</v>
      </c>
      <c r="K1814" s="23" t="s">
        <v>9457</v>
      </c>
      <c r="L1814" s="140">
        <v>44831</v>
      </c>
      <c r="T1814" s="23" t="s">
        <v>305</v>
      </c>
      <c r="U1814" s="23" t="s">
        <v>305</v>
      </c>
      <c r="V1814" s="23" t="s">
        <v>299</v>
      </c>
      <c r="W1814" s="19" t="s">
        <v>9434</v>
      </c>
      <c r="Y1814" s="23">
        <v>12960</v>
      </c>
      <c r="Z1814" s="23">
        <v>126000</v>
      </c>
      <c r="AB1814" s="19" t="s">
        <v>9636</v>
      </c>
      <c r="AC1814" s="59">
        <v>9</v>
      </c>
      <c r="AD1814" s="23">
        <v>0</v>
      </c>
      <c r="AE1814" s="23">
        <v>3</v>
      </c>
      <c r="AG1814" s="23" t="s">
        <v>1553</v>
      </c>
      <c r="AH1814" s="39">
        <v>44831</v>
      </c>
      <c r="AI1814" s="53" t="s">
        <v>5851</v>
      </c>
      <c r="AJ1814" s="75" t="s">
        <v>9557</v>
      </c>
      <c r="AK1814" s="53">
        <v>44834</v>
      </c>
    </row>
    <row r="1815" spans="1:37" ht="96">
      <c r="A1815" s="75" t="s">
        <v>9429</v>
      </c>
      <c r="B1815" s="23" t="s">
        <v>9435</v>
      </c>
      <c r="C1815" s="140">
        <v>44820</v>
      </c>
      <c r="D1815" s="23" t="s">
        <v>729</v>
      </c>
      <c r="E1815" s="23" t="s">
        <v>752</v>
      </c>
      <c r="F1815" s="23" t="s">
        <v>2200</v>
      </c>
      <c r="G1815" s="23" t="s">
        <v>301</v>
      </c>
      <c r="H1815" s="23">
        <v>20428722</v>
      </c>
      <c r="I1815" s="23">
        <v>20428722</v>
      </c>
      <c r="J1815" s="140">
        <v>44810</v>
      </c>
      <c r="K1815" s="23" t="s">
        <v>9458</v>
      </c>
      <c r="L1815" s="140">
        <v>44831</v>
      </c>
      <c r="T1815" s="23" t="s">
        <v>305</v>
      </c>
      <c r="U1815" s="23" t="s">
        <v>305</v>
      </c>
      <c r="V1815" s="23" t="s">
        <v>299</v>
      </c>
      <c r="W1815" s="23" t="s">
        <v>9436</v>
      </c>
      <c r="Y1815" s="23">
        <v>23724</v>
      </c>
      <c r="Z1815" s="23">
        <v>248400</v>
      </c>
      <c r="AB1815" s="19" t="s">
        <v>9637</v>
      </c>
      <c r="AC1815" s="59">
        <v>18</v>
      </c>
      <c r="AD1815" s="23">
        <v>0</v>
      </c>
      <c r="AE1815" s="23">
        <v>6</v>
      </c>
      <c r="AG1815" s="23" t="s">
        <v>1553</v>
      </c>
      <c r="AH1815" s="39">
        <v>44831</v>
      </c>
      <c r="AI1815" s="53" t="s">
        <v>5851</v>
      </c>
      <c r="AJ1815" s="75" t="s">
        <v>9558</v>
      </c>
      <c r="AK1815" s="53">
        <v>44834</v>
      </c>
    </row>
    <row r="1816" spans="1:37">
      <c r="A1816" s="75" t="s">
        <v>9437</v>
      </c>
      <c r="B1816" s="23" t="s">
        <v>9438</v>
      </c>
      <c r="C1816" s="140">
        <v>44828</v>
      </c>
      <c r="D1816" s="23" t="s">
        <v>729</v>
      </c>
      <c r="E1816" s="23" t="s">
        <v>2919</v>
      </c>
      <c r="F1816" s="23" t="s">
        <v>5765</v>
      </c>
      <c r="G1816" s="23" t="s">
        <v>1724</v>
      </c>
      <c r="Q1816" s="141" t="s">
        <v>9439</v>
      </c>
      <c r="T1816" s="23" t="s">
        <v>3715</v>
      </c>
      <c r="U1816" s="23" t="s">
        <v>3715</v>
      </c>
      <c r="V1816" s="23" t="s">
        <v>298</v>
      </c>
      <c r="W1816" s="23" t="s">
        <v>9407</v>
      </c>
      <c r="Y1816" s="38">
        <v>21250</v>
      </c>
      <c r="Z1816" s="23">
        <v>66.2</v>
      </c>
      <c r="AB1816" s="23" t="s">
        <v>9440</v>
      </c>
      <c r="AC1816" s="23" t="s">
        <v>2089</v>
      </c>
      <c r="AD1816" s="23">
        <v>0</v>
      </c>
      <c r="AE1816" s="23">
        <v>3</v>
      </c>
      <c r="AF1816" s="23" t="s">
        <v>7646</v>
      </c>
      <c r="AG1816" s="23" t="s">
        <v>666</v>
      </c>
      <c r="AH1816" s="39">
        <v>44831</v>
      </c>
      <c r="AJ1816" s="75" t="s">
        <v>9552</v>
      </c>
      <c r="AK1816" s="53">
        <v>44832</v>
      </c>
    </row>
    <row r="1817" spans="1:37">
      <c r="A1817" s="75" t="s">
        <v>9441</v>
      </c>
      <c r="B1817" s="23" t="s">
        <v>9442</v>
      </c>
      <c r="C1817" s="140">
        <v>44827</v>
      </c>
      <c r="F1817" s="23" t="s">
        <v>5765</v>
      </c>
      <c r="G1817" s="23" t="s">
        <v>1724</v>
      </c>
      <c r="W1817" s="23" t="s">
        <v>9407</v>
      </c>
      <c r="Y1817" s="38">
        <v>21320</v>
      </c>
      <c r="Z1817" s="23">
        <v>66.3</v>
      </c>
      <c r="AB1817" s="23" t="s">
        <v>9443</v>
      </c>
      <c r="AC1817" s="23" t="s">
        <v>9444</v>
      </c>
      <c r="AF1817" s="23" t="s">
        <v>7646</v>
      </c>
      <c r="AG1817" s="23" t="s">
        <v>666</v>
      </c>
      <c r="AH1817" s="39">
        <v>44831</v>
      </c>
    </row>
    <row r="1818" spans="1:37">
      <c r="A1818" s="75" t="s">
        <v>9445</v>
      </c>
      <c r="B1818" s="23" t="s">
        <v>9446</v>
      </c>
      <c r="C1818" s="140">
        <v>44828</v>
      </c>
      <c r="F1818" s="23" t="s">
        <v>5765</v>
      </c>
      <c r="G1818" s="23" t="s">
        <v>1724</v>
      </c>
      <c r="W1818" s="23" t="s">
        <v>9365</v>
      </c>
      <c r="Y1818" s="38">
        <v>22170</v>
      </c>
      <c r="Z1818" s="23">
        <v>66.599999999999994</v>
      </c>
      <c r="AB1818" s="23" t="s">
        <v>9447</v>
      </c>
      <c r="AC1818" s="23" t="s">
        <v>3381</v>
      </c>
      <c r="AF1818" s="23" t="s">
        <v>7646</v>
      </c>
      <c r="AG1818" s="23" t="s">
        <v>666</v>
      </c>
      <c r="AH1818" s="39">
        <v>44831</v>
      </c>
    </row>
    <row r="1819" spans="1:37">
      <c r="A1819" s="75" t="s">
        <v>9448</v>
      </c>
      <c r="B1819" s="23" t="s">
        <v>9449</v>
      </c>
      <c r="C1819" s="140">
        <v>44827</v>
      </c>
      <c r="D1819" s="23" t="s">
        <v>729</v>
      </c>
      <c r="E1819" s="23" t="s">
        <v>752</v>
      </c>
      <c r="F1819" s="23" t="s">
        <v>5765</v>
      </c>
      <c r="G1819" s="23" t="s">
        <v>1724</v>
      </c>
      <c r="P1819" s="23" t="s">
        <v>9450</v>
      </c>
      <c r="Q1819" s="141" t="s">
        <v>9452</v>
      </c>
      <c r="T1819" s="23" t="s">
        <v>12031</v>
      </c>
      <c r="U1819" s="23" t="s">
        <v>12031</v>
      </c>
      <c r="V1819" s="23" t="s">
        <v>298</v>
      </c>
      <c r="W1819" s="23" t="s">
        <v>6359</v>
      </c>
      <c r="Y1819" s="38">
        <v>20500</v>
      </c>
      <c r="Z1819" s="23">
        <v>68</v>
      </c>
      <c r="AB1819" s="23" t="s">
        <v>9451</v>
      </c>
      <c r="AC1819" s="23" t="s">
        <v>8191</v>
      </c>
      <c r="AD1819" s="23">
        <v>0</v>
      </c>
      <c r="AE1819" s="23">
        <v>2</v>
      </c>
      <c r="AF1819" s="23" t="s">
        <v>6434</v>
      </c>
      <c r="AG1819" s="23" t="s">
        <v>665</v>
      </c>
      <c r="AH1819" s="39">
        <v>44831</v>
      </c>
      <c r="AJ1819" s="75" t="s">
        <v>9553</v>
      </c>
      <c r="AK1819" s="53">
        <v>44832</v>
      </c>
    </row>
    <row r="1820" spans="1:37" ht="16">
      <c r="A1820" s="75" t="s">
        <v>9453</v>
      </c>
      <c r="B1820" s="23" t="s">
        <v>9454</v>
      </c>
      <c r="C1820" s="140">
        <v>44828</v>
      </c>
      <c r="F1820" s="23" t="s">
        <v>5765</v>
      </c>
      <c r="G1820" s="23" t="s">
        <v>1724</v>
      </c>
      <c r="W1820" s="19" t="s">
        <v>7446</v>
      </c>
      <c r="Y1820" s="38">
        <v>11425</v>
      </c>
      <c r="Z1820" s="23">
        <v>68</v>
      </c>
      <c r="AB1820" s="23" t="s">
        <v>9455</v>
      </c>
      <c r="AC1820" s="23" t="s">
        <v>9401</v>
      </c>
      <c r="AF1820" s="23" t="s">
        <v>6434</v>
      </c>
      <c r="AG1820" s="23" t="s">
        <v>666</v>
      </c>
      <c r="AH1820" s="39">
        <v>44831</v>
      </c>
    </row>
    <row r="1821" spans="1:37">
      <c r="A1821" s="75" t="s">
        <v>9459</v>
      </c>
      <c r="B1821" s="23" t="s">
        <v>9460</v>
      </c>
      <c r="C1821" s="140">
        <v>44831</v>
      </c>
      <c r="D1821" s="23" t="s">
        <v>729</v>
      </c>
      <c r="E1821" s="23" t="s">
        <v>2919</v>
      </c>
      <c r="F1821" s="23" t="s">
        <v>5765</v>
      </c>
      <c r="G1821" s="23" t="s">
        <v>1724</v>
      </c>
      <c r="Q1821" s="141" t="s">
        <v>9461</v>
      </c>
      <c r="T1821" s="23" t="s">
        <v>3715</v>
      </c>
      <c r="U1821" s="23" t="s">
        <v>3715</v>
      </c>
      <c r="V1821" s="23" t="s">
        <v>298</v>
      </c>
      <c r="W1821" s="23" t="s">
        <v>9314</v>
      </c>
      <c r="Y1821" s="38">
        <v>22230</v>
      </c>
      <c r="Z1821" s="23">
        <v>66.5</v>
      </c>
      <c r="AB1821" s="23" t="s">
        <v>9462</v>
      </c>
      <c r="AC1821" s="23" t="s">
        <v>5160</v>
      </c>
      <c r="AD1821" s="23">
        <v>0</v>
      </c>
      <c r="AE1821" s="23">
        <v>2</v>
      </c>
      <c r="AF1821" s="23" t="s">
        <v>7646</v>
      </c>
      <c r="AG1821" s="23" t="s">
        <v>637</v>
      </c>
      <c r="AH1821" s="39">
        <v>44832</v>
      </c>
      <c r="AJ1821" s="75" t="s">
        <v>9554</v>
      </c>
      <c r="AK1821" s="53">
        <v>44833</v>
      </c>
    </row>
    <row r="1822" spans="1:37">
      <c r="A1822" s="75" t="s">
        <v>9463</v>
      </c>
      <c r="B1822" s="23" t="s">
        <v>9464</v>
      </c>
      <c r="C1822" s="140">
        <v>44831</v>
      </c>
      <c r="F1822" s="23" t="s">
        <v>5765</v>
      </c>
      <c r="G1822" s="23" t="s">
        <v>1724</v>
      </c>
      <c r="W1822" s="23" t="s">
        <v>9407</v>
      </c>
      <c r="Y1822" s="38">
        <v>21300</v>
      </c>
      <c r="Z1822" s="23">
        <v>66.3</v>
      </c>
      <c r="AB1822" s="23" t="s">
        <v>9465</v>
      </c>
      <c r="AC1822" s="23" t="s">
        <v>9409</v>
      </c>
      <c r="AF1822" s="23" t="s">
        <v>7646</v>
      </c>
      <c r="AG1822" s="23" t="s">
        <v>666</v>
      </c>
      <c r="AH1822" s="39">
        <v>44832</v>
      </c>
    </row>
    <row r="1823" spans="1:37">
      <c r="A1823" s="167" t="s">
        <v>9466</v>
      </c>
      <c r="B1823" s="23" t="s">
        <v>9467</v>
      </c>
      <c r="C1823" s="140">
        <v>44827</v>
      </c>
      <c r="D1823" s="23" t="s">
        <v>729</v>
      </c>
      <c r="E1823" s="23" t="s">
        <v>752</v>
      </c>
      <c r="F1823" s="23" t="s">
        <v>57</v>
      </c>
      <c r="G1823" s="23" t="s">
        <v>57</v>
      </c>
      <c r="H1823" s="23" t="s">
        <v>9468</v>
      </c>
      <c r="I1823" s="23" t="s">
        <v>9468</v>
      </c>
      <c r="J1823" s="140">
        <v>44823</v>
      </c>
      <c r="K1823" s="23" t="s">
        <v>9469</v>
      </c>
      <c r="L1823" s="140">
        <v>44830</v>
      </c>
      <c r="P1823" s="23" t="s">
        <v>9470</v>
      </c>
      <c r="S1823" s="23" t="s">
        <v>184</v>
      </c>
      <c r="T1823" s="23" t="s">
        <v>302</v>
      </c>
      <c r="U1823" s="23" t="s">
        <v>302</v>
      </c>
      <c r="V1823" s="23" t="s">
        <v>233</v>
      </c>
      <c r="W1823" s="23" t="s">
        <v>284</v>
      </c>
      <c r="X1823" s="37">
        <v>8793</v>
      </c>
      <c r="Y1823" s="37">
        <v>9093</v>
      </c>
      <c r="Z1823" s="23">
        <v>14894.33</v>
      </c>
      <c r="AA1823" s="23">
        <v>13615.4</v>
      </c>
      <c r="AB1823" s="23" t="s">
        <v>9471</v>
      </c>
      <c r="AC1823" s="23" t="s">
        <v>286</v>
      </c>
      <c r="AD1823" s="23">
        <v>0</v>
      </c>
      <c r="AE1823" s="23">
        <v>1</v>
      </c>
      <c r="AF1823" s="23" t="s">
        <v>5478</v>
      </c>
      <c r="AG1823" s="23" t="s">
        <v>787</v>
      </c>
      <c r="AH1823" s="39">
        <v>44833</v>
      </c>
    </row>
    <row r="1824" spans="1:37">
      <c r="A1824" s="75" t="s">
        <v>9477</v>
      </c>
      <c r="B1824" s="23" t="s">
        <v>9478</v>
      </c>
      <c r="C1824" s="140">
        <v>44832</v>
      </c>
      <c r="D1824" s="23" t="s">
        <v>729</v>
      </c>
      <c r="E1824" s="23" t="s">
        <v>2919</v>
      </c>
      <c r="F1824" s="23" t="s">
        <v>5765</v>
      </c>
      <c r="G1824" s="23" t="s">
        <v>1724</v>
      </c>
      <c r="Q1824" s="141" t="s">
        <v>9479</v>
      </c>
      <c r="T1824" s="23" t="s">
        <v>3715</v>
      </c>
      <c r="U1824" s="23" t="s">
        <v>3715</v>
      </c>
      <c r="V1824" s="23" t="s">
        <v>298</v>
      </c>
      <c r="W1824" s="23" t="s">
        <v>9314</v>
      </c>
      <c r="Y1824" s="38">
        <v>22350</v>
      </c>
      <c r="Z1824" s="23">
        <v>66.8</v>
      </c>
      <c r="AB1824" s="23" t="s">
        <v>9480</v>
      </c>
      <c r="AC1824" s="23" t="s">
        <v>5202</v>
      </c>
      <c r="AD1824" s="23">
        <v>0</v>
      </c>
      <c r="AE1824" s="23">
        <v>2</v>
      </c>
      <c r="AF1824" s="23" t="s">
        <v>7646</v>
      </c>
      <c r="AG1824" s="23" t="s">
        <v>637</v>
      </c>
      <c r="AH1824" s="39">
        <v>44834</v>
      </c>
      <c r="AJ1824" s="75" t="s">
        <v>9559</v>
      </c>
      <c r="AK1824" s="53">
        <v>44834</v>
      </c>
    </row>
    <row r="1825" spans="1:37">
      <c r="A1825" s="75" t="s">
        <v>9481</v>
      </c>
      <c r="B1825" s="23" t="s">
        <v>9482</v>
      </c>
      <c r="C1825" s="140">
        <v>44833</v>
      </c>
      <c r="F1825" s="23" t="s">
        <v>5765</v>
      </c>
      <c r="G1825" s="23" t="s">
        <v>1724</v>
      </c>
      <c r="W1825" s="23" t="s">
        <v>9407</v>
      </c>
      <c r="Y1825" s="38">
        <v>21500</v>
      </c>
      <c r="Z1825" s="23">
        <v>66.400000000000006</v>
      </c>
      <c r="AB1825" s="23" t="s">
        <v>9483</v>
      </c>
      <c r="AC1825" s="23" t="s">
        <v>2556</v>
      </c>
      <c r="AF1825" s="23" t="s">
        <v>7646</v>
      </c>
      <c r="AG1825" s="23" t="s">
        <v>666</v>
      </c>
      <c r="AH1825" s="39">
        <v>44834</v>
      </c>
    </row>
    <row r="1826" spans="1:37">
      <c r="A1826" s="75" t="s">
        <v>9484</v>
      </c>
      <c r="B1826" s="23" t="s">
        <v>9485</v>
      </c>
      <c r="C1826" s="140">
        <v>44827</v>
      </c>
      <c r="D1826" s="23" t="s">
        <v>729</v>
      </c>
      <c r="E1826" s="23" t="s">
        <v>752</v>
      </c>
      <c r="F1826" s="23" t="s">
        <v>7082</v>
      </c>
      <c r="G1826" s="23" t="s">
        <v>1724</v>
      </c>
      <c r="P1826" s="23" t="s">
        <v>9486</v>
      </c>
      <c r="Q1826" s="141" t="s">
        <v>9452</v>
      </c>
      <c r="T1826" s="23" t="s">
        <v>12031</v>
      </c>
      <c r="U1826" s="23" t="s">
        <v>12031</v>
      </c>
      <c r="V1826" s="23" t="s">
        <v>298</v>
      </c>
      <c r="W1826" s="23" t="s">
        <v>9487</v>
      </c>
      <c r="Y1826" s="23">
        <v>17080</v>
      </c>
      <c r="Z1826" s="23">
        <v>68</v>
      </c>
      <c r="AB1826" s="23" t="s">
        <v>9488</v>
      </c>
      <c r="AC1826" s="23" t="s">
        <v>4463</v>
      </c>
      <c r="AD1826" s="23">
        <v>0</v>
      </c>
      <c r="AE1826" s="23">
        <v>2</v>
      </c>
      <c r="AF1826" s="23" t="s">
        <v>3864</v>
      </c>
      <c r="AG1826" s="23" t="s">
        <v>9489</v>
      </c>
      <c r="AH1826" s="39">
        <v>44834</v>
      </c>
      <c r="AJ1826" s="75" t="s">
        <v>9560</v>
      </c>
      <c r="AK1826" s="53">
        <v>44834</v>
      </c>
    </row>
    <row r="1827" spans="1:37">
      <c r="A1827" s="75" t="s">
        <v>9490</v>
      </c>
      <c r="B1827" s="23" t="s">
        <v>9491</v>
      </c>
      <c r="C1827" s="140">
        <v>44830</v>
      </c>
      <c r="F1827" s="23" t="s">
        <v>7082</v>
      </c>
      <c r="G1827" s="23" t="s">
        <v>1724</v>
      </c>
      <c r="P1827" s="23" t="s">
        <v>9492</v>
      </c>
      <c r="Q1827" s="141" t="s">
        <v>9479</v>
      </c>
      <c r="W1827" s="23" t="s">
        <v>6732</v>
      </c>
      <c r="Y1827" s="23">
        <v>21278</v>
      </c>
      <c r="Z1827" s="23">
        <v>68</v>
      </c>
      <c r="AB1827" s="23" t="s">
        <v>9493</v>
      </c>
      <c r="AC1827" s="23" t="s">
        <v>9494</v>
      </c>
      <c r="AF1827" s="23" t="s">
        <v>5478</v>
      </c>
      <c r="AG1827" s="23" t="s">
        <v>637</v>
      </c>
      <c r="AH1827" s="39">
        <v>44834</v>
      </c>
    </row>
    <row r="1828" spans="1:37" ht="112">
      <c r="A1828" s="75" t="s">
        <v>9495</v>
      </c>
      <c r="B1828" s="23" t="s">
        <v>9496</v>
      </c>
      <c r="C1828" s="140">
        <v>44820</v>
      </c>
      <c r="D1828" s="23" t="s">
        <v>729</v>
      </c>
      <c r="E1828" s="23" t="s">
        <v>752</v>
      </c>
      <c r="F1828" s="23" t="s">
        <v>8377</v>
      </c>
      <c r="G1828" s="23" t="s">
        <v>5538</v>
      </c>
      <c r="H1828" s="23" t="s">
        <v>9787</v>
      </c>
      <c r="I1828" s="23" t="s">
        <v>9787</v>
      </c>
      <c r="J1828" s="140">
        <v>44818</v>
      </c>
      <c r="T1828" s="23" t="s">
        <v>12031</v>
      </c>
      <c r="U1828" s="23" t="s">
        <v>12031</v>
      </c>
      <c r="V1828" s="23" t="s">
        <v>299</v>
      </c>
      <c r="W1828" s="19" t="s">
        <v>9497</v>
      </c>
      <c r="AB1828" s="19" t="s">
        <v>9635</v>
      </c>
      <c r="AC1828" s="23">
        <v>14</v>
      </c>
      <c r="AD1828" s="23">
        <v>0</v>
      </c>
      <c r="AE1828" s="23">
        <v>7</v>
      </c>
      <c r="AG1828" s="23" t="s">
        <v>8386</v>
      </c>
      <c r="AH1828" s="39">
        <v>44837</v>
      </c>
      <c r="AI1828" s="53" t="s">
        <v>11181</v>
      </c>
      <c r="AJ1828" s="75" t="s">
        <v>9561</v>
      </c>
      <c r="AK1828" s="53">
        <v>44838</v>
      </c>
    </row>
    <row r="1829" spans="1:37">
      <c r="A1829" s="75" t="s">
        <v>9499</v>
      </c>
      <c r="B1829" s="23" t="s">
        <v>9500</v>
      </c>
      <c r="C1829" s="140">
        <v>44836</v>
      </c>
      <c r="D1829" s="23" t="s">
        <v>729</v>
      </c>
      <c r="E1829" s="23" t="s">
        <v>2919</v>
      </c>
      <c r="F1829" s="23" t="s">
        <v>5765</v>
      </c>
      <c r="G1829" s="23" t="s">
        <v>1724</v>
      </c>
      <c r="Q1829" s="141" t="s">
        <v>9503</v>
      </c>
      <c r="T1829" s="23" t="s">
        <v>3715</v>
      </c>
      <c r="U1829" s="23" t="s">
        <v>3715</v>
      </c>
      <c r="V1829" s="23" t="s">
        <v>298</v>
      </c>
      <c r="W1829" s="23" t="s">
        <v>9407</v>
      </c>
      <c r="Y1829" s="38">
        <v>21430</v>
      </c>
      <c r="Z1829" s="23">
        <v>66.400000000000006</v>
      </c>
      <c r="AB1829" s="23" t="s">
        <v>9501</v>
      </c>
      <c r="AC1829" s="23" t="s">
        <v>9502</v>
      </c>
      <c r="AD1829" s="23">
        <v>0</v>
      </c>
      <c r="AE1829" s="23">
        <v>1</v>
      </c>
      <c r="AF1829" s="23" t="s">
        <v>7646</v>
      </c>
      <c r="AG1829" s="23" t="s">
        <v>666</v>
      </c>
      <c r="AH1829" s="39">
        <v>44837</v>
      </c>
      <c r="AJ1829" s="75" t="s">
        <v>9562</v>
      </c>
      <c r="AK1829" s="53">
        <v>44838</v>
      </c>
    </row>
    <row r="1830" spans="1:37">
      <c r="A1830" s="104" t="s">
        <v>9504</v>
      </c>
      <c r="B1830" s="23" t="s">
        <v>9563</v>
      </c>
      <c r="C1830" s="140">
        <v>44830</v>
      </c>
      <c r="D1830" s="23" t="s">
        <v>729</v>
      </c>
      <c r="E1830" s="23" t="s">
        <v>752</v>
      </c>
      <c r="F1830" s="23" t="s">
        <v>57</v>
      </c>
      <c r="G1830" s="23" t="s">
        <v>57</v>
      </c>
      <c r="H1830" s="23" t="s">
        <v>9564</v>
      </c>
      <c r="I1830" s="23" t="s">
        <v>9564</v>
      </c>
      <c r="J1830" s="140">
        <v>44827</v>
      </c>
      <c r="K1830" s="23" t="s">
        <v>9565</v>
      </c>
      <c r="L1830" s="140">
        <v>44832</v>
      </c>
      <c r="P1830" s="23" t="s">
        <v>9566</v>
      </c>
      <c r="Q1830" s="141" t="s">
        <v>9503</v>
      </c>
      <c r="S1830" s="23" t="s">
        <v>183</v>
      </c>
      <c r="T1830" s="23" t="s">
        <v>305</v>
      </c>
      <c r="U1830" s="23" t="s">
        <v>305</v>
      </c>
      <c r="V1830" s="23" t="s">
        <v>233</v>
      </c>
      <c r="W1830" s="23" t="s">
        <v>112</v>
      </c>
      <c r="X1830" s="23">
        <v>32659.3</v>
      </c>
      <c r="Y1830" s="23">
        <v>32868.1</v>
      </c>
      <c r="Z1830" s="23">
        <v>35990.550000000003</v>
      </c>
      <c r="AA1830" s="23">
        <v>33134.550000000003</v>
      </c>
      <c r="AB1830" s="23" t="s">
        <v>9567</v>
      </c>
      <c r="AC1830" s="23" t="s">
        <v>791</v>
      </c>
      <c r="AD1830" s="23">
        <v>0</v>
      </c>
      <c r="AE1830" s="23">
        <v>2</v>
      </c>
      <c r="AF1830" s="23" t="s">
        <v>5478</v>
      </c>
      <c r="AG1830" s="23" t="s">
        <v>792</v>
      </c>
      <c r="AH1830" s="39">
        <v>44838</v>
      </c>
    </row>
    <row r="1831" spans="1:37" ht="64">
      <c r="A1831" s="75" t="s">
        <v>9568</v>
      </c>
      <c r="B1831" s="23" t="s">
        <v>9569</v>
      </c>
      <c r="C1831" s="140">
        <v>44832</v>
      </c>
      <c r="D1831" s="23" t="s">
        <v>729</v>
      </c>
      <c r="E1831" s="23" t="s">
        <v>752</v>
      </c>
      <c r="F1831" s="23" t="s">
        <v>6957</v>
      </c>
      <c r="G1831" s="23" t="s">
        <v>3469</v>
      </c>
      <c r="H1831" s="23" t="s">
        <v>9570</v>
      </c>
      <c r="I1831" s="23" t="s">
        <v>9570</v>
      </c>
      <c r="J1831" s="140">
        <v>44824</v>
      </c>
      <c r="T1831" s="23" t="s">
        <v>12031</v>
      </c>
      <c r="U1831" s="23" t="s">
        <v>12031</v>
      </c>
      <c r="V1831" s="23" t="s">
        <v>299</v>
      </c>
      <c r="W1831" s="19" t="s">
        <v>9571</v>
      </c>
      <c r="AB1831" s="23" t="s">
        <v>8561</v>
      </c>
      <c r="AC1831" s="23">
        <v>9</v>
      </c>
      <c r="AF1831" s="23" t="s">
        <v>8561</v>
      </c>
      <c r="AG1831" s="23" t="s">
        <v>5716</v>
      </c>
      <c r="AH1831" s="39">
        <v>44839</v>
      </c>
      <c r="AI1831" s="53" t="s">
        <v>5706</v>
      </c>
      <c r="AJ1831" s="75" t="s">
        <v>10144</v>
      </c>
      <c r="AK1831" s="53">
        <v>44845</v>
      </c>
    </row>
    <row r="1832" spans="1:37">
      <c r="A1832" s="75" t="s">
        <v>9572</v>
      </c>
      <c r="B1832" s="23" t="s">
        <v>9573</v>
      </c>
      <c r="C1832" s="140">
        <v>44835</v>
      </c>
      <c r="D1832" s="23" t="s">
        <v>729</v>
      </c>
      <c r="E1832" s="23" t="s">
        <v>752</v>
      </c>
      <c r="F1832" s="23" t="s">
        <v>5765</v>
      </c>
      <c r="G1832" s="23" t="s">
        <v>1724</v>
      </c>
      <c r="P1832" s="23" t="s">
        <v>9574</v>
      </c>
      <c r="Q1832" s="141" t="s">
        <v>9575</v>
      </c>
      <c r="T1832" s="23" t="s">
        <v>12031</v>
      </c>
      <c r="U1832" s="23" t="s">
        <v>12031</v>
      </c>
      <c r="V1832" s="23" t="s">
        <v>298</v>
      </c>
      <c r="W1832" s="23" t="s">
        <v>7446</v>
      </c>
      <c r="Y1832" s="38">
        <v>10300</v>
      </c>
      <c r="Z1832" s="23">
        <v>68</v>
      </c>
      <c r="AB1832" s="23" t="s">
        <v>9576</v>
      </c>
      <c r="AC1832" s="23" t="s">
        <v>9155</v>
      </c>
      <c r="AD1832" s="23">
        <v>0</v>
      </c>
      <c r="AE1832" s="23">
        <v>5</v>
      </c>
      <c r="AF1832" s="23" t="s">
        <v>6434</v>
      </c>
      <c r="AG1832" s="23" t="s">
        <v>666</v>
      </c>
      <c r="AH1832" s="39">
        <v>44840</v>
      </c>
      <c r="AJ1832" s="75" t="s">
        <v>10145</v>
      </c>
      <c r="AK1832" s="53">
        <v>44841</v>
      </c>
    </row>
    <row r="1833" spans="1:37">
      <c r="A1833" s="75" t="s">
        <v>9577</v>
      </c>
      <c r="B1833" s="23" t="s">
        <v>9578</v>
      </c>
      <c r="C1833" s="140">
        <v>44835</v>
      </c>
      <c r="F1833" s="23" t="s">
        <v>5765</v>
      </c>
      <c r="G1833" s="23" t="s">
        <v>1724</v>
      </c>
      <c r="W1833" s="23" t="s">
        <v>6359</v>
      </c>
      <c r="Y1833" s="38">
        <v>21450</v>
      </c>
      <c r="Z1833" s="23">
        <v>68</v>
      </c>
      <c r="AB1833" s="23" t="s">
        <v>9579</v>
      </c>
      <c r="AC1833" s="23" t="s">
        <v>9580</v>
      </c>
      <c r="AF1833" s="23" t="s">
        <v>6434</v>
      </c>
      <c r="AG1833" s="23" t="s">
        <v>637</v>
      </c>
      <c r="AH1833" s="39">
        <v>44840</v>
      </c>
    </row>
    <row r="1834" spans="1:37">
      <c r="A1834" s="75" t="s">
        <v>9581</v>
      </c>
      <c r="B1834" s="23" t="s">
        <v>9582</v>
      </c>
      <c r="C1834" s="140">
        <v>44834</v>
      </c>
      <c r="F1834" s="23" t="s">
        <v>5765</v>
      </c>
      <c r="G1834" s="23" t="s">
        <v>1724</v>
      </c>
      <c r="W1834" s="23" t="s">
        <v>6359</v>
      </c>
      <c r="Y1834" s="38">
        <v>21500</v>
      </c>
      <c r="Z1834" s="23">
        <v>68</v>
      </c>
      <c r="AB1834" s="23" t="s">
        <v>9583</v>
      </c>
      <c r="AC1834" s="23" t="s">
        <v>9584</v>
      </c>
      <c r="AF1834" s="23" t="s">
        <v>6434</v>
      </c>
      <c r="AG1834" s="23" t="s">
        <v>665</v>
      </c>
      <c r="AH1834" s="39">
        <v>44840</v>
      </c>
    </row>
    <row r="1835" spans="1:37">
      <c r="A1835" s="75" t="s">
        <v>9585</v>
      </c>
      <c r="B1835" s="23" t="s">
        <v>9586</v>
      </c>
      <c r="C1835" s="140">
        <v>44834</v>
      </c>
      <c r="F1835" s="23" t="s">
        <v>5765</v>
      </c>
      <c r="G1835" s="23" t="s">
        <v>1724</v>
      </c>
      <c r="W1835" s="23" t="s">
        <v>6359</v>
      </c>
      <c r="Y1835" s="38">
        <v>22600</v>
      </c>
      <c r="Z1835" s="23">
        <v>68</v>
      </c>
      <c r="AB1835" s="23" t="s">
        <v>9587</v>
      </c>
      <c r="AC1835" s="23" t="s">
        <v>9588</v>
      </c>
      <c r="AF1835" s="23" t="s">
        <v>6434</v>
      </c>
      <c r="AG1835" s="23" t="s">
        <v>637</v>
      </c>
      <c r="AH1835" s="39">
        <v>44840</v>
      </c>
    </row>
    <row r="1836" spans="1:37">
      <c r="A1836" s="75" t="s">
        <v>9589</v>
      </c>
      <c r="B1836" s="23" t="s">
        <v>9590</v>
      </c>
      <c r="C1836" s="140">
        <v>44834</v>
      </c>
      <c r="F1836" s="23" t="s">
        <v>5765</v>
      </c>
      <c r="G1836" s="23" t="s">
        <v>1724</v>
      </c>
      <c r="W1836" s="23" t="s">
        <v>6359</v>
      </c>
      <c r="Y1836" s="38">
        <v>22300</v>
      </c>
      <c r="Z1836" s="23">
        <v>68</v>
      </c>
      <c r="AB1836" s="23" t="s">
        <v>9591</v>
      </c>
      <c r="AC1836" s="23" t="s">
        <v>8191</v>
      </c>
      <c r="AF1836" s="23" t="s">
        <v>6434</v>
      </c>
      <c r="AG1836" s="23" t="s">
        <v>637</v>
      </c>
      <c r="AH1836" s="39">
        <v>44840</v>
      </c>
    </row>
    <row r="1837" spans="1:37">
      <c r="A1837" s="75" t="s">
        <v>9592</v>
      </c>
      <c r="B1837" s="23" t="s">
        <v>9593</v>
      </c>
      <c r="C1837" s="140">
        <v>44834</v>
      </c>
      <c r="D1837" s="23" t="s">
        <v>729</v>
      </c>
      <c r="E1837" s="23" t="s">
        <v>752</v>
      </c>
      <c r="F1837" s="23" t="s">
        <v>7082</v>
      </c>
      <c r="G1837" s="23" t="s">
        <v>1724</v>
      </c>
      <c r="P1837" s="23" t="s">
        <v>9594</v>
      </c>
      <c r="Q1837" s="141" t="s">
        <v>9595</v>
      </c>
      <c r="T1837" s="23" t="s">
        <v>12031</v>
      </c>
      <c r="U1837" s="23" t="s">
        <v>12031</v>
      </c>
      <c r="V1837" s="23" t="s">
        <v>298</v>
      </c>
      <c r="W1837" s="23" t="s">
        <v>6732</v>
      </c>
      <c r="Y1837" s="23">
        <v>22100</v>
      </c>
      <c r="Z1837" s="23">
        <v>68</v>
      </c>
      <c r="AB1837" s="23" t="s">
        <v>9596</v>
      </c>
      <c r="AC1837" s="23" t="s">
        <v>9597</v>
      </c>
      <c r="AD1837" s="23">
        <v>0</v>
      </c>
      <c r="AE1837" s="23">
        <v>4</v>
      </c>
      <c r="AF1837" s="23" t="s">
        <v>5478</v>
      </c>
      <c r="AG1837" s="23" t="s">
        <v>637</v>
      </c>
      <c r="AH1837" s="39">
        <v>44840</v>
      </c>
      <c r="AJ1837" s="75" t="s">
        <v>10146</v>
      </c>
      <c r="AK1837" s="53">
        <v>44841</v>
      </c>
    </row>
    <row r="1838" spans="1:37">
      <c r="A1838" s="75" t="s">
        <v>9598</v>
      </c>
      <c r="B1838" s="23" t="s">
        <v>9599</v>
      </c>
      <c r="C1838" s="140">
        <v>44834</v>
      </c>
      <c r="F1838" s="23" t="s">
        <v>5765</v>
      </c>
      <c r="G1838" s="23" t="s">
        <v>1724</v>
      </c>
      <c r="W1838" s="23" t="s">
        <v>6359</v>
      </c>
      <c r="Y1838" s="23">
        <v>20500</v>
      </c>
      <c r="Z1838" s="23">
        <v>68</v>
      </c>
      <c r="AB1838" s="23" t="s">
        <v>9600</v>
      </c>
      <c r="AC1838" s="23" t="s">
        <v>9601</v>
      </c>
      <c r="AF1838" s="23" t="s">
        <v>5478</v>
      </c>
      <c r="AG1838" s="23" t="s">
        <v>665</v>
      </c>
      <c r="AH1838" s="39">
        <v>44840</v>
      </c>
    </row>
    <row r="1839" spans="1:37">
      <c r="A1839" s="75" t="s">
        <v>9602</v>
      </c>
      <c r="B1839" s="23" t="s">
        <v>9603</v>
      </c>
      <c r="C1839" s="140">
        <v>44834</v>
      </c>
      <c r="F1839" s="23" t="s">
        <v>5765</v>
      </c>
      <c r="G1839" s="23" t="s">
        <v>1724</v>
      </c>
      <c r="W1839" s="23" t="s">
        <v>6359</v>
      </c>
      <c r="Y1839" s="23">
        <v>20700</v>
      </c>
      <c r="Z1839" s="23">
        <v>68</v>
      </c>
      <c r="AB1839" s="23" t="s">
        <v>9604</v>
      </c>
      <c r="AC1839" s="23" t="s">
        <v>9605</v>
      </c>
      <c r="AF1839" s="23" t="s">
        <v>5478</v>
      </c>
      <c r="AG1839" s="23" t="s">
        <v>665</v>
      </c>
      <c r="AH1839" s="39">
        <v>44840</v>
      </c>
    </row>
    <row r="1840" spans="1:37">
      <c r="A1840" s="75" t="s">
        <v>9606</v>
      </c>
      <c r="B1840" s="23" t="s">
        <v>9607</v>
      </c>
      <c r="C1840" s="140">
        <v>44834</v>
      </c>
      <c r="F1840" s="23" t="s">
        <v>5765</v>
      </c>
      <c r="G1840" s="23" t="s">
        <v>1724</v>
      </c>
      <c r="W1840" s="23" t="s">
        <v>6359</v>
      </c>
      <c r="Y1840" s="23">
        <v>23500</v>
      </c>
      <c r="Z1840" s="23">
        <v>68</v>
      </c>
      <c r="AB1840" s="23" t="s">
        <v>9608</v>
      </c>
      <c r="AC1840" s="23" t="s">
        <v>6497</v>
      </c>
      <c r="AF1840" s="23" t="s">
        <v>5478</v>
      </c>
      <c r="AG1840" s="23" t="s">
        <v>665</v>
      </c>
      <c r="AH1840" s="39">
        <v>44840</v>
      </c>
    </row>
    <row r="1841" spans="1:37">
      <c r="A1841" s="75" t="s">
        <v>9609</v>
      </c>
      <c r="B1841" s="23" t="s">
        <v>9620</v>
      </c>
      <c r="C1841" s="140">
        <v>44831</v>
      </c>
      <c r="D1841" s="23" t="s">
        <v>729</v>
      </c>
      <c r="E1841" s="23" t="s">
        <v>752</v>
      </c>
      <c r="F1841" s="23" t="s">
        <v>2200</v>
      </c>
      <c r="G1841" s="23" t="s">
        <v>301</v>
      </c>
      <c r="H1841" s="23">
        <v>20429899</v>
      </c>
      <c r="I1841" s="23">
        <v>20429899</v>
      </c>
      <c r="J1841" s="140">
        <v>44824</v>
      </c>
      <c r="K1841" s="23" t="s">
        <v>9630</v>
      </c>
      <c r="L1841" s="140">
        <v>44833</v>
      </c>
      <c r="T1841" s="23" t="s">
        <v>305</v>
      </c>
      <c r="U1841" s="23" t="s">
        <v>305</v>
      </c>
      <c r="V1841" s="23" t="s">
        <v>299</v>
      </c>
      <c r="W1841" s="23" t="s">
        <v>8525</v>
      </c>
      <c r="Y1841" s="23">
        <v>4136</v>
      </c>
      <c r="Z1841" s="23">
        <v>41600</v>
      </c>
      <c r="AB1841" s="59" t="s">
        <v>9621</v>
      </c>
      <c r="AC1841" s="59">
        <v>2</v>
      </c>
      <c r="AD1841" s="23">
        <v>0</v>
      </c>
      <c r="AE1841" s="23">
        <v>1</v>
      </c>
      <c r="AF1841" s="23" t="s">
        <v>9622</v>
      </c>
      <c r="AG1841" s="23" t="s">
        <v>1553</v>
      </c>
      <c r="AH1841" s="39">
        <v>44840</v>
      </c>
      <c r="AI1841" s="53" t="s">
        <v>5851</v>
      </c>
      <c r="AJ1841" s="75" t="s">
        <v>10147</v>
      </c>
      <c r="AK1841" s="53">
        <v>44842</v>
      </c>
    </row>
    <row r="1842" spans="1:37">
      <c r="A1842" s="75" t="s">
        <v>9610</v>
      </c>
      <c r="B1842" s="23" t="s">
        <v>9623</v>
      </c>
      <c r="C1842" s="140">
        <v>44831</v>
      </c>
      <c r="D1842" s="23" t="s">
        <v>729</v>
      </c>
      <c r="E1842" s="23" t="s">
        <v>752</v>
      </c>
      <c r="F1842" s="23" t="s">
        <v>2200</v>
      </c>
      <c r="G1842" s="23" t="s">
        <v>301</v>
      </c>
      <c r="H1842" s="23">
        <v>20429900</v>
      </c>
      <c r="I1842" s="23">
        <v>20429900</v>
      </c>
      <c r="J1842" s="140">
        <v>44824</v>
      </c>
      <c r="K1842" s="23" t="s">
        <v>9631</v>
      </c>
      <c r="L1842" s="140">
        <v>44833</v>
      </c>
      <c r="T1842" s="23" t="s">
        <v>305</v>
      </c>
      <c r="U1842" s="23" t="s">
        <v>305</v>
      </c>
      <c r="V1842" s="23" t="s">
        <v>299</v>
      </c>
      <c r="W1842" s="23" t="s">
        <v>8525</v>
      </c>
      <c r="Y1842" s="23">
        <v>4136</v>
      </c>
      <c r="Z1842" s="23">
        <v>41600</v>
      </c>
      <c r="AB1842" s="59" t="s">
        <v>9624</v>
      </c>
      <c r="AC1842" s="59">
        <v>2</v>
      </c>
      <c r="AD1842" s="23">
        <v>0</v>
      </c>
      <c r="AE1842" s="23">
        <v>1</v>
      </c>
      <c r="AF1842" s="23" t="s">
        <v>9622</v>
      </c>
      <c r="AG1842" s="23" t="s">
        <v>1553</v>
      </c>
      <c r="AH1842" s="39">
        <v>44840</v>
      </c>
      <c r="AI1842" s="53" t="s">
        <v>5851</v>
      </c>
      <c r="AJ1842" s="75" t="s">
        <v>10148</v>
      </c>
      <c r="AK1842" s="53">
        <v>44842</v>
      </c>
    </row>
    <row r="1843" spans="1:37" ht="32">
      <c r="A1843" s="75" t="s">
        <v>9611</v>
      </c>
      <c r="B1843" s="23" t="s">
        <v>9625</v>
      </c>
      <c r="C1843" s="140">
        <v>44831</v>
      </c>
      <c r="D1843" s="23" t="s">
        <v>729</v>
      </c>
      <c r="E1843" s="23" t="s">
        <v>752</v>
      </c>
      <c r="F1843" s="23" t="s">
        <v>2200</v>
      </c>
      <c r="G1843" s="23" t="s">
        <v>301</v>
      </c>
      <c r="H1843" s="23">
        <v>20429902</v>
      </c>
      <c r="I1843" s="23">
        <v>20429902</v>
      </c>
      <c r="J1843" s="140">
        <v>44824</v>
      </c>
      <c r="K1843" s="23" t="s">
        <v>9632</v>
      </c>
      <c r="L1843" s="140">
        <v>44833</v>
      </c>
      <c r="T1843" s="23" t="s">
        <v>305</v>
      </c>
      <c r="U1843" s="23" t="s">
        <v>305</v>
      </c>
      <c r="V1843" s="23" t="s">
        <v>299</v>
      </c>
      <c r="W1843" s="23" t="s">
        <v>9101</v>
      </c>
      <c r="Y1843" s="23">
        <v>7920</v>
      </c>
      <c r="Z1843" s="23">
        <v>73500</v>
      </c>
      <c r="AB1843" s="19" t="s">
        <v>9710</v>
      </c>
      <c r="AC1843" s="59">
        <v>6</v>
      </c>
      <c r="AD1843" s="23">
        <v>0</v>
      </c>
      <c r="AE1843" s="23">
        <v>2</v>
      </c>
      <c r="AF1843" s="23" t="s">
        <v>9622</v>
      </c>
      <c r="AG1843" s="23" t="s">
        <v>1553</v>
      </c>
      <c r="AH1843" s="39">
        <v>44840</v>
      </c>
      <c r="AI1843" s="53" t="s">
        <v>5851</v>
      </c>
      <c r="AJ1843" s="75" t="s">
        <v>10149</v>
      </c>
      <c r="AK1843" s="53">
        <v>44842</v>
      </c>
    </row>
    <row r="1844" spans="1:37" ht="48">
      <c r="A1844" s="75" t="s">
        <v>9612</v>
      </c>
      <c r="B1844" s="23" t="s">
        <v>9626</v>
      </c>
      <c r="C1844" s="140">
        <v>44831</v>
      </c>
      <c r="D1844" s="23" t="s">
        <v>729</v>
      </c>
      <c r="E1844" s="23" t="s">
        <v>752</v>
      </c>
      <c r="F1844" s="23" t="s">
        <v>2200</v>
      </c>
      <c r="G1844" s="23" t="s">
        <v>301</v>
      </c>
      <c r="H1844" s="23">
        <v>20429903</v>
      </c>
      <c r="I1844" s="23">
        <v>20429903</v>
      </c>
      <c r="J1844" s="140">
        <v>44824</v>
      </c>
      <c r="K1844" s="23" t="s">
        <v>9633</v>
      </c>
      <c r="L1844" s="140">
        <v>44833</v>
      </c>
      <c r="T1844" s="23" t="s">
        <v>305</v>
      </c>
      <c r="U1844" s="23" t="s">
        <v>305</v>
      </c>
      <c r="V1844" s="23" t="s">
        <v>299</v>
      </c>
      <c r="W1844" s="23" t="s">
        <v>9436</v>
      </c>
      <c r="Y1844" s="23">
        <v>11862</v>
      </c>
      <c r="Z1844" s="23">
        <v>124200</v>
      </c>
      <c r="AB1844" s="60" t="s">
        <v>9627</v>
      </c>
      <c r="AC1844" s="59">
        <v>9</v>
      </c>
      <c r="AD1844" s="23">
        <v>0</v>
      </c>
      <c r="AE1844" s="23">
        <v>3</v>
      </c>
      <c r="AF1844" s="23" t="s">
        <v>9622</v>
      </c>
      <c r="AG1844" s="23" t="s">
        <v>1553</v>
      </c>
      <c r="AH1844" s="39">
        <v>44840</v>
      </c>
      <c r="AI1844" s="53" t="s">
        <v>5851</v>
      </c>
      <c r="AJ1844" s="75" t="s">
        <v>10150</v>
      </c>
      <c r="AK1844" s="53">
        <v>44842</v>
      </c>
    </row>
    <row r="1845" spans="1:37" ht="48">
      <c r="A1845" s="75" t="s">
        <v>9613</v>
      </c>
      <c r="B1845" s="23" t="s">
        <v>9628</v>
      </c>
      <c r="C1845" s="140">
        <v>44831</v>
      </c>
      <c r="D1845" s="23" t="s">
        <v>729</v>
      </c>
      <c r="E1845" s="23" t="s">
        <v>752</v>
      </c>
      <c r="F1845" s="23" t="s">
        <v>2200</v>
      </c>
      <c r="G1845" s="23" t="s">
        <v>301</v>
      </c>
      <c r="H1845" s="23">
        <v>20429904</v>
      </c>
      <c r="I1845" s="23">
        <v>20429904</v>
      </c>
      <c r="J1845" s="140">
        <v>44824</v>
      </c>
      <c r="K1845" s="23" t="s">
        <v>9634</v>
      </c>
      <c r="L1845" s="140">
        <v>44842</v>
      </c>
      <c r="T1845" s="23" t="s">
        <v>305</v>
      </c>
      <c r="U1845" s="23" t="s">
        <v>305</v>
      </c>
      <c r="V1845" s="23" t="s">
        <v>299</v>
      </c>
      <c r="W1845" s="23" t="s">
        <v>9101</v>
      </c>
      <c r="Y1845" s="23">
        <v>11880</v>
      </c>
      <c r="Z1845" s="23">
        <v>110250</v>
      </c>
      <c r="AB1845" s="60" t="s">
        <v>9629</v>
      </c>
      <c r="AC1845" s="59">
        <v>9</v>
      </c>
      <c r="AD1845" s="23">
        <v>0</v>
      </c>
      <c r="AE1845" s="23">
        <v>3</v>
      </c>
      <c r="AF1845" s="23" t="s">
        <v>9622</v>
      </c>
      <c r="AG1845" s="23" t="s">
        <v>1553</v>
      </c>
      <c r="AH1845" s="39">
        <v>44840</v>
      </c>
      <c r="AI1845" s="53" t="s">
        <v>5851</v>
      </c>
      <c r="AJ1845" s="75" t="s">
        <v>10151</v>
      </c>
      <c r="AK1845" s="53">
        <v>44842</v>
      </c>
    </row>
    <row r="1846" spans="1:37">
      <c r="A1846" s="75" t="s">
        <v>9614</v>
      </c>
      <c r="B1846" s="23">
        <v>914519306</v>
      </c>
      <c r="C1846" s="140">
        <v>44808</v>
      </c>
      <c r="D1846" s="23" t="s">
        <v>729</v>
      </c>
      <c r="E1846" s="23" t="s">
        <v>752</v>
      </c>
      <c r="F1846" s="23" t="s">
        <v>4899</v>
      </c>
      <c r="G1846" s="23" t="s">
        <v>1724</v>
      </c>
      <c r="P1846" s="23" t="s">
        <v>9615</v>
      </c>
      <c r="Q1846" s="141" t="s">
        <v>9575</v>
      </c>
      <c r="T1846" s="23" t="s">
        <v>12031</v>
      </c>
      <c r="U1846" s="23" t="s">
        <v>12031</v>
      </c>
      <c r="V1846" s="23" t="s">
        <v>298</v>
      </c>
      <c r="W1846" s="23" t="s">
        <v>9619</v>
      </c>
      <c r="Y1846" s="23">
        <v>13500</v>
      </c>
      <c r="Z1846" s="23">
        <v>93.364000000000004</v>
      </c>
      <c r="AB1846" s="23" t="s">
        <v>9616</v>
      </c>
      <c r="AC1846" s="23" t="s">
        <v>131</v>
      </c>
      <c r="AD1846" s="23">
        <v>0</v>
      </c>
      <c r="AE1846" s="23">
        <v>1</v>
      </c>
      <c r="AF1846" s="23" t="s">
        <v>9617</v>
      </c>
      <c r="AG1846" s="23" t="s">
        <v>9618</v>
      </c>
      <c r="AH1846" s="39">
        <v>44840</v>
      </c>
      <c r="AJ1846" s="75" t="s">
        <v>10152</v>
      </c>
      <c r="AK1846" s="53">
        <v>44841</v>
      </c>
    </row>
    <row r="1847" spans="1:37">
      <c r="A1847" s="75" t="s">
        <v>9638</v>
      </c>
      <c r="B1847" s="23" t="s">
        <v>9639</v>
      </c>
      <c r="C1847" s="140">
        <v>44841</v>
      </c>
      <c r="D1847" s="23" t="s">
        <v>729</v>
      </c>
      <c r="E1847" s="23" t="s">
        <v>2919</v>
      </c>
      <c r="F1847" s="23" t="s">
        <v>5765</v>
      </c>
      <c r="G1847" s="23" t="s">
        <v>1724</v>
      </c>
      <c r="Q1847" s="141" t="s">
        <v>9640</v>
      </c>
      <c r="T1847" s="23" t="s">
        <v>3715</v>
      </c>
      <c r="U1847" s="23" t="s">
        <v>3715</v>
      </c>
      <c r="V1847" s="23" t="s">
        <v>298</v>
      </c>
      <c r="W1847" s="23" t="s">
        <v>9314</v>
      </c>
      <c r="Y1847" s="38">
        <v>22275</v>
      </c>
      <c r="Z1847" s="23">
        <v>66.599999999999994</v>
      </c>
      <c r="AB1847" s="23" t="s">
        <v>9641</v>
      </c>
      <c r="AC1847" s="23" t="s">
        <v>9642</v>
      </c>
      <c r="AD1847" s="23">
        <v>0</v>
      </c>
      <c r="AE1847" s="23">
        <v>2</v>
      </c>
      <c r="AF1847" s="23" t="s">
        <v>7646</v>
      </c>
      <c r="AG1847" s="23" t="s">
        <v>637</v>
      </c>
      <c r="AH1847" s="39">
        <v>44844</v>
      </c>
      <c r="AJ1847" s="75" t="s">
        <v>10153</v>
      </c>
      <c r="AK1847" s="53">
        <v>44845</v>
      </c>
    </row>
    <row r="1848" spans="1:37">
      <c r="A1848" s="75" t="s">
        <v>9643</v>
      </c>
      <c r="B1848" s="23" t="s">
        <v>9644</v>
      </c>
      <c r="C1848" s="140">
        <v>44839</v>
      </c>
      <c r="F1848" s="23" t="s">
        <v>5765</v>
      </c>
      <c r="G1848" s="23" t="s">
        <v>1724</v>
      </c>
      <c r="Q1848" s="141"/>
      <c r="W1848" s="23" t="s">
        <v>9407</v>
      </c>
      <c r="Y1848" s="38">
        <v>21300</v>
      </c>
      <c r="Z1848" s="23">
        <v>66.5</v>
      </c>
      <c r="AB1848" s="23" t="s">
        <v>9645</v>
      </c>
      <c r="AC1848" s="23" t="s">
        <v>9646</v>
      </c>
      <c r="AF1848" s="23" t="s">
        <v>7646</v>
      </c>
      <c r="AG1848" s="23" t="s">
        <v>666</v>
      </c>
      <c r="AH1848" s="39">
        <v>44844</v>
      </c>
    </row>
    <row r="1849" spans="1:37">
      <c r="A1849" s="75" t="s">
        <v>9647</v>
      </c>
      <c r="B1849" s="23" t="s">
        <v>9648</v>
      </c>
      <c r="C1849" s="140">
        <v>44842</v>
      </c>
      <c r="D1849" s="23" t="s">
        <v>729</v>
      </c>
      <c r="E1849" s="23" t="s">
        <v>2919</v>
      </c>
      <c r="F1849" s="23" t="s">
        <v>5765</v>
      </c>
      <c r="G1849" s="23" t="s">
        <v>1724</v>
      </c>
      <c r="Q1849" s="141" t="s">
        <v>9649</v>
      </c>
      <c r="T1849" s="23" t="s">
        <v>3715</v>
      </c>
      <c r="U1849" s="23" t="s">
        <v>3715</v>
      </c>
      <c r="V1849" s="23" t="s">
        <v>298</v>
      </c>
      <c r="W1849" s="23" t="s">
        <v>9407</v>
      </c>
      <c r="Y1849" s="38">
        <v>21300</v>
      </c>
      <c r="Z1849" s="23">
        <v>66.5</v>
      </c>
      <c r="AB1849" s="23" t="s">
        <v>9650</v>
      </c>
      <c r="AC1849" s="23" t="s">
        <v>9651</v>
      </c>
      <c r="AD1849" s="23">
        <v>0</v>
      </c>
      <c r="AE1849" s="23">
        <v>1</v>
      </c>
      <c r="AF1849" s="23" t="s">
        <v>7646</v>
      </c>
      <c r="AG1849" s="23" t="s">
        <v>666</v>
      </c>
      <c r="AH1849" s="39">
        <v>44844</v>
      </c>
      <c r="AJ1849" s="75" t="s">
        <v>10154</v>
      </c>
      <c r="AK1849" s="53">
        <v>44845</v>
      </c>
    </row>
    <row r="1850" spans="1:37">
      <c r="A1850" s="75" t="s">
        <v>9652</v>
      </c>
      <c r="B1850" s="23" t="s">
        <v>9653</v>
      </c>
      <c r="C1850" s="140">
        <v>44844</v>
      </c>
      <c r="D1850" s="23" t="s">
        <v>729</v>
      </c>
      <c r="E1850" s="23" t="s">
        <v>2919</v>
      </c>
      <c r="F1850" s="23" t="s">
        <v>5765</v>
      </c>
      <c r="G1850" s="23" t="s">
        <v>1724</v>
      </c>
      <c r="Q1850" s="141" t="s">
        <v>9654</v>
      </c>
      <c r="T1850" s="23" t="s">
        <v>3715</v>
      </c>
      <c r="U1850" s="23" t="s">
        <v>3715</v>
      </c>
      <c r="V1850" s="23" t="s">
        <v>298</v>
      </c>
      <c r="W1850" s="23" t="s">
        <v>9314</v>
      </c>
      <c r="Y1850" s="38">
        <v>22150</v>
      </c>
      <c r="Z1850" s="23">
        <v>66.8</v>
      </c>
      <c r="AB1850" s="23" t="s">
        <v>9655</v>
      </c>
      <c r="AC1850" s="23" t="s">
        <v>9656</v>
      </c>
      <c r="AD1850" s="23">
        <v>0</v>
      </c>
      <c r="AE1850" s="23">
        <v>1</v>
      </c>
      <c r="AF1850" s="23" t="s">
        <v>7646</v>
      </c>
      <c r="AG1850" s="23" t="s">
        <v>637</v>
      </c>
      <c r="AH1850" s="39">
        <v>44845</v>
      </c>
      <c r="AJ1850" s="75" t="s">
        <v>10155</v>
      </c>
      <c r="AK1850" s="53">
        <v>44846</v>
      </c>
    </row>
    <row r="1851" spans="1:37">
      <c r="A1851" s="75" t="s">
        <v>9657</v>
      </c>
      <c r="B1851" s="23" t="s">
        <v>9661</v>
      </c>
      <c r="C1851" s="140">
        <v>44834</v>
      </c>
      <c r="D1851" s="23" t="s">
        <v>729</v>
      </c>
      <c r="E1851" s="23" t="s">
        <v>752</v>
      </c>
      <c r="F1851" s="23" t="s">
        <v>2200</v>
      </c>
      <c r="G1851" s="23" t="s">
        <v>301</v>
      </c>
      <c r="H1851" s="23" t="s">
        <v>9662</v>
      </c>
      <c r="I1851" s="23" t="s">
        <v>9662</v>
      </c>
      <c r="J1851" s="140">
        <v>44824</v>
      </c>
      <c r="K1851" s="23" t="s">
        <v>9663</v>
      </c>
      <c r="L1851" s="140">
        <v>44842</v>
      </c>
      <c r="T1851" s="23" t="s">
        <v>305</v>
      </c>
      <c r="U1851" s="23" t="s">
        <v>305</v>
      </c>
      <c r="V1851" s="23" t="s">
        <v>299</v>
      </c>
      <c r="W1851" s="23" t="s">
        <v>9436</v>
      </c>
      <c r="Y1851" s="23">
        <v>3954</v>
      </c>
      <c r="Z1851" s="23">
        <v>41400</v>
      </c>
      <c r="AB1851" s="59" t="s">
        <v>9664</v>
      </c>
      <c r="AC1851" s="59">
        <v>3</v>
      </c>
      <c r="AD1851" s="23">
        <v>0</v>
      </c>
      <c r="AE1851" s="23">
        <v>1</v>
      </c>
      <c r="AG1851" s="23" t="s">
        <v>1553</v>
      </c>
      <c r="AH1851" s="39">
        <v>44845</v>
      </c>
      <c r="AI1851" s="53" t="s">
        <v>5851</v>
      </c>
      <c r="AJ1851" s="75" t="s">
        <v>10156</v>
      </c>
      <c r="AK1851" s="53">
        <v>44849</v>
      </c>
    </row>
    <row r="1852" spans="1:37" ht="64">
      <c r="A1852" s="75" t="s">
        <v>9658</v>
      </c>
      <c r="B1852" s="23" t="s">
        <v>9665</v>
      </c>
      <c r="C1852" s="140">
        <v>44834</v>
      </c>
      <c r="D1852" s="23" t="s">
        <v>729</v>
      </c>
      <c r="E1852" s="23" t="s">
        <v>752</v>
      </c>
      <c r="F1852" s="23" t="s">
        <v>2200</v>
      </c>
      <c r="G1852" s="23" t="s">
        <v>301</v>
      </c>
      <c r="H1852" s="23" t="s">
        <v>9666</v>
      </c>
      <c r="I1852" s="23" t="s">
        <v>9666</v>
      </c>
      <c r="J1852" s="140">
        <v>44824</v>
      </c>
      <c r="K1852" s="23" t="s">
        <v>9667</v>
      </c>
      <c r="L1852" s="140">
        <v>44842</v>
      </c>
      <c r="P1852" s="75" t="s">
        <v>9707</v>
      </c>
      <c r="Q1852" s="141" t="s">
        <v>9708</v>
      </c>
      <c r="T1852" s="23" t="s">
        <v>305</v>
      </c>
      <c r="U1852" s="23" t="s">
        <v>305</v>
      </c>
      <c r="V1852" s="23" t="s">
        <v>299</v>
      </c>
      <c r="W1852" s="19" t="s">
        <v>9668</v>
      </c>
      <c r="Y1852" s="23">
        <v>11874</v>
      </c>
      <c r="Z1852" s="23">
        <v>114900</v>
      </c>
      <c r="AB1852" s="19" t="s">
        <v>9790</v>
      </c>
      <c r="AC1852" s="59">
        <v>9</v>
      </c>
      <c r="AD1852" s="23">
        <v>0</v>
      </c>
      <c r="AE1852" s="23">
        <v>4</v>
      </c>
      <c r="AG1852" s="23" t="s">
        <v>1553</v>
      </c>
      <c r="AH1852" s="39">
        <v>44845</v>
      </c>
      <c r="AI1852" s="53" t="s">
        <v>5851</v>
      </c>
      <c r="AJ1852" s="75" t="s">
        <v>10157</v>
      </c>
      <c r="AK1852" s="53">
        <v>44849</v>
      </c>
    </row>
    <row r="1853" spans="1:37" ht="48">
      <c r="A1853" s="75" t="s">
        <v>9659</v>
      </c>
      <c r="B1853" s="23" t="s">
        <v>9669</v>
      </c>
      <c r="C1853" s="140">
        <v>44834</v>
      </c>
      <c r="D1853" s="23" t="s">
        <v>729</v>
      </c>
      <c r="E1853" s="23" t="s">
        <v>752</v>
      </c>
      <c r="F1853" s="23" t="s">
        <v>2200</v>
      </c>
      <c r="G1853" s="23" t="s">
        <v>301</v>
      </c>
      <c r="H1853" s="23" t="s">
        <v>9670</v>
      </c>
      <c r="I1853" s="23" t="s">
        <v>9670</v>
      </c>
      <c r="J1853" s="140">
        <v>44824</v>
      </c>
      <c r="K1853" s="23" t="s">
        <v>9671</v>
      </c>
      <c r="L1853" s="140">
        <v>44842</v>
      </c>
      <c r="P1853" s="75" t="s">
        <v>9707</v>
      </c>
      <c r="Q1853" s="141" t="s">
        <v>9708</v>
      </c>
      <c r="T1853" s="23" t="s">
        <v>305</v>
      </c>
      <c r="U1853" s="23" t="s">
        <v>305</v>
      </c>
      <c r="V1853" s="23" t="s">
        <v>299</v>
      </c>
      <c r="W1853" s="19" t="s">
        <v>9672</v>
      </c>
      <c r="Y1853" s="23">
        <v>11862</v>
      </c>
      <c r="Z1853" s="23">
        <v>124200</v>
      </c>
      <c r="AB1853" s="19" t="s">
        <v>9789</v>
      </c>
      <c r="AC1853" s="59">
        <v>9</v>
      </c>
      <c r="AD1853" s="23">
        <v>0</v>
      </c>
      <c r="AE1853" s="23">
        <v>3</v>
      </c>
      <c r="AG1853" s="23" t="s">
        <v>1553</v>
      </c>
      <c r="AH1853" s="39">
        <v>44845</v>
      </c>
      <c r="AI1853" s="53" t="s">
        <v>5851</v>
      </c>
      <c r="AJ1853" s="75" t="s">
        <v>10158</v>
      </c>
      <c r="AK1853" s="53">
        <v>44849</v>
      </c>
    </row>
    <row r="1854" spans="1:37" ht="64">
      <c r="A1854" s="75" t="s">
        <v>9660</v>
      </c>
      <c r="B1854" s="23" t="s">
        <v>9673</v>
      </c>
      <c r="C1854" s="140">
        <v>44834</v>
      </c>
      <c r="D1854" s="23" t="s">
        <v>729</v>
      </c>
      <c r="E1854" s="23" t="s">
        <v>752</v>
      </c>
      <c r="F1854" s="23" t="s">
        <v>2200</v>
      </c>
      <c r="G1854" s="23" t="s">
        <v>301</v>
      </c>
      <c r="H1854" s="23" t="s">
        <v>9674</v>
      </c>
      <c r="I1854" s="23" t="s">
        <v>9674</v>
      </c>
      <c r="J1854" s="140">
        <v>44824</v>
      </c>
      <c r="K1854" s="23" t="s">
        <v>9675</v>
      </c>
      <c r="L1854" s="140">
        <v>44842</v>
      </c>
      <c r="P1854" s="75" t="s">
        <v>9707</v>
      </c>
      <c r="Q1854" s="141" t="s">
        <v>9708</v>
      </c>
      <c r="T1854" s="23" t="s">
        <v>305</v>
      </c>
      <c r="U1854" s="23" t="s">
        <v>305</v>
      </c>
      <c r="V1854" s="23" t="s">
        <v>299</v>
      </c>
      <c r="W1854" s="19" t="s">
        <v>9672</v>
      </c>
      <c r="Y1854" s="23">
        <v>11862</v>
      </c>
      <c r="Z1854" s="23">
        <v>124200</v>
      </c>
      <c r="AB1854" s="19" t="s">
        <v>9788</v>
      </c>
      <c r="AC1854" s="59">
        <v>9</v>
      </c>
      <c r="AD1854" s="23">
        <v>0</v>
      </c>
      <c r="AE1854" s="23">
        <v>2</v>
      </c>
      <c r="AG1854" s="23" t="s">
        <v>1553</v>
      </c>
      <c r="AH1854" s="39">
        <v>44845</v>
      </c>
      <c r="AI1854" s="53" t="s">
        <v>5851</v>
      </c>
      <c r="AJ1854" s="75" t="s">
        <v>10157</v>
      </c>
      <c r="AK1854" s="53">
        <v>44849</v>
      </c>
    </row>
    <row r="1855" spans="1:37" ht="48">
      <c r="A1855" s="75" t="s">
        <v>9676</v>
      </c>
      <c r="B1855" s="23" t="s">
        <v>9678</v>
      </c>
      <c r="C1855" s="140">
        <v>44837</v>
      </c>
      <c r="D1855" s="23" t="s">
        <v>729</v>
      </c>
      <c r="E1855" s="23" t="s">
        <v>752</v>
      </c>
      <c r="F1855" s="23" t="s">
        <v>2200</v>
      </c>
      <c r="G1855" s="23" t="s">
        <v>301</v>
      </c>
      <c r="H1855" s="23" t="s">
        <v>9679</v>
      </c>
      <c r="I1855" s="23" t="s">
        <v>9679</v>
      </c>
      <c r="J1855" s="140">
        <v>44835</v>
      </c>
      <c r="K1855" s="23" t="s">
        <v>9686</v>
      </c>
      <c r="L1855" s="140">
        <v>44843</v>
      </c>
      <c r="P1855" s="75" t="s">
        <v>9709</v>
      </c>
      <c r="Q1855" s="141" t="s">
        <v>9708</v>
      </c>
      <c r="T1855" s="23" t="s">
        <v>305</v>
      </c>
      <c r="U1855" s="23" t="s">
        <v>305</v>
      </c>
      <c r="V1855" s="23" t="s">
        <v>299</v>
      </c>
      <c r="W1855" s="19" t="s">
        <v>9680</v>
      </c>
      <c r="Y1855" s="23">
        <v>13254</v>
      </c>
      <c r="Z1855" s="23">
        <v>132900</v>
      </c>
      <c r="AB1855" s="19" t="s">
        <v>9681</v>
      </c>
      <c r="AC1855" s="59">
        <v>9</v>
      </c>
      <c r="AD1855" s="23">
        <v>0</v>
      </c>
      <c r="AE1855" s="23">
        <v>3</v>
      </c>
      <c r="AG1855" s="23" t="s">
        <v>1553</v>
      </c>
      <c r="AH1855" s="39">
        <v>44845</v>
      </c>
      <c r="AI1855" s="53" t="s">
        <v>5851</v>
      </c>
      <c r="AJ1855" s="75" t="s">
        <v>10159</v>
      </c>
      <c r="AK1855" s="53">
        <v>44849</v>
      </c>
    </row>
    <row r="1856" spans="1:37" ht="112">
      <c r="A1856" s="75" t="s">
        <v>9677</v>
      </c>
      <c r="B1856" s="23" t="s">
        <v>9682</v>
      </c>
      <c r="C1856" s="140">
        <v>44837</v>
      </c>
      <c r="D1856" s="23" t="s">
        <v>729</v>
      </c>
      <c r="E1856" s="23" t="s">
        <v>752</v>
      </c>
      <c r="F1856" s="23" t="s">
        <v>2200</v>
      </c>
      <c r="G1856" s="23" t="s">
        <v>301</v>
      </c>
      <c r="H1856" s="23">
        <v>20432920</v>
      </c>
      <c r="I1856" s="23">
        <v>20432920</v>
      </c>
      <c r="J1856" s="140">
        <v>44835</v>
      </c>
      <c r="K1856" s="23" t="s">
        <v>9687</v>
      </c>
      <c r="L1856" s="140">
        <v>44844</v>
      </c>
      <c r="P1856" s="75" t="s">
        <v>9709</v>
      </c>
      <c r="Q1856" s="141" t="s">
        <v>9708</v>
      </c>
      <c r="T1856" s="23" t="s">
        <v>305</v>
      </c>
      <c r="U1856" s="23" t="s">
        <v>305</v>
      </c>
      <c r="V1856" s="23" t="s">
        <v>299</v>
      </c>
      <c r="W1856" s="19" t="s">
        <v>9683</v>
      </c>
      <c r="Y1856" s="23">
        <v>32550</v>
      </c>
      <c r="Z1856" s="23">
        <v>320250</v>
      </c>
      <c r="AB1856" s="19" t="s">
        <v>9684</v>
      </c>
      <c r="AC1856" s="59">
        <v>21</v>
      </c>
      <c r="AD1856" s="23">
        <v>0</v>
      </c>
      <c r="AE1856" s="23">
        <v>7</v>
      </c>
      <c r="AG1856" s="23" t="s">
        <v>1553</v>
      </c>
      <c r="AH1856" s="39">
        <v>44845</v>
      </c>
      <c r="AI1856" s="53" t="s">
        <v>5851</v>
      </c>
      <c r="AJ1856" s="75" t="s">
        <v>10160</v>
      </c>
      <c r="AK1856" s="53">
        <v>44849</v>
      </c>
    </row>
    <row r="1857" spans="1:37">
      <c r="A1857" s="104" t="s">
        <v>9685</v>
      </c>
      <c r="B1857" s="23" t="s">
        <v>9688</v>
      </c>
      <c r="C1857" s="140">
        <v>44842</v>
      </c>
      <c r="D1857" s="23" t="s">
        <v>729</v>
      </c>
      <c r="E1857" s="23" t="s">
        <v>752</v>
      </c>
      <c r="F1857" s="23" t="s">
        <v>57</v>
      </c>
      <c r="G1857" s="23" t="s">
        <v>57</v>
      </c>
      <c r="H1857" s="23" t="s">
        <v>9689</v>
      </c>
      <c r="I1857" s="23" t="s">
        <v>9689</v>
      </c>
      <c r="J1857" s="140">
        <v>44837</v>
      </c>
      <c r="Q1857" s="141" t="s">
        <v>9640</v>
      </c>
      <c r="S1857" s="23" t="s">
        <v>184</v>
      </c>
      <c r="T1857" s="23" t="s">
        <v>302</v>
      </c>
      <c r="U1857" s="23" t="s">
        <v>302</v>
      </c>
      <c r="V1857" s="23" t="s">
        <v>233</v>
      </c>
      <c r="W1857" s="23" t="s">
        <v>9690</v>
      </c>
      <c r="X1857" s="23">
        <v>6706.14</v>
      </c>
      <c r="Y1857" s="23">
        <v>6866.3</v>
      </c>
      <c r="Z1857" s="23">
        <v>11861.41</v>
      </c>
      <c r="AA1857" s="23">
        <v>10573.09</v>
      </c>
      <c r="AB1857" s="23" t="s">
        <v>9691</v>
      </c>
      <c r="AC1857" s="23" t="s">
        <v>9692</v>
      </c>
      <c r="AD1857" s="23">
        <v>0</v>
      </c>
      <c r="AE1857" s="23">
        <v>1</v>
      </c>
      <c r="AF1857" s="23" t="s">
        <v>5478</v>
      </c>
      <c r="AG1857" s="23" t="s">
        <v>787</v>
      </c>
      <c r="AH1857" s="39">
        <v>44846</v>
      </c>
    </row>
    <row r="1858" spans="1:37">
      <c r="A1858" s="75" t="s">
        <v>9693</v>
      </c>
      <c r="B1858" s="23" t="s">
        <v>9694</v>
      </c>
      <c r="C1858" s="140">
        <v>44845</v>
      </c>
      <c r="D1858" s="23" t="s">
        <v>729</v>
      </c>
      <c r="E1858" s="23" t="s">
        <v>2919</v>
      </c>
      <c r="F1858" s="23" t="s">
        <v>5765</v>
      </c>
      <c r="G1858" s="23" t="s">
        <v>1724</v>
      </c>
      <c r="Q1858" s="141" t="s">
        <v>9697</v>
      </c>
      <c r="T1858" s="23" t="s">
        <v>3715</v>
      </c>
      <c r="U1858" s="23" t="s">
        <v>3715</v>
      </c>
      <c r="V1858" s="23" t="s">
        <v>298</v>
      </c>
      <c r="W1858" s="23" t="s">
        <v>9407</v>
      </c>
      <c r="Y1858" s="37">
        <v>21260</v>
      </c>
      <c r="Z1858" s="23">
        <v>66.400000000000006</v>
      </c>
      <c r="AB1858" s="23" t="s">
        <v>9695</v>
      </c>
      <c r="AC1858" s="23" t="s">
        <v>9696</v>
      </c>
      <c r="AD1858" s="23">
        <v>0</v>
      </c>
      <c r="AE1858" s="23">
        <v>1</v>
      </c>
      <c r="AF1858" s="23" t="s">
        <v>7646</v>
      </c>
      <c r="AG1858" s="23" t="s">
        <v>666</v>
      </c>
      <c r="AH1858" s="39">
        <v>44846</v>
      </c>
      <c r="AJ1858" s="75" t="s">
        <v>10161</v>
      </c>
      <c r="AK1858" s="53">
        <v>44847</v>
      </c>
    </row>
    <row r="1859" spans="1:37">
      <c r="A1859" s="75" t="s">
        <v>9698</v>
      </c>
      <c r="B1859" s="23" t="s">
        <v>9699</v>
      </c>
      <c r="C1859" s="140">
        <v>44846</v>
      </c>
      <c r="D1859" s="23" t="s">
        <v>729</v>
      </c>
      <c r="E1859" s="23" t="s">
        <v>2919</v>
      </c>
      <c r="F1859" s="23" t="s">
        <v>5765</v>
      </c>
      <c r="G1859" s="23" t="s">
        <v>1724</v>
      </c>
      <c r="Q1859" s="141" t="s">
        <v>9700</v>
      </c>
      <c r="T1859" s="23" t="s">
        <v>3715</v>
      </c>
      <c r="U1859" s="23" t="s">
        <v>3715</v>
      </c>
      <c r="V1859" s="23" t="s">
        <v>298</v>
      </c>
      <c r="W1859" s="23" t="s">
        <v>9314</v>
      </c>
      <c r="Y1859" s="38">
        <v>22690</v>
      </c>
      <c r="Z1859" s="23">
        <v>66.8</v>
      </c>
      <c r="AB1859" s="23" t="s">
        <v>9701</v>
      </c>
      <c r="AC1859" s="23" t="s">
        <v>9702</v>
      </c>
      <c r="AD1859" s="23">
        <v>0</v>
      </c>
      <c r="AE1859" s="23">
        <v>2</v>
      </c>
      <c r="AF1859" s="23" t="s">
        <v>7646</v>
      </c>
      <c r="AG1859" s="23" t="s">
        <v>637</v>
      </c>
      <c r="AH1859" s="39">
        <v>44847</v>
      </c>
      <c r="AJ1859" s="75" t="s">
        <v>10162</v>
      </c>
      <c r="AK1859" s="53">
        <v>44848</v>
      </c>
    </row>
    <row r="1860" spans="1:37">
      <c r="A1860" s="75" t="s">
        <v>9703</v>
      </c>
      <c r="B1860" s="23" t="s">
        <v>9704</v>
      </c>
      <c r="C1860" s="140">
        <v>44846</v>
      </c>
      <c r="D1860" s="23" t="s">
        <v>729</v>
      </c>
      <c r="E1860" s="23" t="s">
        <v>2919</v>
      </c>
      <c r="F1860" s="23" t="s">
        <v>5765</v>
      </c>
      <c r="G1860" s="23" t="s">
        <v>1724</v>
      </c>
      <c r="W1860" s="23" t="s">
        <v>9407</v>
      </c>
      <c r="Y1860" s="38">
        <v>22010</v>
      </c>
      <c r="Z1860" s="23">
        <v>66.599999999999994</v>
      </c>
      <c r="AB1860" s="23" t="s">
        <v>9705</v>
      </c>
      <c r="AC1860" s="23" t="s">
        <v>9706</v>
      </c>
      <c r="AF1860" s="23" t="s">
        <v>7646</v>
      </c>
      <c r="AG1860" s="23" t="s">
        <v>666</v>
      </c>
      <c r="AH1860" s="39">
        <v>44847</v>
      </c>
    </row>
    <row r="1861" spans="1:37">
      <c r="A1861" s="75" t="s">
        <v>9711</v>
      </c>
      <c r="B1861" s="23" t="s">
        <v>9712</v>
      </c>
      <c r="C1861" s="140">
        <v>44848</v>
      </c>
      <c r="D1861" s="23" t="s">
        <v>729</v>
      </c>
      <c r="E1861" s="23" t="s">
        <v>2919</v>
      </c>
      <c r="F1861" s="23" t="s">
        <v>5765</v>
      </c>
      <c r="G1861" s="23" t="s">
        <v>1724</v>
      </c>
      <c r="Q1861" s="141" t="s">
        <v>9708</v>
      </c>
      <c r="T1861" s="23" t="s">
        <v>3715</v>
      </c>
      <c r="U1861" s="23" t="s">
        <v>3715</v>
      </c>
      <c r="V1861" s="23" t="s">
        <v>298</v>
      </c>
      <c r="W1861" s="23" t="s">
        <v>9314</v>
      </c>
      <c r="Y1861" s="38">
        <v>21950</v>
      </c>
      <c r="Z1861" s="23">
        <v>66.2</v>
      </c>
      <c r="AB1861" s="23" t="s">
        <v>9713</v>
      </c>
      <c r="AC1861" s="23" t="s">
        <v>9714</v>
      </c>
      <c r="AD1861" s="23">
        <v>0</v>
      </c>
      <c r="AE1861" s="23">
        <v>4</v>
      </c>
      <c r="AF1861" s="23" t="s">
        <v>7646</v>
      </c>
      <c r="AG1861" s="23" t="s">
        <v>637</v>
      </c>
      <c r="AH1861" s="39">
        <v>44851</v>
      </c>
      <c r="AJ1861" s="75" t="s">
        <v>10163</v>
      </c>
      <c r="AK1861" s="53">
        <v>44852</v>
      </c>
    </row>
    <row r="1862" spans="1:37">
      <c r="A1862" s="75" t="s">
        <v>9715</v>
      </c>
      <c r="B1862" s="23" t="s">
        <v>9716</v>
      </c>
      <c r="C1862" s="140">
        <v>44849</v>
      </c>
      <c r="F1862" s="23" t="s">
        <v>5765</v>
      </c>
      <c r="G1862" s="23" t="s">
        <v>1724</v>
      </c>
      <c r="W1862" s="23" t="s">
        <v>9407</v>
      </c>
      <c r="Y1862" s="38">
        <v>21275</v>
      </c>
      <c r="Z1862" s="23">
        <v>66.599999999999994</v>
      </c>
      <c r="AB1862" s="23" t="s">
        <v>9717</v>
      </c>
      <c r="AC1862" s="23" t="s">
        <v>2089</v>
      </c>
      <c r="AF1862" s="23" t="s">
        <v>7646</v>
      </c>
      <c r="AG1862" s="23" t="s">
        <v>666</v>
      </c>
      <c r="AH1862" s="39">
        <v>44851</v>
      </c>
    </row>
    <row r="1863" spans="1:37">
      <c r="A1863" s="75" t="s">
        <v>9718</v>
      </c>
      <c r="B1863" s="23" t="s">
        <v>9719</v>
      </c>
      <c r="C1863" s="140">
        <v>44849</v>
      </c>
      <c r="F1863" s="23" t="s">
        <v>5765</v>
      </c>
      <c r="G1863" s="23" t="s">
        <v>1724</v>
      </c>
      <c r="W1863" s="23" t="s">
        <v>9407</v>
      </c>
      <c r="Y1863" s="38">
        <v>21175</v>
      </c>
      <c r="Z1863" s="23">
        <v>66.599999999999994</v>
      </c>
      <c r="AB1863" s="23" t="s">
        <v>9720</v>
      </c>
      <c r="AC1863" s="23" t="s">
        <v>2089</v>
      </c>
      <c r="AF1863" s="23" t="s">
        <v>7646</v>
      </c>
      <c r="AG1863" s="23" t="s">
        <v>666</v>
      </c>
      <c r="AH1863" s="39">
        <v>44851</v>
      </c>
    </row>
    <row r="1864" spans="1:37">
      <c r="A1864" s="75" t="s">
        <v>9721</v>
      </c>
      <c r="B1864" s="23" t="s">
        <v>9722</v>
      </c>
      <c r="C1864" s="140">
        <v>44850</v>
      </c>
      <c r="F1864" s="23" t="s">
        <v>5765</v>
      </c>
      <c r="G1864" s="23" t="s">
        <v>1724</v>
      </c>
      <c r="W1864" s="23" t="s">
        <v>9407</v>
      </c>
      <c r="Y1864" s="38">
        <v>21220</v>
      </c>
      <c r="Z1864" s="23">
        <v>66.5</v>
      </c>
      <c r="AB1864" s="23" t="s">
        <v>9723</v>
      </c>
      <c r="AC1864" s="23" t="s">
        <v>9724</v>
      </c>
      <c r="AF1864" s="23" t="s">
        <v>7646</v>
      </c>
      <c r="AG1864" s="23" t="s">
        <v>666</v>
      </c>
      <c r="AH1864" s="39">
        <v>44851</v>
      </c>
    </row>
    <row r="1865" spans="1:37">
      <c r="A1865" s="75" t="s">
        <v>9725</v>
      </c>
      <c r="B1865" s="23">
        <v>221753337</v>
      </c>
      <c r="C1865" s="140">
        <v>44835</v>
      </c>
      <c r="D1865" s="23" t="s">
        <v>729</v>
      </c>
      <c r="E1865" s="23" t="s">
        <v>752</v>
      </c>
      <c r="F1865" s="23" t="s">
        <v>5765</v>
      </c>
      <c r="G1865" s="23" t="s">
        <v>1724</v>
      </c>
      <c r="P1865" s="23" t="s">
        <v>9726</v>
      </c>
      <c r="Q1865" s="141" t="s">
        <v>9727</v>
      </c>
      <c r="T1865" s="23" t="s">
        <v>12031</v>
      </c>
      <c r="U1865" s="23" t="s">
        <v>12031</v>
      </c>
      <c r="V1865" s="23" t="s">
        <v>298</v>
      </c>
      <c r="W1865" s="23" t="s">
        <v>7158</v>
      </c>
      <c r="Y1865" s="23">
        <v>12200</v>
      </c>
      <c r="Z1865" s="23">
        <v>40</v>
      </c>
      <c r="AB1865" s="23" t="s">
        <v>9728</v>
      </c>
      <c r="AC1865" s="23" t="s">
        <v>9729</v>
      </c>
      <c r="AD1865" s="23">
        <v>0</v>
      </c>
      <c r="AE1865" s="23">
        <v>1</v>
      </c>
      <c r="AF1865" s="23" t="s">
        <v>9730</v>
      </c>
      <c r="AG1865" s="23" t="s">
        <v>9731</v>
      </c>
      <c r="AH1865" s="39">
        <v>44851</v>
      </c>
      <c r="AJ1865" s="75" t="s">
        <v>10164</v>
      </c>
      <c r="AK1865" s="53">
        <v>44852</v>
      </c>
    </row>
    <row r="1866" spans="1:37">
      <c r="A1866" s="104" t="s">
        <v>9732</v>
      </c>
      <c r="B1866" s="23" t="s">
        <v>9733</v>
      </c>
      <c r="C1866" s="140">
        <v>44844</v>
      </c>
      <c r="D1866" s="23" t="s">
        <v>729</v>
      </c>
      <c r="E1866" s="23" t="s">
        <v>752</v>
      </c>
      <c r="F1866" s="23" t="s">
        <v>57</v>
      </c>
      <c r="G1866" s="23" t="s">
        <v>57</v>
      </c>
      <c r="H1866" s="23" t="s">
        <v>9734</v>
      </c>
      <c r="I1866" s="23" t="s">
        <v>9734</v>
      </c>
      <c r="J1866" s="140">
        <v>44841</v>
      </c>
      <c r="K1866" s="23" t="s">
        <v>9735</v>
      </c>
      <c r="L1866" s="140">
        <v>44845</v>
      </c>
      <c r="P1866" s="23" t="s">
        <v>9743</v>
      </c>
      <c r="Q1866" s="141" t="s">
        <v>9811</v>
      </c>
      <c r="S1866" s="23" t="s">
        <v>183</v>
      </c>
      <c r="T1866" s="23" t="s">
        <v>305</v>
      </c>
      <c r="U1866" s="23" t="s">
        <v>305</v>
      </c>
      <c r="V1866" s="23" t="s">
        <v>233</v>
      </c>
      <c r="W1866" s="23" t="s">
        <v>112</v>
      </c>
      <c r="X1866" s="23">
        <v>31779.4</v>
      </c>
      <c r="Y1866" s="37">
        <v>31988.2</v>
      </c>
      <c r="Z1866" s="23">
        <v>35020.9</v>
      </c>
      <c r="AA1866" s="23">
        <v>32224.9</v>
      </c>
      <c r="AB1866" s="59" t="s">
        <v>9736</v>
      </c>
      <c r="AC1866" s="23" t="s">
        <v>791</v>
      </c>
      <c r="AD1866" s="23">
        <v>0</v>
      </c>
      <c r="AE1866" s="23">
        <v>2</v>
      </c>
      <c r="AF1866" s="23" t="s">
        <v>5478</v>
      </c>
      <c r="AG1866" s="23" t="s">
        <v>792</v>
      </c>
      <c r="AH1866" s="39">
        <v>44851</v>
      </c>
    </row>
    <row r="1867" spans="1:37">
      <c r="A1867" s="75" t="s">
        <v>9737</v>
      </c>
      <c r="B1867" s="23" t="s">
        <v>9738</v>
      </c>
      <c r="C1867" s="140">
        <v>44852</v>
      </c>
      <c r="D1867" s="23" t="s">
        <v>729</v>
      </c>
      <c r="E1867" s="23" t="s">
        <v>2919</v>
      </c>
      <c r="F1867" s="23" t="s">
        <v>5765</v>
      </c>
      <c r="G1867" s="23" t="s">
        <v>1724</v>
      </c>
      <c r="Q1867" s="141" t="s">
        <v>9739</v>
      </c>
      <c r="T1867" s="23" t="s">
        <v>3715</v>
      </c>
      <c r="U1867" s="23" t="s">
        <v>3715</v>
      </c>
      <c r="V1867" s="23" t="s">
        <v>298</v>
      </c>
      <c r="W1867" s="23" t="s">
        <v>9740</v>
      </c>
      <c r="Y1867" s="38">
        <v>21520</v>
      </c>
      <c r="Z1867" s="23">
        <v>66.8</v>
      </c>
      <c r="AB1867" s="23" t="s">
        <v>9741</v>
      </c>
      <c r="AC1867" s="23" t="s">
        <v>9742</v>
      </c>
      <c r="AD1867" s="23">
        <v>0</v>
      </c>
      <c r="AE1867" s="23">
        <v>1</v>
      </c>
      <c r="AF1867" s="23" t="s">
        <v>7646</v>
      </c>
      <c r="AG1867" s="23" t="s">
        <v>666</v>
      </c>
      <c r="AH1867" s="39">
        <v>44852</v>
      </c>
      <c r="AJ1867" s="75" t="s">
        <v>10165</v>
      </c>
      <c r="AK1867" s="53">
        <v>44853</v>
      </c>
    </row>
    <row r="1868" spans="1:37" ht="64">
      <c r="A1868" s="75" t="s">
        <v>9744</v>
      </c>
      <c r="B1868" s="23" t="s">
        <v>9745</v>
      </c>
      <c r="C1868" s="140">
        <v>44848</v>
      </c>
      <c r="D1868" s="23" t="s">
        <v>729</v>
      </c>
      <c r="E1868" s="23" t="s">
        <v>752</v>
      </c>
      <c r="F1868" s="23" t="s">
        <v>5765</v>
      </c>
      <c r="G1868" s="23" t="s">
        <v>1724</v>
      </c>
      <c r="P1868" s="23" t="s">
        <v>9746</v>
      </c>
      <c r="Q1868" s="141" t="s">
        <v>9747</v>
      </c>
      <c r="T1868" s="23" t="s">
        <v>12031</v>
      </c>
      <c r="U1868" s="23" t="s">
        <v>12031</v>
      </c>
      <c r="V1868" s="23" t="s">
        <v>298</v>
      </c>
      <c r="W1868" s="23" t="s">
        <v>6359</v>
      </c>
      <c r="Y1868" s="23">
        <v>44600</v>
      </c>
      <c r="Z1868" s="23">
        <v>136</v>
      </c>
      <c r="AB1868" s="19" t="s">
        <v>9748</v>
      </c>
      <c r="AC1868" s="23" t="s">
        <v>9749</v>
      </c>
      <c r="AD1868" s="23">
        <v>0</v>
      </c>
      <c r="AE1868" s="23">
        <v>2</v>
      </c>
      <c r="AF1868" s="19" t="s">
        <v>7368</v>
      </c>
      <c r="AG1868" s="23" t="s">
        <v>665</v>
      </c>
      <c r="AH1868" s="39">
        <v>44853</v>
      </c>
      <c r="AJ1868" s="75" t="s">
        <v>10166</v>
      </c>
      <c r="AK1868" s="53">
        <v>44854</v>
      </c>
    </row>
    <row r="1869" spans="1:37">
      <c r="A1869" s="75" t="s">
        <v>9750</v>
      </c>
      <c r="B1869" s="23" t="s">
        <v>9751</v>
      </c>
      <c r="C1869" s="140">
        <v>44852</v>
      </c>
      <c r="D1869" s="23" t="s">
        <v>729</v>
      </c>
      <c r="E1869" s="23" t="s">
        <v>2919</v>
      </c>
      <c r="F1869" s="23" t="s">
        <v>5765</v>
      </c>
      <c r="G1869" s="23" t="s">
        <v>1724</v>
      </c>
      <c r="Q1869" s="141" t="s">
        <v>9739</v>
      </c>
      <c r="T1869" s="23" t="s">
        <v>3715</v>
      </c>
      <c r="U1869" s="23" t="s">
        <v>3715</v>
      </c>
      <c r="V1869" s="23" t="s">
        <v>298</v>
      </c>
      <c r="W1869" s="23" t="s">
        <v>9740</v>
      </c>
      <c r="Y1869" s="38">
        <v>21420</v>
      </c>
      <c r="Z1869" s="23">
        <v>66.7</v>
      </c>
      <c r="AB1869" s="23" t="s">
        <v>9752</v>
      </c>
      <c r="AC1869" s="23" t="s">
        <v>9753</v>
      </c>
      <c r="AD1869" s="23">
        <v>0</v>
      </c>
      <c r="AE1869" s="23">
        <v>1</v>
      </c>
      <c r="AF1869" s="23" t="s">
        <v>7646</v>
      </c>
      <c r="AG1869" s="23" t="s">
        <v>666</v>
      </c>
      <c r="AH1869" s="39">
        <v>44853</v>
      </c>
      <c r="AJ1869" s="75" t="s">
        <v>10167</v>
      </c>
      <c r="AK1869" s="53">
        <v>44854</v>
      </c>
    </row>
    <row r="1870" spans="1:37">
      <c r="A1870" s="75" t="s">
        <v>9754</v>
      </c>
      <c r="B1870" s="23" t="s">
        <v>9755</v>
      </c>
      <c r="C1870" s="140">
        <v>44853</v>
      </c>
      <c r="D1870" s="23" t="s">
        <v>729</v>
      </c>
      <c r="E1870" s="23" t="s">
        <v>2919</v>
      </c>
      <c r="F1870" s="23" t="s">
        <v>5765</v>
      </c>
      <c r="G1870" s="23" t="s">
        <v>1724</v>
      </c>
      <c r="Q1870" s="141" t="s">
        <v>9756</v>
      </c>
      <c r="T1870" s="23" t="s">
        <v>3715</v>
      </c>
      <c r="U1870" s="23" t="s">
        <v>3715</v>
      </c>
      <c r="V1870" s="23" t="s">
        <v>298</v>
      </c>
      <c r="W1870" s="23" t="s">
        <v>9314</v>
      </c>
      <c r="Y1870" s="38">
        <v>21920</v>
      </c>
      <c r="Z1870" s="23">
        <v>66.400000000000006</v>
      </c>
      <c r="AB1870" s="23" t="s">
        <v>9757</v>
      </c>
      <c r="AC1870" s="23" t="s">
        <v>9758</v>
      </c>
      <c r="AD1870" s="23">
        <v>0</v>
      </c>
      <c r="AE1870" s="23">
        <v>1</v>
      </c>
      <c r="AF1870" s="23" t="s">
        <v>7646</v>
      </c>
      <c r="AG1870" s="23" t="s">
        <v>637</v>
      </c>
      <c r="AH1870" s="39">
        <v>44854</v>
      </c>
      <c r="AJ1870" s="75" t="s">
        <v>10168</v>
      </c>
      <c r="AK1870" s="53">
        <v>44855</v>
      </c>
    </row>
    <row r="1871" spans="1:37" ht="160">
      <c r="A1871" s="75" t="s">
        <v>9759</v>
      </c>
      <c r="B1871" s="23" t="s">
        <v>9760</v>
      </c>
      <c r="C1871" s="140">
        <v>44844</v>
      </c>
      <c r="D1871" s="23" t="s">
        <v>729</v>
      </c>
      <c r="E1871" s="23" t="s">
        <v>752</v>
      </c>
      <c r="F1871" s="23" t="s">
        <v>2200</v>
      </c>
      <c r="G1871" s="23" t="s">
        <v>301</v>
      </c>
      <c r="H1871" s="23">
        <v>20431384</v>
      </c>
      <c r="I1871" s="23">
        <v>20431384</v>
      </c>
      <c r="J1871" s="140">
        <v>44831</v>
      </c>
      <c r="K1871" s="23" t="s">
        <v>9761</v>
      </c>
      <c r="L1871" s="140">
        <v>44851</v>
      </c>
      <c r="T1871" s="23" t="s">
        <v>305</v>
      </c>
      <c r="U1871" s="23" t="s">
        <v>305</v>
      </c>
      <c r="V1871" s="23" t="s">
        <v>299</v>
      </c>
      <c r="W1871" s="23" t="s">
        <v>9762</v>
      </c>
      <c r="Y1871" s="23">
        <v>39540</v>
      </c>
      <c r="Z1871" s="23">
        <v>360000</v>
      </c>
      <c r="AB1871" s="19" t="s">
        <v>9763</v>
      </c>
      <c r="AC1871" s="59">
        <v>30</v>
      </c>
      <c r="AD1871" s="23">
        <v>0</v>
      </c>
      <c r="AE1871" s="23">
        <v>10</v>
      </c>
      <c r="AF1871" s="23" t="s">
        <v>9622</v>
      </c>
      <c r="AG1871" s="23" t="s">
        <v>1553</v>
      </c>
      <c r="AH1871" s="39">
        <v>44854</v>
      </c>
      <c r="AI1871" s="53" t="s">
        <v>5851</v>
      </c>
      <c r="AJ1871" s="75" t="s">
        <v>10169</v>
      </c>
      <c r="AK1871" s="53">
        <v>44856</v>
      </c>
    </row>
    <row r="1872" spans="1:37">
      <c r="A1872" s="104" t="s">
        <v>9764</v>
      </c>
      <c r="B1872" s="23" t="s">
        <v>9765</v>
      </c>
      <c r="C1872" s="140">
        <v>44851</v>
      </c>
      <c r="D1872" s="23" t="s">
        <v>729</v>
      </c>
      <c r="E1872" s="23" t="s">
        <v>752</v>
      </c>
      <c r="F1872" s="23" t="s">
        <v>57</v>
      </c>
      <c r="G1872" s="23" t="s">
        <v>57</v>
      </c>
      <c r="H1872" s="23" t="s">
        <v>9766</v>
      </c>
      <c r="I1872" s="23" t="s">
        <v>9766</v>
      </c>
      <c r="J1872" s="140">
        <v>44847</v>
      </c>
      <c r="K1872" s="23" t="s">
        <v>9767</v>
      </c>
      <c r="L1872" s="140">
        <v>44853</v>
      </c>
      <c r="P1872" s="23" t="s">
        <v>9810</v>
      </c>
      <c r="Q1872" s="141" t="s">
        <v>9812</v>
      </c>
      <c r="S1872" s="23" t="s">
        <v>183</v>
      </c>
      <c r="T1872" s="23" t="s">
        <v>305</v>
      </c>
      <c r="U1872" s="23" t="s">
        <v>305</v>
      </c>
      <c r="V1872" s="23" t="s">
        <v>233</v>
      </c>
      <c r="W1872" s="23" t="s">
        <v>112</v>
      </c>
      <c r="X1872" s="23">
        <v>16070.9</v>
      </c>
      <c r="Y1872" s="37">
        <v>16175.3</v>
      </c>
      <c r="Z1872" s="23">
        <v>17710.13</v>
      </c>
      <c r="AA1872" s="23">
        <v>16312.13</v>
      </c>
      <c r="AB1872" s="59" t="s">
        <v>9768</v>
      </c>
      <c r="AC1872" s="23" t="s">
        <v>8007</v>
      </c>
      <c r="AD1872" s="23">
        <v>0</v>
      </c>
      <c r="AE1872" s="23">
        <v>1</v>
      </c>
      <c r="AF1872" s="23" t="s">
        <v>5478</v>
      </c>
      <c r="AG1872" s="23" t="s">
        <v>792</v>
      </c>
      <c r="AH1872" s="39">
        <v>44855</v>
      </c>
    </row>
    <row r="1873" spans="1:37">
      <c r="A1873" s="75" t="s">
        <v>9769</v>
      </c>
      <c r="B1873" s="23" t="s">
        <v>9770</v>
      </c>
      <c r="C1873" s="140">
        <v>44854</v>
      </c>
      <c r="D1873" s="23" t="s">
        <v>729</v>
      </c>
      <c r="E1873" s="23" t="s">
        <v>2919</v>
      </c>
      <c r="F1873" s="23" t="s">
        <v>5765</v>
      </c>
      <c r="G1873" s="23" t="s">
        <v>1724</v>
      </c>
      <c r="Q1873" s="141" t="s">
        <v>9771</v>
      </c>
      <c r="T1873" s="23" t="s">
        <v>3715</v>
      </c>
      <c r="U1873" s="23" t="s">
        <v>3715</v>
      </c>
      <c r="V1873" s="23" t="s">
        <v>298</v>
      </c>
      <c r="W1873" s="23" t="s">
        <v>9314</v>
      </c>
      <c r="Y1873" s="38">
        <v>21940</v>
      </c>
      <c r="Z1873" s="23">
        <v>66.5</v>
      </c>
      <c r="AB1873" s="23" t="s">
        <v>9772</v>
      </c>
      <c r="AC1873" s="23" t="s">
        <v>9773</v>
      </c>
      <c r="AD1873" s="23">
        <v>0</v>
      </c>
      <c r="AE1873" s="23">
        <v>1</v>
      </c>
      <c r="AF1873" s="23" t="s">
        <v>7646</v>
      </c>
      <c r="AG1873" s="23" t="s">
        <v>637</v>
      </c>
      <c r="AH1873" s="39">
        <v>44855</v>
      </c>
      <c r="AJ1873" s="75" t="s">
        <v>10170</v>
      </c>
      <c r="AK1873" s="53">
        <v>44856</v>
      </c>
    </row>
    <row r="1874" spans="1:37">
      <c r="A1874" s="75" t="s">
        <v>9774</v>
      </c>
      <c r="B1874" s="23" t="s">
        <v>9775</v>
      </c>
      <c r="C1874" s="140">
        <v>44850</v>
      </c>
      <c r="D1874" s="23" t="s">
        <v>729</v>
      </c>
      <c r="E1874" s="23" t="s">
        <v>752</v>
      </c>
      <c r="F1874" s="23" t="s">
        <v>5765</v>
      </c>
      <c r="G1874" s="23" t="s">
        <v>1724</v>
      </c>
      <c r="P1874" s="23" t="s">
        <v>9776</v>
      </c>
      <c r="Q1874" s="141" t="s">
        <v>9777</v>
      </c>
      <c r="T1874" s="23" t="s">
        <v>12031</v>
      </c>
      <c r="U1874" s="23" t="s">
        <v>12031</v>
      </c>
      <c r="V1874" s="23" t="s">
        <v>298</v>
      </c>
      <c r="W1874" s="23" t="s">
        <v>7446</v>
      </c>
      <c r="Y1874" s="38">
        <v>10300</v>
      </c>
      <c r="Z1874" s="23">
        <v>68</v>
      </c>
      <c r="AB1874" s="23" t="s">
        <v>9778</v>
      </c>
      <c r="AC1874" s="23" t="s">
        <v>9155</v>
      </c>
      <c r="AD1874" s="23">
        <v>0</v>
      </c>
      <c r="AE1874" s="23">
        <v>3</v>
      </c>
      <c r="AF1874" s="23" t="s">
        <v>6434</v>
      </c>
      <c r="AG1874" s="23" t="s">
        <v>666</v>
      </c>
      <c r="AH1874" s="39">
        <v>44855</v>
      </c>
      <c r="AJ1874" s="75" t="s">
        <v>10171</v>
      </c>
      <c r="AK1874" s="53">
        <v>44856</v>
      </c>
    </row>
    <row r="1875" spans="1:37">
      <c r="A1875" s="75" t="s">
        <v>9779</v>
      </c>
      <c r="B1875" s="23" t="s">
        <v>9780</v>
      </c>
      <c r="C1875" s="140">
        <v>44850</v>
      </c>
      <c r="F1875" s="23" t="s">
        <v>5765</v>
      </c>
      <c r="G1875" s="23" t="s">
        <v>1724</v>
      </c>
      <c r="W1875" s="23" t="s">
        <v>6359</v>
      </c>
      <c r="Y1875" s="38">
        <v>22200</v>
      </c>
      <c r="Z1875" s="23">
        <v>68</v>
      </c>
      <c r="AB1875" s="23" t="s">
        <v>9781</v>
      </c>
      <c r="AC1875" s="23" t="s">
        <v>9782</v>
      </c>
      <c r="AF1875" s="23" t="s">
        <v>6434</v>
      </c>
      <c r="AG1875" s="23" t="s">
        <v>637</v>
      </c>
      <c r="AH1875" s="39">
        <v>44855</v>
      </c>
    </row>
    <row r="1876" spans="1:37">
      <c r="A1876" s="75" t="s">
        <v>9783</v>
      </c>
      <c r="B1876" s="23" t="s">
        <v>9784</v>
      </c>
      <c r="C1876" s="140">
        <v>44850</v>
      </c>
      <c r="F1876" s="23" t="s">
        <v>7082</v>
      </c>
      <c r="G1876" s="23" t="s">
        <v>1724</v>
      </c>
      <c r="W1876" s="23" t="s">
        <v>6732</v>
      </c>
      <c r="Y1876" s="38">
        <v>20030</v>
      </c>
      <c r="Z1876" s="23">
        <v>68</v>
      </c>
      <c r="AB1876" s="23" t="s">
        <v>9785</v>
      </c>
      <c r="AC1876" s="23" t="s">
        <v>9786</v>
      </c>
      <c r="AF1876" s="23" t="s">
        <v>6434</v>
      </c>
      <c r="AG1876" s="23" t="s">
        <v>637</v>
      </c>
      <c r="AH1876" s="39">
        <v>44855</v>
      </c>
    </row>
    <row r="1877" spans="1:37">
      <c r="A1877" s="75" t="s">
        <v>9791</v>
      </c>
      <c r="B1877" s="23" t="s">
        <v>9793</v>
      </c>
      <c r="C1877" s="140">
        <v>44858</v>
      </c>
      <c r="D1877" s="23" t="s">
        <v>729</v>
      </c>
      <c r="E1877" s="23" t="s">
        <v>2919</v>
      </c>
      <c r="F1877" s="23" t="s">
        <v>5765</v>
      </c>
      <c r="G1877" s="23" t="s">
        <v>1724</v>
      </c>
      <c r="Q1877" s="141" t="s">
        <v>9794</v>
      </c>
      <c r="T1877" s="23" t="s">
        <v>3715</v>
      </c>
      <c r="U1877" s="23" t="s">
        <v>3715</v>
      </c>
      <c r="V1877" s="23" t="s">
        <v>298</v>
      </c>
      <c r="W1877" s="23" t="s">
        <v>9795</v>
      </c>
      <c r="Y1877" s="38">
        <v>12525</v>
      </c>
      <c r="Z1877" s="23">
        <v>66.7</v>
      </c>
      <c r="AB1877" s="23" t="s">
        <v>9796</v>
      </c>
      <c r="AC1877" s="23" t="s">
        <v>9797</v>
      </c>
      <c r="AD1877" s="23">
        <v>0</v>
      </c>
      <c r="AE1877" s="23">
        <v>1</v>
      </c>
      <c r="AF1877" s="23" t="s">
        <v>7646</v>
      </c>
      <c r="AG1877" s="23" t="s">
        <v>666</v>
      </c>
      <c r="AH1877" s="39">
        <v>44858</v>
      </c>
      <c r="AJ1877" s="75" t="s">
        <v>10172</v>
      </c>
      <c r="AK1877" s="53">
        <v>44859</v>
      </c>
    </row>
    <row r="1878" spans="1:37" ht="160">
      <c r="A1878" s="75" t="s">
        <v>9792</v>
      </c>
      <c r="B1878" s="23" t="s">
        <v>9798</v>
      </c>
      <c r="C1878" s="140">
        <v>44850</v>
      </c>
      <c r="D1878" s="23" t="s">
        <v>729</v>
      </c>
      <c r="E1878" s="23" t="s">
        <v>752</v>
      </c>
      <c r="F1878" s="23" t="s">
        <v>2200</v>
      </c>
      <c r="G1878" s="23" t="s">
        <v>301</v>
      </c>
      <c r="H1878" s="23">
        <v>20434139</v>
      </c>
      <c r="I1878" s="23">
        <v>20434139</v>
      </c>
      <c r="J1878" s="140">
        <v>44836</v>
      </c>
      <c r="K1878" s="23" t="s">
        <v>9799</v>
      </c>
      <c r="L1878" s="140">
        <v>44855</v>
      </c>
      <c r="T1878" s="23" t="s">
        <v>305</v>
      </c>
      <c r="U1878" s="23" t="s">
        <v>305</v>
      </c>
      <c r="V1878" s="23" t="s">
        <v>299</v>
      </c>
      <c r="W1878" s="19" t="s">
        <v>9800</v>
      </c>
      <c r="Y1878" s="23">
        <v>39546</v>
      </c>
      <c r="Z1878" s="23">
        <v>409350</v>
      </c>
      <c r="AB1878" s="19" t="s">
        <v>9910</v>
      </c>
      <c r="AC1878" s="59">
        <v>30</v>
      </c>
      <c r="AD1878" s="23">
        <v>0</v>
      </c>
      <c r="AE1878" s="23">
        <v>10</v>
      </c>
      <c r="AF1878" s="23" t="s">
        <v>9622</v>
      </c>
      <c r="AG1878" s="23" t="s">
        <v>1553</v>
      </c>
      <c r="AH1878" s="39">
        <v>44859</v>
      </c>
      <c r="AI1878" s="53" t="s">
        <v>5851</v>
      </c>
      <c r="AJ1878" s="75" t="s">
        <v>10173</v>
      </c>
      <c r="AK1878" s="53">
        <v>44866</v>
      </c>
    </row>
    <row r="1879" spans="1:37">
      <c r="A1879" s="75" t="s">
        <v>9801</v>
      </c>
      <c r="B1879" s="23" t="s">
        <v>9802</v>
      </c>
      <c r="C1879" s="140">
        <v>44859</v>
      </c>
      <c r="D1879" s="23" t="s">
        <v>729</v>
      </c>
      <c r="E1879" s="23" t="s">
        <v>2919</v>
      </c>
      <c r="F1879" s="23" t="s">
        <v>5765</v>
      </c>
      <c r="G1879" s="23" t="s">
        <v>1724</v>
      </c>
      <c r="Q1879" s="141" t="s">
        <v>9803</v>
      </c>
      <c r="T1879" s="23" t="s">
        <v>3715</v>
      </c>
      <c r="U1879" s="23" t="s">
        <v>3715</v>
      </c>
      <c r="V1879" s="23" t="s">
        <v>298</v>
      </c>
      <c r="W1879" s="23" t="s">
        <v>9804</v>
      </c>
      <c r="Y1879" s="38">
        <v>10680</v>
      </c>
      <c r="Z1879" s="23">
        <v>66.8</v>
      </c>
      <c r="AB1879" s="23" t="s">
        <v>9805</v>
      </c>
      <c r="AC1879" s="23" t="s">
        <v>893</v>
      </c>
      <c r="AD1879" s="23">
        <v>0</v>
      </c>
      <c r="AE1879" s="23">
        <v>1</v>
      </c>
      <c r="AF1879" s="23" t="s">
        <v>7646</v>
      </c>
      <c r="AG1879" s="23" t="s">
        <v>666</v>
      </c>
      <c r="AH1879" s="39">
        <v>44860</v>
      </c>
      <c r="AJ1879" s="75" t="s">
        <v>10174</v>
      </c>
      <c r="AK1879" s="53">
        <v>44861</v>
      </c>
    </row>
    <row r="1880" spans="1:37" ht="32">
      <c r="A1880" s="75" t="s">
        <v>9806</v>
      </c>
      <c r="B1880" s="23" t="s">
        <v>9807</v>
      </c>
      <c r="C1880" s="140">
        <v>44854</v>
      </c>
      <c r="D1880" s="23" t="s">
        <v>729</v>
      </c>
      <c r="E1880" s="23" t="s">
        <v>752</v>
      </c>
      <c r="F1880" s="23" t="s">
        <v>6957</v>
      </c>
      <c r="G1880" s="23" t="s">
        <v>3469</v>
      </c>
      <c r="H1880" s="23" t="s">
        <v>9808</v>
      </c>
      <c r="I1880" s="23" t="s">
        <v>9808</v>
      </c>
      <c r="J1880" s="140">
        <v>44848</v>
      </c>
      <c r="T1880" s="23" t="s">
        <v>12031</v>
      </c>
      <c r="U1880" s="23" t="s">
        <v>12031</v>
      </c>
      <c r="V1880" s="23" t="s">
        <v>299</v>
      </c>
      <c r="W1880" s="19" t="s">
        <v>9809</v>
      </c>
      <c r="AB1880" s="23" t="s">
        <v>8561</v>
      </c>
      <c r="AC1880" s="23">
        <v>6</v>
      </c>
      <c r="AD1880" s="23">
        <v>0</v>
      </c>
      <c r="AE1880" s="23">
        <v>0</v>
      </c>
      <c r="AF1880" s="23" t="s">
        <v>8561</v>
      </c>
      <c r="AG1880" s="23" t="s">
        <v>5716</v>
      </c>
      <c r="AH1880" s="39">
        <v>44861</v>
      </c>
      <c r="AI1880" s="53" t="s">
        <v>5706</v>
      </c>
      <c r="AJ1880" s="75" t="s">
        <v>10175</v>
      </c>
      <c r="AK1880" s="53">
        <v>44863</v>
      </c>
    </row>
    <row r="1881" spans="1:37" ht="240">
      <c r="A1881" s="75" t="s">
        <v>9813</v>
      </c>
      <c r="B1881" s="23" t="s">
        <v>9816</v>
      </c>
      <c r="C1881" s="140">
        <v>44855</v>
      </c>
      <c r="D1881" s="23" t="s">
        <v>729</v>
      </c>
      <c r="E1881" s="23" t="s">
        <v>752</v>
      </c>
      <c r="F1881" s="23" t="s">
        <v>2200</v>
      </c>
      <c r="G1881" s="23" t="s">
        <v>301</v>
      </c>
      <c r="H1881" s="23">
        <v>20434129</v>
      </c>
      <c r="I1881" s="23">
        <v>20434129</v>
      </c>
      <c r="J1881" s="140">
        <v>44836</v>
      </c>
      <c r="K1881" s="23" t="s">
        <v>9907</v>
      </c>
      <c r="L1881" s="140">
        <v>44860</v>
      </c>
      <c r="P1881" s="19" t="s">
        <v>9849</v>
      </c>
      <c r="Q1881" s="140" t="s">
        <v>9850</v>
      </c>
      <c r="T1881" s="23" t="s">
        <v>305</v>
      </c>
      <c r="U1881" s="23" t="s">
        <v>305</v>
      </c>
      <c r="V1881" s="23" t="s">
        <v>299</v>
      </c>
      <c r="W1881" s="23" t="s">
        <v>9101</v>
      </c>
      <c r="Y1881" s="23">
        <v>59400</v>
      </c>
      <c r="Z1881" s="23">
        <v>569250</v>
      </c>
      <c r="AB1881" s="19" t="s">
        <v>9998</v>
      </c>
      <c r="AC1881" s="59">
        <v>45</v>
      </c>
      <c r="AD1881" s="23">
        <v>0</v>
      </c>
      <c r="AE1881" s="23">
        <v>15</v>
      </c>
      <c r="AF1881" s="23" t="s">
        <v>9622</v>
      </c>
      <c r="AG1881" s="23" t="s">
        <v>1553</v>
      </c>
      <c r="AH1881" s="39">
        <v>44855</v>
      </c>
      <c r="AI1881" s="53" t="s">
        <v>5851</v>
      </c>
      <c r="AJ1881" s="75" t="s">
        <v>10173</v>
      </c>
      <c r="AK1881" s="53">
        <v>44866</v>
      </c>
    </row>
    <row r="1882" spans="1:37" ht="160">
      <c r="A1882" s="75" t="s">
        <v>9814</v>
      </c>
      <c r="B1882" s="23" t="s">
        <v>9817</v>
      </c>
      <c r="C1882" s="140">
        <v>44855</v>
      </c>
      <c r="D1882" s="23" t="s">
        <v>729</v>
      </c>
      <c r="E1882" s="23" t="s">
        <v>752</v>
      </c>
      <c r="F1882" s="23" t="s">
        <v>2200</v>
      </c>
      <c r="G1882" s="23" t="s">
        <v>301</v>
      </c>
      <c r="H1882" s="23">
        <v>20434124</v>
      </c>
      <c r="I1882" s="23">
        <v>20434124</v>
      </c>
      <c r="J1882" s="140">
        <v>44836</v>
      </c>
      <c r="K1882" s="23" t="s">
        <v>9908</v>
      </c>
      <c r="L1882" s="140">
        <v>44872</v>
      </c>
      <c r="P1882" s="19" t="s">
        <v>9849</v>
      </c>
      <c r="Q1882" s="140" t="s">
        <v>9850</v>
      </c>
      <c r="T1882" s="23" t="s">
        <v>305</v>
      </c>
      <c r="U1882" s="23" t="s">
        <v>305</v>
      </c>
      <c r="V1882" s="23" t="s">
        <v>299</v>
      </c>
      <c r="W1882" s="19" t="s">
        <v>9818</v>
      </c>
      <c r="Y1882" s="23">
        <v>38222</v>
      </c>
      <c r="Z1882" s="23">
        <v>400200</v>
      </c>
      <c r="AB1882" s="60" t="s">
        <v>9931</v>
      </c>
      <c r="AC1882" s="59">
        <v>29</v>
      </c>
      <c r="AD1882" s="23">
        <v>0</v>
      </c>
      <c r="AE1882" s="23">
        <v>10</v>
      </c>
      <c r="AF1882" s="23" t="s">
        <v>9622</v>
      </c>
      <c r="AG1882" s="23" t="s">
        <v>1553</v>
      </c>
      <c r="AH1882" s="39">
        <v>44855</v>
      </c>
      <c r="AI1882" s="53" t="s">
        <v>5851</v>
      </c>
      <c r="AJ1882" s="75" t="s">
        <v>10176</v>
      </c>
      <c r="AK1882" s="53">
        <v>44866</v>
      </c>
    </row>
    <row r="1883" spans="1:37" ht="48">
      <c r="A1883" s="75" t="s">
        <v>9815</v>
      </c>
      <c r="B1883" s="23" t="s">
        <v>9819</v>
      </c>
      <c r="C1883" s="140">
        <v>44855</v>
      </c>
      <c r="D1883" s="23" t="s">
        <v>729</v>
      </c>
      <c r="E1883" s="23" t="s">
        <v>752</v>
      </c>
      <c r="F1883" s="23" t="s">
        <v>2200</v>
      </c>
      <c r="G1883" s="23" t="s">
        <v>301</v>
      </c>
      <c r="H1883" s="23" t="s">
        <v>9820</v>
      </c>
      <c r="I1883" s="23" t="s">
        <v>9820</v>
      </c>
      <c r="J1883" s="140">
        <v>44854</v>
      </c>
      <c r="K1883" s="23" t="s">
        <v>9909</v>
      </c>
      <c r="L1883" s="140">
        <v>44872</v>
      </c>
      <c r="P1883" s="19" t="s">
        <v>9849</v>
      </c>
      <c r="Q1883" s="140" t="s">
        <v>9850</v>
      </c>
      <c r="T1883" s="23" t="s">
        <v>305</v>
      </c>
      <c r="U1883" s="23" t="s">
        <v>305</v>
      </c>
      <c r="V1883" s="23" t="s">
        <v>299</v>
      </c>
      <c r="W1883" s="23" t="s">
        <v>9101</v>
      </c>
      <c r="Y1883" s="23">
        <v>1320</v>
      </c>
      <c r="Z1883" s="23">
        <v>12250</v>
      </c>
      <c r="AB1883" s="59" t="s">
        <v>9932</v>
      </c>
      <c r="AC1883" s="59">
        <v>1</v>
      </c>
      <c r="AD1883" s="23">
        <v>0</v>
      </c>
      <c r="AE1883" s="23">
        <v>0</v>
      </c>
      <c r="AF1883" s="23" t="s">
        <v>9622</v>
      </c>
      <c r="AG1883" s="23" t="s">
        <v>1553</v>
      </c>
      <c r="AH1883" s="39">
        <v>44855</v>
      </c>
      <c r="AI1883" s="53" t="s">
        <v>5851</v>
      </c>
      <c r="AJ1883" s="75" t="s">
        <v>10176</v>
      </c>
      <c r="AK1883" s="53">
        <v>44866</v>
      </c>
    </row>
    <row r="1884" spans="1:37">
      <c r="A1884" s="104" t="s">
        <v>9821</v>
      </c>
      <c r="B1884" s="23" t="s">
        <v>9822</v>
      </c>
      <c r="C1884" s="140">
        <v>44860</v>
      </c>
      <c r="D1884" s="23" t="s">
        <v>729</v>
      </c>
      <c r="E1884" s="23" t="s">
        <v>752</v>
      </c>
      <c r="F1884" s="23" t="s">
        <v>57</v>
      </c>
      <c r="G1884" s="23" t="s">
        <v>57</v>
      </c>
      <c r="H1884" s="23" t="s">
        <v>9823</v>
      </c>
      <c r="I1884" s="23" t="s">
        <v>9823</v>
      </c>
      <c r="J1884" s="140">
        <v>44852</v>
      </c>
      <c r="K1884" s="23" t="s">
        <v>9824</v>
      </c>
      <c r="L1884" s="140">
        <v>44861</v>
      </c>
      <c r="P1884" s="23" t="s">
        <v>9825</v>
      </c>
      <c r="S1884" s="23" t="s">
        <v>184</v>
      </c>
      <c r="T1884" s="23" t="s">
        <v>302</v>
      </c>
      <c r="U1884" s="23" t="s">
        <v>302</v>
      </c>
      <c r="V1884" s="23" t="s">
        <v>233</v>
      </c>
      <c r="W1884" s="23" t="s">
        <v>284</v>
      </c>
      <c r="X1884" s="23">
        <v>8966</v>
      </c>
      <c r="Y1884" s="23">
        <v>9266</v>
      </c>
      <c r="Z1884" s="23">
        <v>15177.71</v>
      </c>
      <c r="AA1884" s="23">
        <v>13912.52</v>
      </c>
      <c r="AB1884" s="23" t="s">
        <v>9826</v>
      </c>
      <c r="AC1884" s="23" t="s">
        <v>286</v>
      </c>
      <c r="AD1884" s="23">
        <v>0</v>
      </c>
      <c r="AE1884" s="23">
        <v>1</v>
      </c>
      <c r="AF1884" s="23" t="s">
        <v>5478</v>
      </c>
      <c r="AG1884" s="23" t="s">
        <v>787</v>
      </c>
      <c r="AH1884" s="39">
        <v>44863</v>
      </c>
    </row>
    <row r="1885" spans="1:37" ht="64">
      <c r="A1885" s="75" t="s">
        <v>9827</v>
      </c>
      <c r="B1885" s="23" t="s">
        <v>9828</v>
      </c>
      <c r="C1885" s="140">
        <v>44857</v>
      </c>
      <c r="D1885" s="23" t="s">
        <v>729</v>
      </c>
      <c r="E1885" s="23" t="s">
        <v>752</v>
      </c>
      <c r="F1885" s="23" t="s">
        <v>5765</v>
      </c>
      <c r="G1885" s="23" t="s">
        <v>1724</v>
      </c>
      <c r="P1885" s="23" t="s">
        <v>9829</v>
      </c>
      <c r="Q1885" s="141" t="s">
        <v>9803</v>
      </c>
      <c r="T1885" s="23" t="s">
        <v>12031</v>
      </c>
      <c r="U1885" s="23" t="s">
        <v>12031</v>
      </c>
      <c r="V1885" s="23" t="s">
        <v>298</v>
      </c>
      <c r="W1885" s="23" t="s">
        <v>7446</v>
      </c>
      <c r="Y1885" s="38">
        <v>24050</v>
      </c>
      <c r="Z1885" s="23">
        <v>136</v>
      </c>
      <c r="AB1885" s="19" t="s">
        <v>9830</v>
      </c>
      <c r="AC1885" s="23" t="s">
        <v>9831</v>
      </c>
      <c r="AD1885" s="23">
        <v>0</v>
      </c>
      <c r="AE1885" s="23">
        <v>3</v>
      </c>
      <c r="AF1885" s="19" t="s">
        <v>6439</v>
      </c>
      <c r="AG1885" s="23" t="s">
        <v>666</v>
      </c>
      <c r="AH1885" s="39">
        <v>44865</v>
      </c>
      <c r="AJ1885" s="75" t="s">
        <v>10177</v>
      </c>
      <c r="AK1885" s="53">
        <v>44866</v>
      </c>
    </row>
    <row r="1886" spans="1:37">
      <c r="A1886" s="75" t="s">
        <v>9832</v>
      </c>
      <c r="B1886" s="23" t="s">
        <v>9833</v>
      </c>
      <c r="C1886" s="140">
        <v>44857</v>
      </c>
      <c r="F1886" s="23" t="s">
        <v>5765</v>
      </c>
      <c r="G1886" s="23" t="s">
        <v>1724</v>
      </c>
      <c r="W1886" s="23" t="s">
        <v>7446</v>
      </c>
      <c r="Y1886" s="38">
        <v>8920</v>
      </c>
      <c r="Z1886" s="23">
        <v>68</v>
      </c>
      <c r="AB1886" s="23" t="s">
        <v>9835</v>
      </c>
      <c r="AC1886" s="23" t="s">
        <v>9834</v>
      </c>
      <c r="AF1886" s="23" t="s">
        <v>6434</v>
      </c>
      <c r="AG1886" s="23" t="s">
        <v>666</v>
      </c>
      <c r="AH1886" s="39">
        <v>44865</v>
      </c>
    </row>
    <row r="1887" spans="1:37">
      <c r="A1887" s="75" t="s">
        <v>9836</v>
      </c>
      <c r="B1887" s="23" t="s">
        <v>9837</v>
      </c>
      <c r="C1887" s="140">
        <v>44861</v>
      </c>
      <c r="D1887" s="23" t="s">
        <v>729</v>
      </c>
      <c r="E1887" s="23" t="s">
        <v>2919</v>
      </c>
      <c r="F1887" s="23" t="s">
        <v>5765</v>
      </c>
      <c r="G1887" s="23" t="s">
        <v>1724</v>
      </c>
      <c r="Q1887" s="141" t="s">
        <v>9848</v>
      </c>
      <c r="T1887" s="23" t="s">
        <v>3715</v>
      </c>
      <c r="U1887" s="23" t="s">
        <v>3715</v>
      </c>
      <c r="V1887" s="23" t="s">
        <v>298</v>
      </c>
      <c r="W1887" s="23" t="s">
        <v>9838</v>
      </c>
      <c r="Y1887" s="38">
        <v>14280</v>
      </c>
      <c r="Z1887" s="23">
        <v>67.599999999999994</v>
      </c>
      <c r="AB1887" s="23" t="s">
        <v>9839</v>
      </c>
      <c r="AC1887" s="23" t="s">
        <v>399</v>
      </c>
      <c r="AD1887" s="23">
        <v>0</v>
      </c>
      <c r="AE1887" s="23">
        <v>3</v>
      </c>
      <c r="AF1887" s="23" t="s">
        <v>7646</v>
      </c>
      <c r="AG1887" s="23" t="s">
        <v>666</v>
      </c>
      <c r="AH1887" s="39">
        <v>44865</v>
      </c>
      <c r="AJ1887" s="75" t="s">
        <v>10178</v>
      </c>
      <c r="AK1887" s="53">
        <v>44866</v>
      </c>
    </row>
    <row r="1888" spans="1:37">
      <c r="A1888" s="75" t="s">
        <v>9840</v>
      </c>
      <c r="B1888" s="23" t="s">
        <v>9841</v>
      </c>
      <c r="C1888" s="140">
        <v>44862</v>
      </c>
      <c r="F1888" s="23" t="s">
        <v>5765</v>
      </c>
      <c r="G1888" s="23" t="s">
        <v>1724</v>
      </c>
      <c r="W1888" s="23" t="s">
        <v>9842</v>
      </c>
      <c r="Y1888" s="38">
        <v>16020</v>
      </c>
      <c r="Z1888" s="23">
        <v>68.599999999999994</v>
      </c>
      <c r="AB1888" s="23" t="s">
        <v>9843</v>
      </c>
      <c r="AC1888" s="23" t="s">
        <v>9642</v>
      </c>
      <c r="AF1888" s="23" t="s">
        <v>7646</v>
      </c>
      <c r="AG1888" s="23" t="s">
        <v>666</v>
      </c>
      <c r="AH1888" s="39">
        <v>44865</v>
      </c>
    </row>
    <row r="1889" spans="1:37">
      <c r="A1889" s="75" t="s">
        <v>9844</v>
      </c>
      <c r="B1889" s="23" t="s">
        <v>9845</v>
      </c>
      <c r="C1889" s="140">
        <v>44864</v>
      </c>
      <c r="F1889" s="23" t="s">
        <v>5765</v>
      </c>
      <c r="G1889" s="23" t="s">
        <v>1724</v>
      </c>
      <c r="W1889" s="23" t="s">
        <v>9846</v>
      </c>
      <c r="Y1889" s="38">
        <v>19840</v>
      </c>
      <c r="Z1889" s="23">
        <v>68.8</v>
      </c>
      <c r="AB1889" s="23" t="s">
        <v>9847</v>
      </c>
      <c r="AC1889" s="23" t="s">
        <v>7647</v>
      </c>
      <c r="AF1889" s="23" t="s">
        <v>7646</v>
      </c>
      <c r="AG1889" s="23" t="s">
        <v>666</v>
      </c>
      <c r="AH1889" s="39">
        <v>44865</v>
      </c>
    </row>
    <row r="1890" spans="1:37">
      <c r="A1890" s="75" t="s">
        <v>9851</v>
      </c>
      <c r="B1890" s="23" t="s">
        <v>9852</v>
      </c>
      <c r="C1890" s="140">
        <v>44857</v>
      </c>
      <c r="D1890" s="23" t="s">
        <v>729</v>
      </c>
      <c r="E1890" s="23" t="s">
        <v>752</v>
      </c>
      <c r="F1890" s="23" t="s">
        <v>7082</v>
      </c>
      <c r="G1890" s="23" t="s">
        <v>1724</v>
      </c>
      <c r="P1890" s="23" t="s">
        <v>9829</v>
      </c>
      <c r="Q1890" s="141" t="s">
        <v>9803</v>
      </c>
      <c r="T1890" s="23" t="s">
        <v>12031</v>
      </c>
      <c r="U1890" s="23" t="s">
        <v>12031</v>
      </c>
      <c r="V1890" s="23" t="s">
        <v>298</v>
      </c>
      <c r="W1890" s="23" t="s">
        <v>6732</v>
      </c>
      <c r="Y1890" s="38">
        <v>20150</v>
      </c>
      <c r="Z1890" s="23">
        <v>68</v>
      </c>
      <c r="AB1890" s="23" t="s">
        <v>9853</v>
      </c>
      <c r="AC1890" s="23" t="s">
        <v>9854</v>
      </c>
      <c r="AD1890" s="23">
        <v>0</v>
      </c>
      <c r="AE1890" s="23">
        <v>4</v>
      </c>
      <c r="AF1890" s="23" t="s">
        <v>6434</v>
      </c>
      <c r="AG1890" s="23" t="s">
        <v>637</v>
      </c>
      <c r="AH1890" s="39">
        <v>44867</v>
      </c>
      <c r="AJ1890" s="75" t="s">
        <v>10179</v>
      </c>
      <c r="AK1890" s="53">
        <v>44868</v>
      </c>
    </row>
    <row r="1891" spans="1:37">
      <c r="A1891" s="75" t="s">
        <v>9855</v>
      </c>
      <c r="B1891" s="23" t="s">
        <v>9856</v>
      </c>
      <c r="C1891" s="140">
        <v>44857</v>
      </c>
      <c r="F1891" s="23" t="s">
        <v>7082</v>
      </c>
      <c r="G1891" s="23" t="s">
        <v>1724</v>
      </c>
      <c r="W1891" s="23" t="s">
        <v>6732</v>
      </c>
      <c r="Y1891" s="38">
        <v>22000</v>
      </c>
      <c r="Z1891" s="23">
        <v>63</v>
      </c>
      <c r="AB1891" s="23" t="s">
        <v>9857</v>
      </c>
      <c r="AC1891" s="23" t="s">
        <v>9858</v>
      </c>
      <c r="AF1891" s="23" t="s">
        <v>6434</v>
      </c>
      <c r="AG1891" s="23" t="s">
        <v>637</v>
      </c>
      <c r="AH1891" s="39">
        <v>44867</v>
      </c>
    </row>
    <row r="1892" spans="1:37">
      <c r="A1892" s="75" t="s">
        <v>9859</v>
      </c>
      <c r="B1892" s="23" t="s">
        <v>9860</v>
      </c>
      <c r="C1892" s="140">
        <v>44857</v>
      </c>
      <c r="F1892" s="23" t="s">
        <v>5765</v>
      </c>
      <c r="G1892" s="23" t="s">
        <v>1724</v>
      </c>
      <c r="W1892" s="23" t="s">
        <v>6359</v>
      </c>
      <c r="Y1892" s="38">
        <v>22500</v>
      </c>
      <c r="Z1892" s="23">
        <v>68</v>
      </c>
      <c r="AB1892" s="23" t="s">
        <v>9861</v>
      </c>
      <c r="AC1892" s="23" t="s">
        <v>9862</v>
      </c>
      <c r="AF1892" s="23" t="s">
        <v>6434</v>
      </c>
      <c r="AG1892" s="23" t="s">
        <v>637</v>
      </c>
      <c r="AH1892" s="39">
        <v>44867</v>
      </c>
    </row>
    <row r="1893" spans="1:37">
      <c r="A1893" s="75" t="s">
        <v>9863</v>
      </c>
      <c r="B1893" s="23" t="s">
        <v>9864</v>
      </c>
      <c r="C1893" s="140">
        <v>44857</v>
      </c>
      <c r="F1893" s="23" t="s">
        <v>5765</v>
      </c>
      <c r="G1893" s="23" t="s">
        <v>1724</v>
      </c>
      <c r="W1893" s="23" t="s">
        <v>6359</v>
      </c>
      <c r="Y1893" s="38">
        <v>21000</v>
      </c>
      <c r="Z1893" s="23">
        <v>68</v>
      </c>
      <c r="AB1893" s="23" t="s">
        <v>9865</v>
      </c>
      <c r="AC1893" s="23" t="s">
        <v>9866</v>
      </c>
      <c r="AF1893" s="23" t="s">
        <v>6434</v>
      </c>
      <c r="AG1893" s="23" t="s">
        <v>665</v>
      </c>
      <c r="AH1893" s="39">
        <v>44867</v>
      </c>
    </row>
    <row r="1894" spans="1:37">
      <c r="A1894" s="75" t="s">
        <v>9867</v>
      </c>
      <c r="B1894" s="23" t="s">
        <v>9889</v>
      </c>
      <c r="C1894" s="140">
        <v>44867</v>
      </c>
      <c r="D1894" s="23" t="s">
        <v>729</v>
      </c>
      <c r="E1894" s="23" t="s">
        <v>752</v>
      </c>
      <c r="F1894" s="23" t="s">
        <v>5765</v>
      </c>
      <c r="G1894" s="23" t="s">
        <v>1724</v>
      </c>
      <c r="Q1894" s="141" t="s">
        <v>9869</v>
      </c>
      <c r="T1894" s="23" t="s">
        <v>3715</v>
      </c>
      <c r="U1894" s="23" t="s">
        <v>3715</v>
      </c>
      <c r="V1894" s="23" t="s">
        <v>298</v>
      </c>
      <c r="W1894" s="23" t="s">
        <v>9890</v>
      </c>
      <c r="Y1894" s="37">
        <v>12670</v>
      </c>
      <c r="Z1894" s="23">
        <v>66.8</v>
      </c>
      <c r="AB1894" s="23" t="s">
        <v>9891</v>
      </c>
      <c r="AC1894" s="23" t="s">
        <v>9892</v>
      </c>
      <c r="AD1894" s="23">
        <v>0</v>
      </c>
      <c r="AE1894" s="23">
        <v>2</v>
      </c>
      <c r="AF1894" s="23" t="s">
        <v>3260</v>
      </c>
      <c r="AG1894" s="23" t="s">
        <v>666</v>
      </c>
      <c r="AH1894" s="39">
        <v>44868</v>
      </c>
      <c r="AJ1894" s="75" t="s">
        <v>10180</v>
      </c>
      <c r="AK1894" s="53">
        <v>44869</v>
      </c>
    </row>
    <row r="1895" spans="1:37">
      <c r="A1895" s="75" t="s">
        <v>9868</v>
      </c>
      <c r="B1895" s="23" t="s">
        <v>9893</v>
      </c>
      <c r="C1895" s="140">
        <v>44868</v>
      </c>
      <c r="F1895" s="23" t="s">
        <v>5765</v>
      </c>
      <c r="G1895" s="23" t="s">
        <v>1724</v>
      </c>
      <c r="W1895" s="23" t="s">
        <v>9894</v>
      </c>
      <c r="Y1895" s="37">
        <v>12310</v>
      </c>
      <c r="Z1895" s="23">
        <v>66.599999999999994</v>
      </c>
      <c r="AB1895" s="23" t="s">
        <v>9895</v>
      </c>
      <c r="AC1895" s="23" t="s">
        <v>5142</v>
      </c>
      <c r="AF1895" s="23" t="s">
        <v>3260</v>
      </c>
      <c r="AG1895" s="23" t="s">
        <v>666</v>
      </c>
      <c r="AH1895" s="39">
        <v>44868</v>
      </c>
    </row>
    <row r="1896" spans="1:37">
      <c r="A1896" s="75" t="s">
        <v>9870</v>
      </c>
      <c r="B1896" s="23" t="s">
        <v>9872</v>
      </c>
      <c r="C1896" s="140">
        <v>44849</v>
      </c>
      <c r="D1896" s="23" t="s">
        <v>729</v>
      </c>
      <c r="E1896" s="23" t="s">
        <v>752</v>
      </c>
      <c r="F1896" s="23" t="s">
        <v>5765</v>
      </c>
      <c r="G1896" s="23" t="s">
        <v>1724</v>
      </c>
      <c r="P1896" s="23" t="s">
        <v>9881</v>
      </c>
      <c r="Q1896" s="141" t="s">
        <v>9882</v>
      </c>
      <c r="T1896" s="23" t="s">
        <v>12031</v>
      </c>
      <c r="U1896" s="23" t="s">
        <v>12031</v>
      </c>
      <c r="V1896" s="23" t="s">
        <v>298</v>
      </c>
      <c r="W1896" s="23" t="s">
        <v>7158</v>
      </c>
      <c r="Y1896" s="23">
        <v>8180</v>
      </c>
      <c r="Z1896" s="23">
        <v>50</v>
      </c>
      <c r="AB1896" s="23" t="s">
        <v>9887</v>
      </c>
      <c r="AC1896" s="23" t="s">
        <v>9873</v>
      </c>
      <c r="AD1896" s="23">
        <v>0</v>
      </c>
      <c r="AE1896" s="23">
        <v>2</v>
      </c>
      <c r="AF1896" s="23" t="s">
        <v>5478</v>
      </c>
      <c r="AG1896" s="23" t="s">
        <v>9874</v>
      </c>
      <c r="AH1896" s="39">
        <v>44868</v>
      </c>
      <c r="AJ1896" s="75" t="s">
        <v>10181</v>
      </c>
      <c r="AK1896" s="53">
        <v>44869</v>
      </c>
    </row>
    <row r="1897" spans="1:37" ht="16">
      <c r="A1897" s="75" t="s">
        <v>9871</v>
      </c>
      <c r="B1897" s="29" t="s">
        <v>9875</v>
      </c>
      <c r="C1897" s="140">
        <v>44861</v>
      </c>
      <c r="F1897" s="23" t="s">
        <v>5765</v>
      </c>
      <c r="G1897" s="23" t="s">
        <v>1724</v>
      </c>
      <c r="P1897" s="23" t="s">
        <v>9876</v>
      </c>
      <c r="Q1897" s="141" t="s">
        <v>9803</v>
      </c>
      <c r="W1897" s="23" t="s">
        <v>9877</v>
      </c>
      <c r="Y1897" s="38">
        <v>5361</v>
      </c>
      <c r="Z1897" s="23">
        <v>45</v>
      </c>
      <c r="AB1897" s="23" t="s">
        <v>9878</v>
      </c>
      <c r="AC1897" s="23" t="s">
        <v>9879</v>
      </c>
      <c r="AF1897" s="23" t="s">
        <v>5478</v>
      </c>
      <c r="AG1897" s="23" t="s">
        <v>9880</v>
      </c>
      <c r="AH1897" s="39">
        <v>44868</v>
      </c>
    </row>
    <row r="1898" spans="1:37">
      <c r="A1898" s="75" t="s">
        <v>9883</v>
      </c>
      <c r="B1898" s="23" t="s">
        <v>9884</v>
      </c>
      <c r="C1898" s="140">
        <v>44867</v>
      </c>
      <c r="D1898" s="23" t="s">
        <v>729</v>
      </c>
      <c r="E1898" s="23" t="s">
        <v>752</v>
      </c>
      <c r="F1898" s="23" t="s">
        <v>5765</v>
      </c>
      <c r="G1898" s="23" t="s">
        <v>1724</v>
      </c>
      <c r="Q1898" s="141" t="s">
        <v>9869</v>
      </c>
      <c r="T1898" s="23" t="s">
        <v>3715</v>
      </c>
      <c r="U1898" s="23" t="s">
        <v>3715</v>
      </c>
      <c r="V1898" s="23" t="s">
        <v>298</v>
      </c>
      <c r="W1898" s="23" t="s">
        <v>9888</v>
      </c>
      <c r="Y1898" s="37">
        <v>19890</v>
      </c>
      <c r="Z1898" s="23">
        <v>67</v>
      </c>
      <c r="AB1898" s="23" t="s">
        <v>9885</v>
      </c>
      <c r="AC1898" s="23" t="s">
        <v>9886</v>
      </c>
      <c r="AD1898" s="23">
        <v>0</v>
      </c>
      <c r="AE1898" s="23">
        <v>1</v>
      </c>
      <c r="AF1898" s="23" t="s">
        <v>3260</v>
      </c>
      <c r="AG1898" s="23" t="s">
        <v>666</v>
      </c>
      <c r="AH1898" s="39">
        <v>44868</v>
      </c>
      <c r="AJ1898" s="75" t="s">
        <v>10182</v>
      </c>
      <c r="AK1898" s="53">
        <v>44869</v>
      </c>
    </row>
    <row r="1899" spans="1:37">
      <c r="A1899" s="75" t="s">
        <v>9896</v>
      </c>
      <c r="B1899" s="23" t="s">
        <v>9897</v>
      </c>
      <c r="C1899" s="140">
        <v>44869</v>
      </c>
      <c r="D1899" s="23" t="s">
        <v>729</v>
      </c>
      <c r="E1899" s="23" t="s">
        <v>2919</v>
      </c>
      <c r="F1899" s="23" t="s">
        <v>5765</v>
      </c>
      <c r="G1899" s="23" t="s">
        <v>1724</v>
      </c>
      <c r="Q1899" s="141" t="s">
        <v>9898</v>
      </c>
      <c r="T1899" s="23" t="s">
        <v>3715</v>
      </c>
      <c r="U1899" s="23" t="s">
        <v>3715</v>
      </c>
      <c r="V1899" s="23" t="s">
        <v>298</v>
      </c>
      <c r="W1899" s="23" t="s">
        <v>9899</v>
      </c>
      <c r="Y1899" s="38">
        <v>14225</v>
      </c>
      <c r="Z1899" s="23">
        <v>62.5</v>
      </c>
      <c r="AB1899" s="23" t="s">
        <v>9900</v>
      </c>
      <c r="AC1899" s="23" t="s">
        <v>4704</v>
      </c>
      <c r="AD1899" s="23">
        <v>0</v>
      </c>
      <c r="AE1899" s="23">
        <v>2</v>
      </c>
      <c r="AF1899" s="23" t="s">
        <v>3864</v>
      </c>
      <c r="AG1899" s="23" t="s">
        <v>666</v>
      </c>
      <c r="AH1899" s="39">
        <v>44869</v>
      </c>
      <c r="AJ1899" s="75" t="s">
        <v>10183</v>
      </c>
      <c r="AK1899" s="53">
        <v>44870</v>
      </c>
    </row>
    <row r="1900" spans="1:37">
      <c r="A1900" s="75" t="s">
        <v>9901</v>
      </c>
      <c r="B1900" s="23" t="s">
        <v>9902</v>
      </c>
      <c r="C1900" s="140">
        <v>44869</v>
      </c>
      <c r="F1900" s="23" t="s">
        <v>5765</v>
      </c>
      <c r="G1900" s="23" t="s">
        <v>1724</v>
      </c>
      <c r="W1900" s="23" t="s">
        <v>9903</v>
      </c>
      <c r="Y1900" s="38">
        <v>5040</v>
      </c>
      <c r="Z1900" s="23">
        <v>61</v>
      </c>
      <c r="AB1900" s="23" t="s">
        <v>9904</v>
      </c>
      <c r="AC1900" s="23" t="s">
        <v>9906</v>
      </c>
      <c r="AF1900" s="23" t="s">
        <v>9905</v>
      </c>
      <c r="AG1900" s="23" t="s">
        <v>666</v>
      </c>
      <c r="AH1900" s="39">
        <v>44869</v>
      </c>
    </row>
    <row r="1901" spans="1:37">
      <c r="A1901" s="75" t="s">
        <v>9911</v>
      </c>
      <c r="B1901" s="23" t="s">
        <v>9912</v>
      </c>
      <c r="C1901" s="140">
        <v>44866</v>
      </c>
      <c r="D1901" s="23" t="s">
        <v>729</v>
      </c>
      <c r="E1901" s="23" t="s">
        <v>752</v>
      </c>
      <c r="F1901" s="23" t="s">
        <v>5765</v>
      </c>
      <c r="G1901" s="23" t="s">
        <v>1724</v>
      </c>
      <c r="P1901" s="23" t="s">
        <v>9913</v>
      </c>
      <c r="Q1901" s="141" t="s">
        <v>9914</v>
      </c>
      <c r="T1901" s="23" t="s">
        <v>12031</v>
      </c>
      <c r="U1901" s="23" t="s">
        <v>12031</v>
      </c>
      <c r="V1901" s="23" t="s">
        <v>298</v>
      </c>
      <c r="W1901" s="23" t="s">
        <v>9915</v>
      </c>
      <c r="Y1901" s="38">
        <v>13500</v>
      </c>
      <c r="Z1901" s="23">
        <v>68</v>
      </c>
      <c r="AB1901" s="23" t="s">
        <v>9916</v>
      </c>
      <c r="AC1901" s="23" t="s">
        <v>9917</v>
      </c>
      <c r="AD1901" s="23">
        <v>0</v>
      </c>
      <c r="AE1901" s="23">
        <v>3</v>
      </c>
      <c r="AF1901" s="23" t="s">
        <v>6434</v>
      </c>
      <c r="AG1901" s="23" t="s">
        <v>665</v>
      </c>
      <c r="AH1901" s="39">
        <v>44875</v>
      </c>
      <c r="AJ1901" s="75" t="s">
        <v>10184</v>
      </c>
      <c r="AK1901" s="53">
        <v>44876</v>
      </c>
    </row>
    <row r="1902" spans="1:37">
      <c r="A1902" s="75" t="s">
        <v>9918</v>
      </c>
      <c r="B1902" s="23" t="s">
        <v>9933</v>
      </c>
      <c r="C1902" s="140">
        <v>44869</v>
      </c>
      <c r="F1902" s="23" t="s">
        <v>5765</v>
      </c>
      <c r="G1902" s="23" t="s">
        <v>1724</v>
      </c>
      <c r="W1902" s="23" t="s">
        <v>9934</v>
      </c>
      <c r="Y1902" s="38">
        <v>23980</v>
      </c>
      <c r="Z1902" s="23">
        <v>69.5</v>
      </c>
      <c r="AB1902" s="23" t="s">
        <v>9936</v>
      </c>
      <c r="AC1902" s="23" t="s">
        <v>6877</v>
      </c>
      <c r="AF1902" s="23" t="s">
        <v>6434</v>
      </c>
      <c r="AG1902" s="23" t="s">
        <v>665</v>
      </c>
      <c r="AH1902" s="39">
        <v>44875</v>
      </c>
    </row>
    <row r="1903" spans="1:37">
      <c r="A1903" s="75" t="s">
        <v>9921</v>
      </c>
      <c r="B1903" s="23" t="s">
        <v>9919</v>
      </c>
      <c r="C1903" s="140">
        <v>44866</v>
      </c>
      <c r="F1903" s="23" t="s">
        <v>7082</v>
      </c>
      <c r="G1903" s="23" t="s">
        <v>1724</v>
      </c>
      <c r="W1903" s="23" t="s">
        <v>9920</v>
      </c>
      <c r="Y1903" s="38">
        <v>17500</v>
      </c>
      <c r="Z1903" s="23">
        <v>65</v>
      </c>
      <c r="AB1903" s="23" t="s">
        <v>9935</v>
      </c>
      <c r="AC1903" s="23" t="s">
        <v>7101</v>
      </c>
      <c r="AF1903" s="23" t="s">
        <v>6434</v>
      </c>
      <c r="AG1903" s="23" t="s">
        <v>665</v>
      </c>
      <c r="AH1903" s="39">
        <v>44875</v>
      </c>
    </row>
    <row r="1904" spans="1:37">
      <c r="A1904" s="75" t="s">
        <v>9922</v>
      </c>
      <c r="B1904" s="23" t="s">
        <v>9923</v>
      </c>
      <c r="C1904" s="140">
        <v>44871</v>
      </c>
      <c r="D1904" s="23" t="s">
        <v>729</v>
      </c>
      <c r="E1904" s="23" t="s">
        <v>2919</v>
      </c>
      <c r="F1904" s="23" t="s">
        <v>5765</v>
      </c>
      <c r="G1904" s="23" t="s">
        <v>1724</v>
      </c>
      <c r="Q1904" s="141" t="s">
        <v>9924</v>
      </c>
      <c r="T1904" s="23" t="s">
        <v>3715</v>
      </c>
      <c r="U1904" s="23" t="s">
        <v>3715</v>
      </c>
      <c r="V1904" s="23" t="s">
        <v>298</v>
      </c>
      <c r="W1904" s="23" t="s">
        <v>9925</v>
      </c>
      <c r="Y1904" s="38">
        <v>12960</v>
      </c>
      <c r="Z1904" s="23">
        <v>66.8</v>
      </c>
      <c r="AB1904" s="23" t="s">
        <v>9926</v>
      </c>
      <c r="AC1904" s="23" t="s">
        <v>7125</v>
      </c>
      <c r="AD1904" s="23">
        <v>0</v>
      </c>
      <c r="AE1904" s="23">
        <v>2</v>
      </c>
      <c r="AF1904" s="23" t="s">
        <v>7646</v>
      </c>
      <c r="AG1904" s="23" t="s">
        <v>666</v>
      </c>
      <c r="AH1904" s="39">
        <v>44875</v>
      </c>
      <c r="AJ1904" s="75" t="s">
        <v>10185</v>
      </c>
      <c r="AK1904" s="53">
        <v>44876</v>
      </c>
    </row>
    <row r="1905" spans="1:37">
      <c r="A1905" s="75" t="s">
        <v>9927</v>
      </c>
      <c r="B1905" s="23" t="s">
        <v>9928</v>
      </c>
      <c r="C1905" s="140">
        <v>44872</v>
      </c>
      <c r="F1905" s="23" t="s">
        <v>5765</v>
      </c>
      <c r="G1905" s="23" t="s">
        <v>1724</v>
      </c>
      <c r="W1905" s="23" t="s">
        <v>9890</v>
      </c>
      <c r="Y1905" s="38">
        <v>13100</v>
      </c>
      <c r="Z1905" s="23">
        <v>67</v>
      </c>
      <c r="AB1905" s="23" t="s">
        <v>9929</v>
      </c>
      <c r="AC1905" s="23" t="s">
        <v>9930</v>
      </c>
      <c r="AF1905" s="23" t="s">
        <v>7646</v>
      </c>
      <c r="AG1905" s="23" t="s">
        <v>666</v>
      </c>
      <c r="AH1905" s="39">
        <v>44875</v>
      </c>
    </row>
    <row r="1906" spans="1:37">
      <c r="A1906" s="75" t="s">
        <v>9937</v>
      </c>
      <c r="B1906" s="23" t="s">
        <v>9938</v>
      </c>
      <c r="C1906" s="140">
        <v>44870</v>
      </c>
      <c r="D1906" s="23" t="s">
        <v>729</v>
      </c>
      <c r="E1906" s="23" t="s">
        <v>752</v>
      </c>
      <c r="F1906" s="23" t="s">
        <v>5765</v>
      </c>
      <c r="G1906" s="23" t="s">
        <v>1724</v>
      </c>
      <c r="Q1906" s="141" t="s">
        <v>9924</v>
      </c>
      <c r="T1906" s="23" t="s">
        <v>12031</v>
      </c>
      <c r="U1906" s="23" t="s">
        <v>12031</v>
      </c>
      <c r="V1906" s="23" t="s">
        <v>298</v>
      </c>
      <c r="W1906" s="23" t="s">
        <v>6359</v>
      </c>
      <c r="Y1906" s="23">
        <v>22700</v>
      </c>
      <c r="Z1906" s="23">
        <v>68</v>
      </c>
      <c r="AB1906" s="23" t="s">
        <v>9939</v>
      </c>
      <c r="AC1906" s="23" t="s">
        <v>9940</v>
      </c>
      <c r="AD1906" s="23">
        <v>0</v>
      </c>
      <c r="AE1906" s="23">
        <v>1</v>
      </c>
      <c r="AF1906" s="23" t="s">
        <v>5478</v>
      </c>
      <c r="AG1906" s="23" t="s">
        <v>665</v>
      </c>
      <c r="AH1906" s="39">
        <v>44875</v>
      </c>
      <c r="AJ1906" s="75" t="s">
        <v>10186</v>
      </c>
      <c r="AK1906" s="53">
        <v>44876</v>
      </c>
    </row>
    <row r="1907" spans="1:37">
      <c r="A1907" s="75" t="s">
        <v>9941</v>
      </c>
      <c r="B1907" s="23" t="s">
        <v>9942</v>
      </c>
      <c r="C1907" s="140">
        <v>44875</v>
      </c>
      <c r="D1907" s="23" t="s">
        <v>729</v>
      </c>
      <c r="E1907" s="23" t="s">
        <v>2919</v>
      </c>
      <c r="F1907" s="23" t="s">
        <v>5765</v>
      </c>
      <c r="G1907" s="23" t="s">
        <v>1724</v>
      </c>
      <c r="Q1907" s="141" t="s">
        <v>9943</v>
      </c>
      <c r="T1907" s="23" t="s">
        <v>3715</v>
      </c>
      <c r="U1907" s="23" t="s">
        <v>3715</v>
      </c>
      <c r="V1907" s="23" t="s">
        <v>298</v>
      </c>
      <c r="W1907" s="23" t="s">
        <v>9944</v>
      </c>
      <c r="Y1907" s="38">
        <v>15000</v>
      </c>
      <c r="Z1907" s="23">
        <v>66.900000000000006</v>
      </c>
      <c r="AB1907" s="23" t="s">
        <v>9945</v>
      </c>
      <c r="AC1907" s="23" t="s">
        <v>9946</v>
      </c>
      <c r="AD1907" s="23">
        <v>0</v>
      </c>
      <c r="AE1907" s="23">
        <v>1</v>
      </c>
      <c r="AF1907" s="23" t="s">
        <v>7646</v>
      </c>
      <c r="AG1907" s="23" t="s">
        <v>666</v>
      </c>
      <c r="AH1907" s="39">
        <v>44876</v>
      </c>
      <c r="AJ1907" s="75" t="s">
        <v>10187</v>
      </c>
      <c r="AK1907" s="53">
        <v>44877</v>
      </c>
    </row>
    <row r="1908" spans="1:37">
      <c r="A1908" s="75" t="s">
        <v>9947</v>
      </c>
      <c r="B1908" s="23" t="s">
        <v>9948</v>
      </c>
      <c r="C1908" s="140">
        <v>44871</v>
      </c>
      <c r="D1908" s="23" t="s">
        <v>729</v>
      </c>
      <c r="E1908" s="23" t="s">
        <v>752</v>
      </c>
      <c r="F1908" s="23" t="s">
        <v>5765</v>
      </c>
      <c r="G1908" s="23" t="s">
        <v>1724</v>
      </c>
      <c r="P1908" s="23" t="s">
        <v>9949</v>
      </c>
      <c r="Q1908" s="141" t="s">
        <v>9943</v>
      </c>
      <c r="T1908" s="23" t="s">
        <v>12031</v>
      </c>
      <c r="U1908" s="23" t="s">
        <v>12031</v>
      </c>
      <c r="V1908" s="23" t="s">
        <v>298</v>
      </c>
      <c r="W1908" s="23" t="s">
        <v>9950</v>
      </c>
      <c r="Y1908" s="38">
        <v>23310</v>
      </c>
      <c r="Z1908" s="23">
        <v>68</v>
      </c>
      <c r="AB1908" s="23" t="s">
        <v>9951</v>
      </c>
      <c r="AC1908" s="23" t="s">
        <v>6758</v>
      </c>
      <c r="AD1908" s="23">
        <v>0</v>
      </c>
      <c r="AE1908" s="23">
        <v>1</v>
      </c>
      <c r="AF1908" s="23" t="s">
        <v>6434</v>
      </c>
      <c r="AG1908" s="23" t="s">
        <v>666</v>
      </c>
      <c r="AH1908" s="39">
        <v>44876</v>
      </c>
      <c r="AJ1908" s="75" t="s">
        <v>10188</v>
      </c>
      <c r="AK1908" s="53">
        <v>44877</v>
      </c>
    </row>
    <row r="1909" spans="1:37">
      <c r="A1909" s="75" t="s">
        <v>9952</v>
      </c>
      <c r="B1909" s="23" t="s">
        <v>9953</v>
      </c>
      <c r="C1909" s="140">
        <v>44866</v>
      </c>
      <c r="D1909" s="23" t="s">
        <v>729</v>
      </c>
      <c r="E1909" s="23" t="s">
        <v>752</v>
      </c>
      <c r="F1909" s="23" t="s">
        <v>7082</v>
      </c>
      <c r="G1909" s="23" t="s">
        <v>1724</v>
      </c>
      <c r="P1909" s="23" t="s">
        <v>9913</v>
      </c>
      <c r="Q1909" s="141" t="s">
        <v>9914</v>
      </c>
      <c r="T1909" s="23" t="s">
        <v>12031</v>
      </c>
      <c r="U1909" s="23" t="s">
        <v>12031</v>
      </c>
      <c r="V1909" s="23" t="s">
        <v>298</v>
      </c>
      <c r="W1909" s="23" t="s">
        <v>6732</v>
      </c>
      <c r="Y1909" s="38">
        <v>20712</v>
      </c>
      <c r="Z1909" s="23">
        <v>68</v>
      </c>
      <c r="AB1909" s="23" t="s">
        <v>9954</v>
      </c>
      <c r="AC1909" s="23" t="s">
        <v>9955</v>
      </c>
      <c r="AD1909" s="23">
        <v>0</v>
      </c>
      <c r="AE1909" s="23">
        <v>1</v>
      </c>
      <c r="AF1909" s="23" t="s">
        <v>6434</v>
      </c>
      <c r="AG1909" s="23" t="s">
        <v>637</v>
      </c>
      <c r="AH1909" s="39">
        <v>44879</v>
      </c>
      <c r="AJ1909" s="75" t="s">
        <v>10189</v>
      </c>
      <c r="AK1909" s="53">
        <v>44880</v>
      </c>
    </row>
    <row r="1910" spans="1:37">
      <c r="A1910" s="75" t="s">
        <v>9956</v>
      </c>
      <c r="B1910" s="23" t="s">
        <v>9957</v>
      </c>
      <c r="C1910" s="140">
        <v>44877</v>
      </c>
      <c r="D1910" s="23" t="s">
        <v>729</v>
      </c>
      <c r="E1910" s="23" t="s">
        <v>2919</v>
      </c>
      <c r="F1910" s="23" t="s">
        <v>5765</v>
      </c>
      <c r="G1910" s="23" t="s">
        <v>1724</v>
      </c>
      <c r="Q1910" s="141" t="s">
        <v>9958</v>
      </c>
      <c r="T1910" s="23" t="s">
        <v>3715</v>
      </c>
      <c r="U1910" s="23" t="s">
        <v>3715</v>
      </c>
      <c r="V1910" s="23" t="s">
        <v>298</v>
      </c>
      <c r="W1910" s="23" t="s">
        <v>9959</v>
      </c>
      <c r="Y1910" s="38">
        <v>16738</v>
      </c>
      <c r="Z1910" s="23">
        <v>66.900000000000006</v>
      </c>
      <c r="AB1910" s="23" t="s">
        <v>9960</v>
      </c>
      <c r="AC1910" s="23" t="s">
        <v>9961</v>
      </c>
      <c r="AD1910" s="23">
        <v>0</v>
      </c>
      <c r="AE1910" s="23">
        <v>1</v>
      </c>
      <c r="AF1910" s="23" t="s">
        <v>7646</v>
      </c>
      <c r="AG1910" s="23" t="s">
        <v>666</v>
      </c>
      <c r="AH1910" s="39">
        <v>44879</v>
      </c>
      <c r="AJ1910" s="75" t="s">
        <v>10190</v>
      </c>
      <c r="AK1910" s="53">
        <v>44880</v>
      </c>
    </row>
    <row r="1911" spans="1:37">
      <c r="A1911" s="75" t="s">
        <v>9963</v>
      </c>
      <c r="B1911" s="23" t="s">
        <v>9964</v>
      </c>
      <c r="C1911" s="140">
        <v>44875</v>
      </c>
      <c r="D1911" s="23" t="s">
        <v>729</v>
      </c>
      <c r="E1911" s="23" t="s">
        <v>752</v>
      </c>
      <c r="F1911" s="23" t="s">
        <v>6113</v>
      </c>
      <c r="G1911" s="23" t="s">
        <v>5538</v>
      </c>
      <c r="H1911" s="23" t="s">
        <v>9965</v>
      </c>
      <c r="I1911" s="23" t="s">
        <v>9965</v>
      </c>
      <c r="J1911" s="140">
        <v>44845</v>
      </c>
      <c r="T1911" s="23" t="s">
        <v>12031</v>
      </c>
      <c r="U1911" s="23" t="s">
        <v>12031</v>
      </c>
      <c r="V1911" s="23" t="s">
        <v>299</v>
      </c>
      <c r="W1911" s="23" t="s">
        <v>8834</v>
      </c>
      <c r="AB1911" s="23" t="s">
        <v>9966</v>
      </c>
      <c r="AC1911" s="23">
        <v>3</v>
      </c>
      <c r="AD1911" s="23">
        <v>0</v>
      </c>
      <c r="AE1911" s="23">
        <v>1</v>
      </c>
      <c r="AF1911" s="23" t="s">
        <v>9622</v>
      </c>
      <c r="AG1911" s="23" t="s">
        <v>5879</v>
      </c>
      <c r="AH1911" s="39">
        <v>44879</v>
      </c>
      <c r="AI1911" s="53" t="s">
        <v>9962</v>
      </c>
      <c r="AJ1911" s="75" t="s">
        <v>10191</v>
      </c>
      <c r="AK1911" s="53">
        <v>44882</v>
      </c>
    </row>
    <row r="1912" spans="1:37">
      <c r="A1912" s="104" t="s">
        <v>9968</v>
      </c>
      <c r="B1912" s="23" t="s">
        <v>9969</v>
      </c>
      <c r="C1912" s="140">
        <v>44872</v>
      </c>
      <c r="D1912" s="23" t="s">
        <v>729</v>
      </c>
      <c r="E1912" s="23" t="s">
        <v>752</v>
      </c>
      <c r="F1912" s="23" t="s">
        <v>57</v>
      </c>
      <c r="G1912" s="23" t="s">
        <v>57</v>
      </c>
      <c r="H1912" s="23" t="s">
        <v>9970</v>
      </c>
      <c r="I1912" s="23" t="s">
        <v>9970</v>
      </c>
      <c r="J1912" s="140">
        <v>44868</v>
      </c>
      <c r="K1912" s="23" t="s">
        <v>9972</v>
      </c>
      <c r="L1912" s="140">
        <v>44874</v>
      </c>
      <c r="Q1912" s="141" t="s">
        <v>9971</v>
      </c>
      <c r="S1912" s="23" t="s">
        <v>183</v>
      </c>
      <c r="T1912" s="23" t="s">
        <v>305</v>
      </c>
      <c r="U1912" s="23" t="s">
        <v>305</v>
      </c>
      <c r="V1912" s="23" t="s">
        <v>233</v>
      </c>
      <c r="W1912" s="23" t="s">
        <v>143</v>
      </c>
      <c r="X1912" s="23">
        <v>48723.1</v>
      </c>
      <c r="Y1912" s="23">
        <v>49038.400000000001</v>
      </c>
      <c r="Z1912" s="23">
        <v>54680.13</v>
      </c>
      <c r="AA1912" s="23">
        <v>50531.13</v>
      </c>
      <c r="AB1912" s="23" t="s">
        <v>9989</v>
      </c>
      <c r="AC1912" s="23" t="s">
        <v>8668</v>
      </c>
      <c r="AD1912" s="23">
        <v>0</v>
      </c>
      <c r="AE1912" s="23">
        <v>3</v>
      </c>
      <c r="AF1912" s="23" t="s">
        <v>5478</v>
      </c>
      <c r="AG1912" s="23" t="s">
        <v>792</v>
      </c>
      <c r="AH1912" s="39">
        <v>44879</v>
      </c>
    </row>
    <row r="1913" spans="1:37" ht="80">
      <c r="A1913" s="75" t="s">
        <v>9973</v>
      </c>
      <c r="B1913" s="23" t="s">
        <v>9974</v>
      </c>
      <c r="C1913" s="140">
        <v>44874</v>
      </c>
      <c r="D1913" s="23" t="s">
        <v>729</v>
      </c>
      <c r="E1913" s="23" t="s">
        <v>752</v>
      </c>
      <c r="F1913" s="23" t="s">
        <v>3456</v>
      </c>
      <c r="G1913" s="23" t="s">
        <v>1989</v>
      </c>
      <c r="H1913" s="23" t="s">
        <v>9975</v>
      </c>
      <c r="I1913" s="23" t="s">
        <v>9975</v>
      </c>
      <c r="J1913" s="140">
        <v>44873</v>
      </c>
      <c r="T1913" s="23" t="s">
        <v>12031</v>
      </c>
      <c r="U1913" s="23" t="s">
        <v>12031</v>
      </c>
      <c r="V1913" s="23" t="s">
        <v>299</v>
      </c>
      <c r="W1913" s="19" t="s">
        <v>9976</v>
      </c>
      <c r="AB1913" s="19" t="s">
        <v>9977</v>
      </c>
      <c r="AC1913" s="23">
        <v>10</v>
      </c>
      <c r="AD1913" s="23">
        <v>0</v>
      </c>
      <c r="AE1913" s="23">
        <v>5</v>
      </c>
      <c r="AF1913" s="23" t="s">
        <v>9622</v>
      </c>
      <c r="AG1913" s="23" t="s">
        <v>3856</v>
      </c>
      <c r="AH1913" s="39">
        <v>44880</v>
      </c>
      <c r="AI1913" s="53" t="s">
        <v>3857</v>
      </c>
    </row>
    <row r="1914" spans="1:37">
      <c r="A1914" s="75" t="s">
        <v>9978</v>
      </c>
      <c r="B1914" s="23" t="s">
        <v>9979</v>
      </c>
      <c r="C1914" s="140">
        <v>44879</v>
      </c>
      <c r="D1914" s="23" t="s">
        <v>729</v>
      </c>
      <c r="E1914" s="23" t="s">
        <v>2919</v>
      </c>
      <c r="F1914" s="23" t="s">
        <v>5765</v>
      </c>
      <c r="G1914" s="23" t="s">
        <v>1724</v>
      </c>
      <c r="Q1914" s="141" t="s">
        <v>9980</v>
      </c>
      <c r="T1914" s="23" t="s">
        <v>3715</v>
      </c>
      <c r="U1914" s="23" t="s">
        <v>3715</v>
      </c>
      <c r="V1914" s="23" t="s">
        <v>298</v>
      </c>
      <c r="W1914" s="23" t="s">
        <v>9981</v>
      </c>
      <c r="Y1914" s="38">
        <v>10280</v>
      </c>
      <c r="Z1914" s="23">
        <v>62</v>
      </c>
      <c r="AB1914" s="23" t="s">
        <v>9982</v>
      </c>
      <c r="AC1914" s="23" t="s">
        <v>9983</v>
      </c>
      <c r="AD1914" s="23">
        <v>0</v>
      </c>
      <c r="AE1914" s="23">
        <v>2</v>
      </c>
      <c r="AF1914" s="23" t="s">
        <v>5478</v>
      </c>
      <c r="AG1914" s="23" t="s">
        <v>666</v>
      </c>
      <c r="AH1914" s="39">
        <v>44880</v>
      </c>
      <c r="AJ1914" s="75" t="s">
        <v>10192</v>
      </c>
      <c r="AK1914" s="53">
        <v>44881</v>
      </c>
    </row>
    <row r="1915" spans="1:37">
      <c r="A1915" s="75" t="s">
        <v>9984</v>
      </c>
      <c r="B1915" s="23" t="s">
        <v>9985</v>
      </c>
      <c r="C1915" s="140">
        <v>44879</v>
      </c>
      <c r="F1915" s="23" t="s">
        <v>5765</v>
      </c>
      <c r="G1915" s="23" t="s">
        <v>1724</v>
      </c>
      <c r="W1915" s="23" t="s">
        <v>9986</v>
      </c>
      <c r="Y1915" s="38">
        <v>7225</v>
      </c>
      <c r="Z1915" s="23">
        <v>61</v>
      </c>
      <c r="AB1915" s="23" t="s">
        <v>9987</v>
      </c>
      <c r="AC1915" s="23" t="s">
        <v>9988</v>
      </c>
      <c r="AF1915" s="23" t="s">
        <v>5478</v>
      </c>
      <c r="AG1915" s="23" t="s">
        <v>666</v>
      </c>
      <c r="AH1915" s="39">
        <v>44880</v>
      </c>
    </row>
    <row r="1916" spans="1:37" ht="160">
      <c r="A1916" s="75" t="s">
        <v>9990</v>
      </c>
      <c r="B1916" s="23" t="s">
        <v>9991</v>
      </c>
      <c r="C1916" s="140">
        <v>44866</v>
      </c>
      <c r="D1916" s="23" t="s">
        <v>729</v>
      </c>
      <c r="E1916" s="23" t="s">
        <v>752</v>
      </c>
      <c r="F1916" s="23" t="s">
        <v>2200</v>
      </c>
      <c r="G1916" s="23" t="s">
        <v>301</v>
      </c>
      <c r="H1916" s="23">
        <v>20434131</v>
      </c>
      <c r="I1916" s="23">
        <v>20434131</v>
      </c>
      <c r="J1916" s="140">
        <v>44854</v>
      </c>
      <c r="K1916" s="23" t="s">
        <v>10026</v>
      </c>
      <c r="L1916" s="140">
        <v>44886</v>
      </c>
      <c r="P1916" s="19" t="s">
        <v>9999</v>
      </c>
      <c r="Q1916" s="141" t="s">
        <v>10002</v>
      </c>
      <c r="T1916" s="23" t="s">
        <v>305</v>
      </c>
      <c r="U1916" s="23" t="s">
        <v>305</v>
      </c>
      <c r="V1916" s="23" t="s">
        <v>299</v>
      </c>
      <c r="W1916" s="23" t="s">
        <v>9272</v>
      </c>
      <c r="Y1916" s="23">
        <v>46500</v>
      </c>
      <c r="Z1916" s="23">
        <v>457500</v>
      </c>
      <c r="AB1916" s="19" t="s">
        <v>9992</v>
      </c>
      <c r="AC1916" s="23">
        <v>30</v>
      </c>
      <c r="AD1916" s="23">
        <v>0</v>
      </c>
      <c r="AE1916" s="23">
        <v>10</v>
      </c>
      <c r="AF1916" s="23" t="s">
        <v>9622</v>
      </c>
      <c r="AG1916" s="23" t="s">
        <v>1553</v>
      </c>
      <c r="AH1916" s="39">
        <v>44881</v>
      </c>
      <c r="AI1916" s="53" t="s">
        <v>5851</v>
      </c>
      <c r="AJ1916" s="75" t="s">
        <v>10193</v>
      </c>
      <c r="AK1916" s="53">
        <v>44883</v>
      </c>
    </row>
    <row r="1917" spans="1:37" ht="240">
      <c r="A1917" s="75" t="s">
        <v>9993</v>
      </c>
      <c r="B1917" s="23" t="s">
        <v>9994</v>
      </c>
      <c r="C1917" s="140">
        <v>44869</v>
      </c>
      <c r="D1917" s="23" t="s">
        <v>729</v>
      </c>
      <c r="E1917" s="23" t="s">
        <v>752</v>
      </c>
      <c r="F1917" s="23" t="s">
        <v>2200</v>
      </c>
      <c r="G1917" s="23" t="s">
        <v>301</v>
      </c>
      <c r="H1917" s="23" t="s">
        <v>9995</v>
      </c>
      <c r="I1917" s="23" t="s">
        <v>9995</v>
      </c>
      <c r="J1917" s="140">
        <v>44868</v>
      </c>
      <c r="K1917" s="23" t="s">
        <v>10027</v>
      </c>
      <c r="L1917" s="140">
        <v>44886</v>
      </c>
      <c r="P1917" s="19" t="s">
        <v>10000</v>
      </c>
      <c r="Q1917" s="141" t="s">
        <v>10001</v>
      </c>
      <c r="T1917" s="23" t="s">
        <v>305</v>
      </c>
      <c r="U1917" s="23" t="s">
        <v>305</v>
      </c>
      <c r="V1917" s="23" t="s">
        <v>299</v>
      </c>
      <c r="W1917" s="19" t="s">
        <v>9996</v>
      </c>
      <c r="Y1917" s="38">
        <v>59310</v>
      </c>
      <c r="Z1917" s="23">
        <v>540000</v>
      </c>
      <c r="AB1917" s="19" t="s">
        <v>9997</v>
      </c>
      <c r="AC1917" s="23">
        <v>45</v>
      </c>
      <c r="AD1917" s="23">
        <v>0</v>
      </c>
      <c r="AE1917" s="23">
        <v>15</v>
      </c>
      <c r="AF1917" s="23" t="s">
        <v>9622</v>
      </c>
      <c r="AG1917" s="23" t="s">
        <v>1553</v>
      </c>
      <c r="AH1917" s="39">
        <v>44882</v>
      </c>
      <c r="AI1917" s="53" t="s">
        <v>5851</v>
      </c>
      <c r="AJ1917" s="75" t="s">
        <v>10194</v>
      </c>
      <c r="AK1917" s="53">
        <v>44883</v>
      </c>
    </row>
    <row r="1918" spans="1:37" ht="32">
      <c r="A1918" s="75" t="s">
        <v>10003</v>
      </c>
      <c r="B1918" s="23" t="s">
        <v>10004</v>
      </c>
      <c r="C1918" s="140">
        <v>44880</v>
      </c>
      <c r="D1918" s="23" t="s">
        <v>729</v>
      </c>
      <c r="E1918" s="23" t="s">
        <v>2919</v>
      </c>
      <c r="F1918" s="23" t="s">
        <v>5765</v>
      </c>
      <c r="G1918" s="23" t="s">
        <v>1724</v>
      </c>
      <c r="Q1918" s="141" t="s">
        <v>10005</v>
      </c>
      <c r="T1918" s="23" t="s">
        <v>3715</v>
      </c>
      <c r="U1918" s="23" t="s">
        <v>3715</v>
      </c>
      <c r="V1918" s="23" t="s">
        <v>298</v>
      </c>
      <c r="W1918" s="19" t="s">
        <v>10006</v>
      </c>
      <c r="Y1918" s="38">
        <v>17250</v>
      </c>
      <c r="Z1918" s="23">
        <v>66.8</v>
      </c>
      <c r="AB1918" s="23" t="s">
        <v>10007</v>
      </c>
      <c r="AC1918" s="23" t="s">
        <v>10008</v>
      </c>
      <c r="AD1918" s="23">
        <v>0</v>
      </c>
      <c r="AE1918" s="23">
        <v>1</v>
      </c>
      <c r="AF1918" s="23" t="s">
        <v>7646</v>
      </c>
      <c r="AG1918" s="23" t="s">
        <v>666</v>
      </c>
      <c r="AH1918" s="39">
        <v>44883</v>
      </c>
      <c r="AJ1918" s="75" t="s">
        <v>10195</v>
      </c>
      <c r="AK1918" s="53">
        <v>44884</v>
      </c>
    </row>
    <row r="1919" spans="1:37">
      <c r="A1919" s="75" t="s">
        <v>10009</v>
      </c>
      <c r="B1919" s="23" t="s">
        <v>10010</v>
      </c>
      <c r="C1919" s="140">
        <v>44879</v>
      </c>
      <c r="D1919" s="23" t="s">
        <v>729</v>
      </c>
      <c r="E1919" s="23" t="s">
        <v>752</v>
      </c>
      <c r="F1919" s="23" t="s">
        <v>7082</v>
      </c>
      <c r="G1919" s="23" t="s">
        <v>1724</v>
      </c>
      <c r="P1919" s="23" t="s">
        <v>10011</v>
      </c>
      <c r="Q1919" s="141" t="s">
        <v>10012</v>
      </c>
      <c r="T1919" s="23" t="s">
        <v>12031</v>
      </c>
      <c r="U1919" s="23" t="s">
        <v>12031</v>
      </c>
      <c r="V1919" s="23" t="s">
        <v>298</v>
      </c>
      <c r="W1919" s="23" t="s">
        <v>6732</v>
      </c>
      <c r="Y1919" s="23">
        <v>20624</v>
      </c>
      <c r="Z1919" s="23">
        <v>70.7</v>
      </c>
      <c r="AB1919" s="23" t="s">
        <v>10013</v>
      </c>
      <c r="AC1919" s="23" t="s">
        <v>10014</v>
      </c>
      <c r="AD1919" s="23">
        <v>0</v>
      </c>
      <c r="AE1919" s="23">
        <v>1</v>
      </c>
      <c r="AF1919" s="23" t="s">
        <v>5478</v>
      </c>
      <c r="AG1919" s="23" t="s">
        <v>637</v>
      </c>
      <c r="AH1919" s="39">
        <v>44883</v>
      </c>
      <c r="AJ1919" s="75" t="s">
        <v>10196</v>
      </c>
      <c r="AK1919" s="53">
        <v>44884</v>
      </c>
    </row>
    <row r="1920" spans="1:37" ht="80">
      <c r="A1920" s="75" t="s">
        <v>10015</v>
      </c>
      <c r="B1920" s="23" t="s">
        <v>10016</v>
      </c>
      <c r="C1920" s="140">
        <v>44879</v>
      </c>
      <c r="D1920" s="23" t="s">
        <v>729</v>
      </c>
      <c r="E1920" s="23" t="s">
        <v>752</v>
      </c>
      <c r="F1920" s="23" t="s">
        <v>8493</v>
      </c>
      <c r="G1920" s="23" t="s">
        <v>3469</v>
      </c>
      <c r="H1920" s="23" t="s">
        <v>10017</v>
      </c>
      <c r="I1920" s="23" t="s">
        <v>10017</v>
      </c>
      <c r="J1920" s="140">
        <v>44872</v>
      </c>
      <c r="T1920" s="23" t="s">
        <v>12031</v>
      </c>
      <c r="U1920" s="23" t="s">
        <v>12031</v>
      </c>
      <c r="V1920" s="23" t="s">
        <v>299</v>
      </c>
      <c r="W1920" s="19" t="s">
        <v>10018</v>
      </c>
      <c r="AB1920" s="19" t="s">
        <v>10025</v>
      </c>
      <c r="AC1920" s="23">
        <v>14</v>
      </c>
      <c r="AD1920" s="23">
        <v>0</v>
      </c>
      <c r="AE1920" s="23">
        <v>5</v>
      </c>
      <c r="AF1920" s="23" t="s">
        <v>9622</v>
      </c>
      <c r="AG1920" s="23" t="s">
        <v>5111</v>
      </c>
      <c r="AH1920" s="39">
        <v>44883</v>
      </c>
      <c r="AI1920" s="53" t="s">
        <v>5706</v>
      </c>
      <c r="AJ1920" s="75" t="s">
        <v>10197</v>
      </c>
      <c r="AK1920" s="53">
        <v>44887</v>
      </c>
    </row>
    <row r="1921" spans="1:37">
      <c r="A1921" s="75" t="s">
        <v>10019</v>
      </c>
      <c r="B1921" s="23" t="s">
        <v>10020</v>
      </c>
      <c r="C1921" s="140">
        <v>44885</v>
      </c>
      <c r="D1921" s="23" t="s">
        <v>729</v>
      </c>
      <c r="E1921" s="23" t="s">
        <v>2919</v>
      </c>
      <c r="F1921" s="23" t="s">
        <v>5765</v>
      </c>
      <c r="G1921" s="23" t="s">
        <v>1724</v>
      </c>
      <c r="Q1921" s="141" t="s">
        <v>10021</v>
      </c>
      <c r="T1921" s="23" t="s">
        <v>3715</v>
      </c>
      <c r="U1921" s="23" t="s">
        <v>3715</v>
      </c>
      <c r="V1921" s="23" t="s">
        <v>298</v>
      </c>
      <c r="W1921" s="23" t="s">
        <v>10022</v>
      </c>
      <c r="Y1921" s="38">
        <v>17370</v>
      </c>
      <c r="Z1921" s="23">
        <v>66.599999999999994</v>
      </c>
      <c r="AB1921" s="23" t="s">
        <v>10023</v>
      </c>
      <c r="AC1921" s="23" t="s">
        <v>10024</v>
      </c>
      <c r="AD1921" s="23">
        <v>0</v>
      </c>
      <c r="AE1921" s="23">
        <v>1</v>
      </c>
      <c r="AF1921" s="23" t="s">
        <v>7646</v>
      </c>
      <c r="AG1921" s="23" t="s">
        <v>666</v>
      </c>
      <c r="AH1921" s="39">
        <v>44886</v>
      </c>
      <c r="AJ1921" s="75" t="s">
        <v>10198</v>
      </c>
      <c r="AK1921" s="53">
        <v>44887</v>
      </c>
    </row>
    <row r="1922" spans="1:37" ht="96">
      <c r="A1922" s="75" t="s">
        <v>10028</v>
      </c>
      <c r="B1922" s="23" t="s">
        <v>10029</v>
      </c>
      <c r="C1922" s="140">
        <v>44876</v>
      </c>
      <c r="D1922" s="23" t="s">
        <v>729</v>
      </c>
      <c r="E1922" s="23" t="s">
        <v>752</v>
      </c>
      <c r="F1922" s="23" t="s">
        <v>8493</v>
      </c>
      <c r="G1922" s="23" t="s">
        <v>3469</v>
      </c>
      <c r="H1922" s="23" t="s">
        <v>10036</v>
      </c>
      <c r="I1922" s="23" t="s">
        <v>10036</v>
      </c>
      <c r="J1922" s="140">
        <v>44844</v>
      </c>
      <c r="T1922" s="23" t="s">
        <v>12031</v>
      </c>
      <c r="U1922" s="23" t="s">
        <v>12031</v>
      </c>
      <c r="V1922" s="23" t="s">
        <v>299</v>
      </c>
      <c r="W1922" s="19" t="s">
        <v>10037</v>
      </c>
      <c r="AB1922" s="23" t="s">
        <v>8561</v>
      </c>
      <c r="AC1922" s="23">
        <v>13</v>
      </c>
      <c r="AD1922" s="23">
        <v>0</v>
      </c>
      <c r="AE1922" s="23">
        <v>0</v>
      </c>
      <c r="AF1922" s="23" t="s">
        <v>8561</v>
      </c>
      <c r="AG1922" s="23" t="s">
        <v>8497</v>
      </c>
      <c r="AH1922" s="39">
        <v>44887</v>
      </c>
      <c r="AI1922" s="53" t="s">
        <v>5706</v>
      </c>
      <c r="AJ1922" s="75" t="s">
        <v>10199</v>
      </c>
      <c r="AK1922" s="53">
        <v>44889</v>
      </c>
    </row>
    <row r="1923" spans="1:37" ht="96">
      <c r="A1923" s="75" t="s">
        <v>10030</v>
      </c>
      <c r="B1923" s="23" t="s">
        <v>10031</v>
      </c>
      <c r="C1923" s="140">
        <v>44885</v>
      </c>
      <c r="D1923" s="23" t="s">
        <v>729</v>
      </c>
      <c r="E1923" s="23" t="s">
        <v>752</v>
      </c>
      <c r="F1923" s="23" t="s">
        <v>5765</v>
      </c>
      <c r="G1923" s="23" t="s">
        <v>1724</v>
      </c>
      <c r="P1923" s="23" t="s">
        <v>10033</v>
      </c>
      <c r="Q1923" s="141" t="s">
        <v>10032</v>
      </c>
      <c r="T1923" s="23" t="s">
        <v>12031</v>
      </c>
      <c r="U1923" s="23" t="s">
        <v>12031</v>
      </c>
      <c r="V1923" s="23" t="s">
        <v>298</v>
      </c>
      <c r="W1923" s="23" t="s">
        <v>532</v>
      </c>
      <c r="Y1923" s="38">
        <v>14442</v>
      </c>
      <c r="Z1923" s="23">
        <v>204</v>
      </c>
      <c r="AB1923" s="19" t="s">
        <v>10034</v>
      </c>
      <c r="AC1923" s="23" t="s">
        <v>10035</v>
      </c>
      <c r="AD1923" s="23">
        <v>0</v>
      </c>
      <c r="AE1923" s="23">
        <v>3</v>
      </c>
      <c r="AF1923" s="19" t="s">
        <v>8107</v>
      </c>
      <c r="AG1923" s="23" t="s">
        <v>665</v>
      </c>
      <c r="AH1923" s="39">
        <v>44887</v>
      </c>
      <c r="AJ1923" s="75" t="s">
        <v>10200</v>
      </c>
      <c r="AK1923" s="53">
        <v>44888</v>
      </c>
    </row>
    <row r="1924" spans="1:37">
      <c r="A1924" s="75" t="s">
        <v>10038</v>
      </c>
      <c r="B1924" s="23" t="s">
        <v>10039</v>
      </c>
      <c r="C1924" s="140">
        <v>44885</v>
      </c>
      <c r="D1924" s="23" t="s">
        <v>729</v>
      </c>
      <c r="E1924" s="23" t="s">
        <v>752</v>
      </c>
      <c r="F1924" s="23" t="s">
        <v>5765</v>
      </c>
      <c r="G1924" s="23" t="s">
        <v>1724</v>
      </c>
      <c r="P1924" s="23" t="s">
        <v>10040</v>
      </c>
      <c r="Q1924" s="141" t="s">
        <v>10032</v>
      </c>
      <c r="T1924" s="23" t="s">
        <v>12031</v>
      </c>
      <c r="U1924" s="23" t="s">
        <v>12031</v>
      </c>
      <c r="V1924" s="23" t="s">
        <v>298</v>
      </c>
      <c r="W1924" s="23" t="s">
        <v>10041</v>
      </c>
      <c r="Y1924" s="38">
        <v>15190</v>
      </c>
      <c r="Z1924" s="23">
        <v>68</v>
      </c>
      <c r="AB1924" s="23" t="s">
        <v>10042</v>
      </c>
      <c r="AC1924" s="23" t="s">
        <v>6758</v>
      </c>
      <c r="AD1924" s="23">
        <v>0</v>
      </c>
      <c r="AE1924" s="23">
        <v>3</v>
      </c>
      <c r="AF1924" s="23" t="s">
        <v>6434</v>
      </c>
      <c r="AG1924" s="23" t="s">
        <v>666</v>
      </c>
      <c r="AH1924" s="39">
        <v>44888</v>
      </c>
      <c r="AJ1924" s="75" t="s">
        <v>10201</v>
      </c>
      <c r="AK1924" s="53">
        <v>44889</v>
      </c>
    </row>
    <row r="1925" spans="1:37">
      <c r="A1925" s="75" t="s">
        <v>10043</v>
      </c>
      <c r="B1925" s="23" t="s">
        <v>10044</v>
      </c>
      <c r="C1925" s="140">
        <v>44885</v>
      </c>
      <c r="F1925" s="23" t="s">
        <v>5765</v>
      </c>
      <c r="G1925" s="23" t="s">
        <v>1724</v>
      </c>
      <c r="W1925" s="23" t="s">
        <v>10045</v>
      </c>
      <c r="Y1925" s="38">
        <v>24550</v>
      </c>
      <c r="Z1925" s="23">
        <v>67.302000000000007</v>
      </c>
      <c r="AB1925" s="23" t="s">
        <v>10046</v>
      </c>
      <c r="AC1925" s="23" t="s">
        <v>8118</v>
      </c>
      <c r="AF1925" s="23" t="s">
        <v>6434</v>
      </c>
      <c r="AG1925" s="23" t="s">
        <v>666</v>
      </c>
      <c r="AH1925" s="39">
        <v>44888</v>
      </c>
    </row>
    <row r="1926" spans="1:37">
      <c r="A1926" s="75" t="s">
        <v>10047</v>
      </c>
      <c r="B1926" s="23" t="s">
        <v>10048</v>
      </c>
      <c r="C1926" s="140">
        <v>44885</v>
      </c>
      <c r="F1926" s="23" t="s">
        <v>5765</v>
      </c>
      <c r="G1926" s="23" t="s">
        <v>1724</v>
      </c>
      <c r="W1926" s="23" t="s">
        <v>10041</v>
      </c>
      <c r="Y1926" s="38">
        <v>7450</v>
      </c>
      <c r="Z1926" s="23">
        <v>66.66</v>
      </c>
      <c r="AB1926" s="23" t="s">
        <v>10049</v>
      </c>
      <c r="AC1926" s="23" t="s">
        <v>7448</v>
      </c>
      <c r="AF1926" s="23" t="s">
        <v>6434</v>
      </c>
      <c r="AG1926" s="23" t="s">
        <v>666</v>
      </c>
      <c r="AH1926" s="39">
        <v>44888</v>
      </c>
    </row>
    <row r="1927" spans="1:37">
      <c r="A1927" s="75" t="s">
        <v>10050</v>
      </c>
      <c r="B1927" s="23" t="s">
        <v>10051</v>
      </c>
      <c r="C1927" s="140">
        <v>44886</v>
      </c>
      <c r="D1927" s="23" t="s">
        <v>729</v>
      </c>
      <c r="E1927" s="23" t="s">
        <v>2919</v>
      </c>
      <c r="F1927" s="23" t="s">
        <v>5765</v>
      </c>
      <c r="G1927" s="23" t="s">
        <v>1724</v>
      </c>
      <c r="Q1927" s="141" t="s">
        <v>10032</v>
      </c>
      <c r="T1927" s="23" t="s">
        <v>3715</v>
      </c>
      <c r="U1927" s="23" t="s">
        <v>3715</v>
      </c>
      <c r="V1927" s="23" t="s">
        <v>298</v>
      </c>
      <c r="W1927" s="23" t="s">
        <v>10052</v>
      </c>
      <c r="Y1927" s="38">
        <v>18750</v>
      </c>
      <c r="Z1927" s="23">
        <v>66.8</v>
      </c>
      <c r="AB1927" s="23" t="s">
        <v>10053</v>
      </c>
      <c r="AC1927" s="23" t="s">
        <v>5809</v>
      </c>
      <c r="AD1927" s="23">
        <v>0</v>
      </c>
      <c r="AE1927" s="23">
        <v>1</v>
      </c>
      <c r="AF1927" s="23" t="s">
        <v>7646</v>
      </c>
      <c r="AG1927" s="23" t="s">
        <v>666</v>
      </c>
      <c r="AH1927" s="39">
        <v>44888</v>
      </c>
      <c r="AJ1927" s="75" t="s">
        <v>10202</v>
      </c>
      <c r="AK1927" s="53">
        <v>44889</v>
      </c>
    </row>
    <row r="1928" spans="1:37">
      <c r="A1928" s="75" t="s">
        <v>10055</v>
      </c>
      <c r="B1928" s="23" t="s">
        <v>10056</v>
      </c>
      <c r="C1928" s="140">
        <v>44890</v>
      </c>
      <c r="D1928" s="23" t="s">
        <v>729</v>
      </c>
      <c r="E1928" s="23" t="s">
        <v>752</v>
      </c>
      <c r="F1928" s="23" t="s">
        <v>5765</v>
      </c>
      <c r="G1928" s="23" t="s">
        <v>1724</v>
      </c>
      <c r="P1928" s="23" t="s">
        <v>10057</v>
      </c>
      <c r="Q1928" s="141" t="s">
        <v>10058</v>
      </c>
      <c r="T1928" s="23" t="s">
        <v>12031</v>
      </c>
      <c r="U1928" s="23" t="s">
        <v>12031</v>
      </c>
      <c r="V1928" s="23" t="s">
        <v>298</v>
      </c>
      <c r="W1928" s="23" t="s">
        <v>10059</v>
      </c>
      <c r="Y1928" s="23">
        <v>25610</v>
      </c>
      <c r="Z1928" s="23">
        <v>68</v>
      </c>
      <c r="AB1928" s="23" t="s">
        <v>10060</v>
      </c>
      <c r="AC1928" s="23" t="s">
        <v>10061</v>
      </c>
      <c r="AD1928" s="23">
        <v>0</v>
      </c>
      <c r="AE1928" s="23">
        <v>3</v>
      </c>
      <c r="AF1928" s="23" t="s">
        <v>5478</v>
      </c>
      <c r="AG1928" s="23" t="s">
        <v>665</v>
      </c>
      <c r="AH1928" s="39">
        <v>44893</v>
      </c>
      <c r="AJ1928" s="75" t="s">
        <v>10203</v>
      </c>
      <c r="AK1928" s="53">
        <v>44894</v>
      </c>
    </row>
    <row r="1929" spans="1:37">
      <c r="A1929" s="75" t="s">
        <v>10062</v>
      </c>
      <c r="B1929" s="23" t="s">
        <v>10063</v>
      </c>
      <c r="C1929" s="140">
        <v>44890</v>
      </c>
      <c r="F1929" s="23" t="s">
        <v>5765</v>
      </c>
      <c r="G1929" s="23" t="s">
        <v>1724</v>
      </c>
      <c r="W1929" s="23" t="s">
        <v>10064</v>
      </c>
      <c r="Y1929" s="23">
        <v>23910</v>
      </c>
      <c r="Z1929" s="23">
        <v>68</v>
      </c>
      <c r="AB1929" s="23" t="s">
        <v>10065</v>
      </c>
      <c r="AC1929" s="23" t="s">
        <v>6877</v>
      </c>
      <c r="AF1929" s="23" t="s">
        <v>5478</v>
      </c>
      <c r="AG1929" s="23" t="s">
        <v>665</v>
      </c>
      <c r="AH1929" s="39">
        <v>44893</v>
      </c>
    </row>
    <row r="1930" spans="1:37">
      <c r="A1930" s="75" t="s">
        <v>10066</v>
      </c>
      <c r="B1930" s="23" t="s">
        <v>10067</v>
      </c>
      <c r="C1930" s="140">
        <v>44890</v>
      </c>
      <c r="F1930" s="23" t="s">
        <v>5765</v>
      </c>
      <c r="G1930" s="23" t="s">
        <v>1724</v>
      </c>
      <c r="W1930" s="23" t="s">
        <v>10068</v>
      </c>
      <c r="Y1930" s="23">
        <v>25410</v>
      </c>
      <c r="Z1930" s="23">
        <v>68</v>
      </c>
      <c r="AB1930" s="23" t="s">
        <v>10069</v>
      </c>
      <c r="AC1930" s="23" t="s">
        <v>7465</v>
      </c>
      <c r="AF1930" s="23" t="s">
        <v>5478</v>
      </c>
      <c r="AG1930" s="23" t="s">
        <v>665</v>
      </c>
      <c r="AH1930" s="39">
        <v>44893</v>
      </c>
    </row>
    <row r="1931" spans="1:37">
      <c r="A1931" s="75" t="s">
        <v>10070</v>
      </c>
      <c r="B1931" s="23" t="s">
        <v>10071</v>
      </c>
      <c r="C1931" s="140">
        <v>44892</v>
      </c>
      <c r="D1931" s="23" t="s">
        <v>729</v>
      </c>
      <c r="E1931" s="23" t="s">
        <v>2919</v>
      </c>
      <c r="F1931" s="23" t="s">
        <v>5765</v>
      </c>
      <c r="G1931" s="23" t="s">
        <v>1724</v>
      </c>
      <c r="Q1931" s="141" t="s">
        <v>10072</v>
      </c>
      <c r="T1931" s="23" t="s">
        <v>3715</v>
      </c>
      <c r="U1931" s="23" t="s">
        <v>3715</v>
      </c>
      <c r="V1931" s="23" t="s">
        <v>298</v>
      </c>
      <c r="W1931" s="23" t="s">
        <v>10073</v>
      </c>
      <c r="Y1931" s="38">
        <v>21000</v>
      </c>
      <c r="Z1931" s="23">
        <v>66.400000000000006</v>
      </c>
      <c r="AB1931" s="23" t="s">
        <v>10074</v>
      </c>
      <c r="AC1931" s="23" t="s">
        <v>10075</v>
      </c>
      <c r="AD1931" s="23">
        <v>0</v>
      </c>
      <c r="AE1931" s="23">
        <v>1</v>
      </c>
      <c r="AF1931" s="23" t="s">
        <v>7646</v>
      </c>
      <c r="AG1931" s="23" t="s">
        <v>666</v>
      </c>
      <c r="AH1931" s="39">
        <v>44893</v>
      </c>
      <c r="AJ1931" s="75" t="s">
        <v>10204</v>
      </c>
      <c r="AK1931" s="53">
        <v>44894</v>
      </c>
    </row>
    <row r="1932" spans="1:37" ht="160">
      <c r="A1932" s="75" t="s">
        <v>10076</v>
      </c>
      <c r="B1932" s="23" t="s">
        <v>10081</v>
      </c>
      <c r="C1932" s="140">
        <v>44883</v>
      </c>
      <c r="D1932" s="23" t="s">
        <v>729</v>
      </c>
      <c r="E1932" s="23" t="s">
        <v>752</v>
      </c>
      <c r="F1932" s="23" t="s">
        <v>2200</v>
      </c>
      <c r="G1932" s="23" t="s">
        <v>301</v>
      </c>
      <c r="H1932" s="23" t="s">
        <v>10082</v>
      </c>
      <c r="I1932" s="23" t="s">
        <v>10082</v>
      </c>
      <c r="J1932" s="140">
        <v>44880</v>
      </c>
      <c r="K1932" s="23" t="s">
        <v>10083</v>
      </c>
      <c r="L1932" s="140">
        <v>44890</v>
      </c>
      <c r="T1932" s="23" t="s">
        <v>305</v>
      </c>
      <c r="U1932" s="23" t="s">
        <v>305</v>
      </c>
      <c r="V1932" s="23" t="s">
        <v>299</v>
      </c>
      <c r="W1932" s="19" t="s">
        <v>10084</v>
      </c>
      <c r="Y1932" s="23">
        <v>39688</v>
      </c>
      <c r="Z1932" s="23">
        <v>376800</v>
      </c>
      <c r="AB1932" s="19" t="s">
        <v>10143</v>
      </c>
      <c r="AC1932" s="23">
        <v>28</v>
      </c>
      <c r="AD1932" s="23">
        <v>0</v>
      </c>
      <c r="AE1932" s="23">
        <v>10</v>
      </c>
      <c r="AF1932" s="23" t="s">
        <v>9622</v>
      </c>
      <c r="AG1932" s="23" t="s">
        <v>1553</v>
      </c>
      <c r="AH1932" s="39">
        <v>44893</v>
      </c>
      <c r="AI1932" s="53" t="s">
        <v>5851</v>
      </c>
      <c r="AJ1932" s="75" t="s">
        <v>10205</v>
      </c>
      <c r="AK1932" s="53">
        <v>44895</v>
      </c>
    </row>
    <row r="1933" spans="1:37">
      <c r="A1933" s="75" t="s">
        <v>10080</v>
      </c>
      <c r="B1933" s="23" t="s">
        <v>10077</v>
      </c>
      <c r="C1933" s="140">
        <v>44883</v>
      </c>
      <c r="D1933" s="23" t="s">
        <v>729</v>
      </c>
      <c r="E1933" s="23" t="s">
        <v>752</v>
      </c>
      <c r="F1933" s="23" t="s">
        <v>2200</v>
      </c>
      <c r="G1933" s="23" t="s">
        <v>301</v>
      </c>
      <c r="H1933" s="23">
        <v>20442288</v>
      </c>
      <c r="I1933" s="23">
        <v>20442288</v>
      </c>
      <c r="J1933" s="140">
        <v>44880</v>
      </c>
      <c r="K1933" s="23" t="s">
        <v>10078</v>
      </c>
      <c r="L1933" s="140">
        <v>44890</v>
      </c>
      <c r="T1933" s="23" t="s">
        <v>305</v>
      </c>
      <c r="U1933" s="23" t="s">
        <v>305</v>
      </c>
      <c r="V1933" s="23" t="s">
        <v>299</v>
      </c>
      <c r="W1933" s="23" t="s">
        <v>5900</v>
      </c>
      <c r="Y1933" s="23">
        <v>2636</v>
      </c>
      <c r="Z1933" s="23">
        <v>24000</v>
      </c>
      <c r="AB1933" s="23" t="s">
        <v>10079</v>
      </c>
      <c r="AC1933" s="23">
        <v>2</v>
      </c>
      <c r="AF1933" s="23" t="s">
        <v>9622</v>
      </c>
      <c r="AG1933" s="23" t="s">
        <v>1553</v>
      </c>
      <c r="AH1933" s="39">
        <v>44893</v>
      </c>
      <c r="AI1933" s="53" t="s">
        <v>5851</v>
      </c>
      <c r="AJ1933" s="75" t="s">
        <v>10205</v>
      </c>
      <c r="AK1933" s="53">
        <v>44895</v>
      </c>
    </row>
    <row r="1934" spans="1:37" ht="160">
      <c r="A1934" s="75" t="s">
        <v>10085</v>
      </c>
      <c r="B1934" s="23" t="s">
        <v>10086</v>
      </c>
      <c r="C1934" s="140">
        <v>44885</v>
      </c>
      <c r="D1934" s="23" t="s">
        <v>729</v>
      </c>
      <c r="E1934" s="23" t="s">
        <v>752</v>
      </c>
      <c r="F1934" s="23" t="s">
        <v>2200</v>
      </c>
      <c r="G1934" s="23" t="s">
        <v>301</v>
      </c>
      <c r="H1934" s="23" t="s">
        <v>10087</v>
      </c>
      <c r="I1934" s="23" t="s">
        <v>10087</v>
      </c>
      <c r="J1934" s="140">
        <v>44884</v>
      </c>
      <c r="K1934" s="23" t="s">
        <v>10088</v>
      </c>
      <c r="L1934" s="140">
        <v>44890</v>
      </c>
      <c r="T1934" s="23" t="s">
        <v>305</v>
      </c>
      <c r="U1934" s="23" t="s">
        <v>305</v>
      </c>
      <c r="V1934" s="23" t="s">
        <v>299</v>
      </c>
      <c r="W1934" s="19" t="s">
        <v>10089</v>
      </c>
      <c r="Y1934" s="23">
        <v>46206</v>
      </c>
      <c r="Z1934" s="23">
        <v>450600</v>
      </c>
      <c r="AB1934" s="19" t="s">
        <v>10280</v>
      </c>
      <c r="AC1934" s="23">
        <v>30</v>
      </c>
      <c r="AD1934" s="23">
        <v>0</v>
      </c>
      <c r="AE1934" s="23">
        <v>10</v>
      </c>
      <c r="AF1934" s="23" t="s">
        <v>9622</v>
      </c>
      <c r="AG1934" s="23" t="s">
        <v>1553</v>
      </c>
      <c r="AH1934" s="39">
        <v>44893</v>
      </c>
      <c r="AI1934" s="53" t="s">
        <v>5851</v>
      </c>
      <c r="AJ1934" s="75" t="s">
        <v>10206</v>
      </c>
      <c r="AK1934" s="53">
        <v>44897</v>
      </c>
    </row>
    <row r="1935" spans="1:37">
      <c r="A1935" s="75" t="s">
        <v>10090</v>
      </c>
      <c r="B1935" s="23" t="s">
        <v>10091</v>
      </c>
      <c r="C1935" s="140">
        <v>44894</v>
      </c>
      <c r="D1935" s="23" t="s">
        <v>729</v>
      </c>
      <c r="E1935" s="23" t="s">
        <v>2919</v>
      </c>
      <c r="F1935" s="23" t="s">
        <v>5765</v>
      </c>
      <c r="G1935" s="23" t="s">
        <v>1724</v>
      </c>
      <c r="Q1935" s="141" t="s">
        <v>10094</v>
      </c>
      <c r="T1935" s="23" t="s">
        <v>3715</v>
      </c>
      <c r="U1935" s="23" t="s">
        <v>3715</v>
      </c>
      <c r="V1935" s="23" t="s">
        <v>298</v>
      </c>
      <c r="W1935" s="23" t="s">
        <v>10092</v>
      </c>
      <c r="Y1935" s="38">
        <v>19726</v>
      </c>
      <c r="Z1935" s="23">
        <v>66.3</v>
      </c>
      <c r="AB1935" s="23" t="s">
        <v>10093</v>
      </c>
      <c r="AC1935" s="23" t="s">
        <v>10008</v>
      </c>
      <c r="AD1935" s="23">
        <v>0</v>
      </c>
      <c r="AE1935" s="23">
        <v>1</v>
      </c>
      <c r="AF1935" s="23" t="s">
        <v>7646</v>
      </c>
      <c r="AG1935" s="23" t="s">
        <v>666</v>
      </c>
      <c r="AH1935" s="39">
        <v>44895</v>
      </c>
      <c r="AJ1935" s="75" t="s">
        <v>10207</v>
      </c>
      <c r="AK1935" s="53">
        <v>44896</v>
      </c>
    </row>
    <row r="1936" spans="1:37">
      <c r="A1936" s="75" t="s">
        <v>10095</v>
      </c>
      <c r="B1936" s="23" t="s">
        <v>10096</v>
      </c>
      <c r="C1936" s="140">
        <v>44893</v>
      </c>
      <c r="D1936" s="23" t="s">
        <v>729</v>
      </c>
      <c r="E1936" s="23" t="s">
        <v>2919</v>
      </c>
      <c r="F1936" s="23" t="s">
        <v>5765</v>
      </c>
      <c r="G1936" s="23" t="s">
        <v>1724</v>
      </c>
      <c r="Q1936" s="141" t="s">
        <v>10094</v>
      </c>
      <c r="T1936" s="23" t="s">
        <v>3715</v>
      </c>
      <c r="U1936" s="23" t="s">
        <v>3715</v>
      </c>
      <c r="V1936" s="23" t="s">
        <v>298</v>
      </c>
      <c r="W1936" s="23" t="s">
        <v>10097</v>
      </c>
      <c r="Y1936" s="38">
        <v>9124</v>
      </c>
      <c r="Z1936" s="23">
        <v>62</v>
      </c>
      <c r="AB1936" s="23" t="s">
        <v>10098</v>
      </c>
      <c r="AC1936" s="23" t="s">
        <v>9773</v>
      </c>
      <c r="AD1936" s="23">
        <v>0</v>
      </c>
      <c r="AE1936" s="23">
        <v>3</v>
      </c>
      <c r="AF1936" s="23" t="s">
        <v>3864</v>
      </c>
      <c r="AG1936" s="23" t="s">
        <v>666</v>
      </c>
      <c r="AH1936" s="39">
        <v>44896</v>
      </c>
      <c r="AJ1936" s="75" t="s">
        <v>10208</v>
      </c>
      <c r="AK1936" s="53">
        <v>44896</v>
      </c>
    </row>
    <row r="1937" spans="1:37">
      <c r="A1937" s="75" t="s">
        <v>10099</v>
      </c>
      <c r="B1937" s="23" t="s">
        <v>10100</v>
      </c>
      <c r="C1937" s="140">
        <v>44893</v>
      </c>
      <c r="F1937" s="23" t="s">
        <v>5765</v>
      </c>
      <c r="G1937" s="23" t="s">
        <v>1724</v>
      </c>
      <c r="W1937" s="23" t="s">
        <v>10101</v>
      </c>
      <c r="Y1937" s="38">
        <v>5028</v>
      </c>
      <c r="Z1937" s="23">
        <v>61</v>
      </c>
      <c r="AB1937" s="23" t="s">
        <v>10102</v>
      </c>
      <c r="AC1937" s="23" t="s">
        <v>10103</v>
      </c>
      <c r="AF1937" s="23" t="s">
        <v>3864</v>
      </c>
      <c r="AG1937" s="23" t="s">
        <v>666</v>
      </c>
      <c r="AH1937" s="39">
        <v>44896</v>
      </c>
    </row>
    <row r="1938" spans="1:37">
      <c r="A1938" s="75" t="s">
        <v>10104</v>
      </c>
      <c r="B1938" s="23" t="s">
        <v>10105</v>
      </c>
      <c r="C1938" s="140">
        <v>44893</v>
      </c>
      <c r="F1938" s="23" t="s">
        <v>5765</v>
      </c>
      <c r="G1938" s="23" t="s">
        <v>1724</v>
      </c>
      <c r="W1938" s="23" t="s">
        <v>10101</v>
      </c>
      <c r="Y1938" s="38">
        <v>5040</v>
      </c>
      <c r="Z1938" s="23">
        <v>61</v>
      </c>
      <c r="AB1938" s="23" t="s">
        <v>10106</v>
      </c>
      <c r="AC1938" s="23" t="s">
        <v>9906</v>
      </c>
      <c r="AF1938" s="23" t="s">
        <v>3864</v>
      </c>
      <c r="AG1938" s="23" t="s">
        <v>666</v>
      </c>
      <c r="AH1938" s="39">
        <v>44896</v>
      </c>
    </row>
    <row r="1939" spans="1:37" ht="32">
      <c r="A1939" s="75" t="s">
        <v>10107</v>
      </c>
      <c r="B1939" s="23" t="s">
        <v>10108</v>
      </c>
      <c r="C1939" s="140">
        <v>44862</v>
      </c>
      <c r="D1939" s="23" t="s">
        <v>729</v>
      </c>
      <c r="E1939" s="23" t="s">
        <v>752</v>
      </c>
      <c r="F1939" s="23" t="s">
        <v>6113</v>
      </c>
      <c r="G1939" s="23" t="s">
        <v>5538</v>
      </c>
      <c r="H1939" s="23" t="s">
        <v>10109</v>
      </c>
      <c r="I1939" s="23" t="s">
        <v>10109</v>
      </c>
      <c r="J1939" s="140">
        <v>44812</v>
      </c>
      <c r="T1939" s="23" t="s">
        <v>12031</v>
      </c>
      <c r="U1939" s="23" t="s">
        <v>12031</v>
      </c>
      <c r="V1939" s="23" t="s">
        <v>299</v>
      </c>
      <c r="W1939" s="19" t="s">
        <v>10110</v>
      </c>
      <c r="AB1939" s="23" t="s">
        <v>10135</v>
      </c>
      <c r="AC1939" s="23">
        <v>3</v>
      </c>
      <c r="AD1939" s="23">
        <v>0</v>
      </c>
      <c r="AE1939" s="23">
        <v>1</v>
      </c>
      <c r="AF1939" s="23" t="s">
        <v>9622</v>
      </c>
      <c r="AG1939" s="23" t="s">
        <v>5879</v>
      </c>
      <c r="AH1939" s="39">
        <v>44895</v>
      </c>
      <c r="AI1939" s="53" t="s">
        <v>9962</v>
      </c>
      <c r="AJ1939" s="75" t="s">
        <v>10209</v>
      </c>
      <c r="AK1939" s="53">
        <v>44897</v>
      </c>
    </row>
    <row r="1940" spans="1:37" ht="64">
      <c r="A1940" s="75" t="s">
        <v>10111</v>
      </c>
      <c r="B1940" s="23" t="s">
        <v>10112</v>
      </c>
      <c r="C1940" s="140">
        <v>44880</v>
      </c>
      <c r="D1940" s="23" t="s">
        <v>729</v>
      </c>
      <c r="E1940" s="23" t="s">
        <v>752</v>
      </c>
      <c r="F1940" s="23" t="s">
        <v>8493</v>
      </c>
      <c r="G1940" s="23" t="s">
        <v>3469</v>
      </c>
      <c r="H1940" s="23" t="s">
        <v>10113</v>
      </c>
      <c r="I1940" s="23" t="s">
        <v>10113</v>
      </c>
      <c r="J1940" s="140">
        <v>44879</v>
      </c>
      <c r="T1940" s="23" t="s">
        <v>12031</v>
      </c>
      <c r="U1940" s="23" t="s">
        <v>12031</v>
      </c>
      <c r="V1940" s="23" t="s">
        <v>299</v>
      </c>
      <c r="W1940" s="23" t="s">
        <v>10114</v>
      </c>
      <c r="AB1940" s="19" t="s">
        <v>10122</v>
      </c>
      <c r="AC1940" s="23">
        <v>12</v>
      </c>
      <c r="AD1940" s="23">
        <v>0</v>
      </c>
      <c r="AE1940" s="23">
        <v>4</v>
      </c>
      <c r="AF1940" s="23" t="s">
        <v>9622</v>
      </c>
      <c r="AG1940" s="23" t="s">
        <v>3973</v>
      </c>
      <c r="AH1940" s="39">
        <v>44896</v>
      </c>
      <c r="AI1940" s="53" t="s">
        <v>5706</v>
      </c>
      <c r="AJ1940" s="75" t="s">
        <v>10210</v>
      </c>
      <c r="AK1940" s="53">
        <v>44897</v>
      </c>
    </row>
    <row r="1941" spans="1:37">
      <c r="A1941" s="104" t="s">
        <v>10115</v>
      </c>
      <c r="B1941" s="23" t="s">
        <v>10116</v>
      </c>
      <c r="C1941" s="140">
        <v>44892</v>
      </c>
      <c r="D1941" s="23" t="s">
        <v>729</v>
      </c>
      <c r="E1941" s="23" t="s">
        <v>752</v>
      </c>
      <c r="F1941" s="23" t="s">
        <v>57</v>
      </c>
      <c r="G1941" s="23" t="s">
        <v>57</v>
      </c>
      <c r="H1941" s="23" t="s">
        <v>10117</v>
      </c>
      <c r="I1941" s="23" t="s">
        <v>10117</v>
      </c>
      <c r="J1941" s="140">
        <v>44887</v>
      </c>
      <c r="P1941" s="23" t="s">
        <v>10119</v>
      </c>
      <c r="Q1941" s="141" t="s">
        <v>10118</v>
      </c>
      <c r="S1941" s="23" t="s">
        <v>184</v>
      </c>
      <c r="T1941" s="23" t="s">
        <v>302</v>
      </c>
      <c r="U1941" s="23" t="s">
        <v>302</v>
      </c>
      <c r="V1941" s="23" t="s">
        <v>233</v>
      </c>
      <c r="W1941" s="23" t="s">
        <v>10120</v>
      </c>
      <c r="X1941" s="23">
        <v>7650.8</v>
      </c>
      <c r="Y1941" s="37">
        <v>7808.8</v>
      </c>
      <c r="Z1941" s="23">
        <v>15243.78</v>
      </c>
      <c r="AB1941" s="23" t="s">
        <v>10121</v>
      </c>
      <c r="AC1941" s="23" t="s">
        <v>9692</v>
      </c>
      <c r="AD1941" s="23">
        <v>0</v>
      </c>
      <c r="AE1941" s="23">
        <v>1</v>
      </c>
      <c r="AF1941" s="23" t="s">
        <v>5478</v>
      </c>
      <c r="AG1941" s="23" t="s">
        <v>787</v>
      </c>
      <c r="AH1941" s="39">
        <v>44895</v>
      </c>
    </row>
    <row r="1942" spans="1:37">
      <c r="A1942" s="75" t="s">
        <v>10123</v>
      </c>
      <c r="B1942" s="23" t="s">
        <v>10124</v>
      </c>
      <c r="C1942" s="140">
        <v>44893</v>
      </c>
      <c r="D1942" s="23" t="s">
        <v>729</v>
      </c>
      <c r="E1942" s="23" t="s">
        <v>752</v>
      </c>
      <c r="F1942" s="23" t="s">
        <v>5765</v>
      </c>
      <c r="G1942" s="23" t="s">
        <v>1724</v>
      </c>
      <c r="P1942" s="23" t="s">
        <v>10125</v>
      </c>
      <c r="Q1942" s="141" t="s">
        <v>10126</v>
      </c>
      <c r="T1942" s="23" t="s">
        <v>12031</v>
      </c>
      <c r="U1942" s="23" t="s">
        <v>12031</v>
      </c>
      <c r="V1942" s="23" t="s">
        <v>298</v>
      </c>
      <c r="W1942" s="23" t="s">
        <v>10127</v>
      </c>
      <c r="Y1942" s="38">
        <v>24740</v>
      </c>
      <c r="Z1942" s="23">
        <v>67.024000000000001</v>
      </c>
      <c r="AB1942" s="23" t="s">
        <v>10128</v>
      </c>
      <c r="AC1942" s="23" t="s">
        <v>8118</v>
      </c>
      <c r="AD1942" s="23">
        <v>0</v>
      </c>
      <c r="AE1942" s="23">
        <v>1</v>
      </c>
      <c r="AF1942" s="23" t="s">
        <v>6434</v>
      </c>
      <c r="AG1942" s="23" t="s">
        <v>666</v>
      </c>
      <c r="AH1942" s="39">
        <v>44897</v>
      </c>
      <c r="AJ1942" s="75" t="s">
        <v>10211</v>
      </c>
      <c r="AK1942" s="53">
        <v>44897</v>
      </c>
    </row>
    <row r="1943" spans="1:37">
      <c r="A1943" s="75" t="s">
        <v>10129</v>
      </c>
      <c r="B1943" s="23" t="s">
        <v>10130</v>
      </c>
      <c r="C1943" s="140">
        <v>44897</v>
      </c>
      <c r="D1943" s="23" t="s">
        <v>729</v>
      </c>
      <c r="E1943" s="23" t="s">
        <v>2919</v>
      </c>
      <c r="F1943" s="23" t="s">
        <v>5765</v>
      </c>
      <c r="G1943" s="23" t="s">
        <v>1724</v>
      </c>
      <c r="Q1943" s="141" t="s">
        <v>10131</v>
      </c>
      <c r="T1943" s="23" t="s">
        <v>3715</v>
      </c>
      <c r="U1943" s="23" t="s">
        <v>3715</v>
      </c>
      <c r="V1943" s="23" t="s">
        <v>298</v>
      </c>
      <c r="W1943" s="23" t="s">
        <v>10132</v>
      </c>
      <c r="Y1943" s="38">
        <v>17910</v>
      </c>
      <c r="Z1943" s="23">
        <v>68.2</v>
      </c>
      <c r="AB1943" s="23" t="s">
        <v>10133</v>
      </c>
      <c r="AC1943" s="23" t="s">
        <v>10134</v>
      </c>
      <c r="AD1943" s="23">
        <v>0</v>
      </c>
      <c r="AE1943" s="23">
        <v>1</v>
      </c>
      <c r="AF1943" s="23" t="s">
        <v>7646</v>
      </c>
      <c r="AG1943" s="23" t="s">
        <v>666</v>
      </c>
      <c r="AH1943" s="39">
        <v>44900</v>
      </c>
      <c r="AJ1943" s="75" t="s">
        <v>10212</v>
      </c>
      <c r="AK1943" s="53">
        <v>44901</v>
      </c>
    </row>
    <row r="1944" spans="1:37">
      <c r="A1944" s="75" t="s">
        <v>10136</v>
      </c>
      <c r="B1944" s="23" t="s">
        <v>10137</v>
      </c>
      <c r="C1944" s="140">
        <v>44897</v>
      </c>
      <c r="D1944" s="23" t="s">
        <v>729</v>
      </c>
      <c r="E1944" s="23" t="s">
        <v>752</v>
      </c>
      <c r="F1944" s="23" t="s">
        <v>5765</v>
      </c>
      <c r="G1944" s="23" t="s">
        <v>1724</v>
      </c>
      <c r="P1944" s="23" t="s">
        <v>10138</v>
      </c>
      <c r="Q1944" s="141" t="s">
        <v>10139</v>
      </c>
      <c r="T1944" s="23" t="s">
        <v>12031</v>
      </c>
      <c r="U1944" s="23" t="s">
        <v>12031</v>
      </c>
      <c r="V1944" s="23" t="s">
        <v>298</v>
      </c>
      <c r="W1944" s="23" t="s">
        <v>10140</v>
      </c>
      <c r="Y1944" s="38">
        <v>14670</v>
      </c>
      <c r="Z1944" s="23">
        <v>65.400000000000006</v>
      </c>
      <c r="AB1944" s="23" t="s">
        <v>10141</v>
      </c>
      <c r="AC1944" s="23" t="s">
        <v>10142</v>
      </c>
      <c r="AD1944" s="23">
        <v>0</v>
      </c>
      <c r="AE1944" s="23">
        <v>1</v>
      </c>
      <c r="AF1944" s="23" t="s">
        <v>6434</v>
      </c>
      <c r="AG1944" s="23" t="s">
        <v>666</v>
      </c>
      <c r="AH1944" s="39">
        <v>44901</v>
      </c>
      <c r="AJ1944" s="75" t="s">
        <v>10543</v>
      </c>
      <c r="AK1944" s="53">
        <v>44902</v>
      </c>
    </row>
    <row r="1945" spans="1:37">
      <c r="A1945" s="75" t="s">
        <v>10213</v>
      </c>
      <c r="B1945" s="23" t="s">
        <v>10214</v>
      </c>
      <c r="C1945" s="140">
        <v>44849</v>
      </c>
      <c r="D1945" s="23" t="s">
        <v>729</v>
      </c>
      <c r="E1945" s="23" t="s">
        <v>752</v>
      </c>
      <c r="F1945" s="23" t="s">
        <v>5765</v>
      </c>
      <c r="G1945" s="23" t="s">
        <v>1724</v>
      </c>
      <c r="P1945" s="23" t="s">
        <v>10215</v>
      </c>
      <c r="Q1945" s="141" t="s">
        <v>10216</v>
      </c>
      <c r="T1945" s="23" t="s">
        <v>12031</v>
      </c>
      <c r="U1945" s="23" t="s">
        <v>12031</v>
      </c>
      <c r="V1945" s="23" t="s">
        <v>298</v>
      </c>
      <c r="W1945" s="23" t="s">
        <v>10217</v>
      </c>
      <c r="Y1945" s="38">
        <v>3000</v>
      </c>
      <c r="AB1945" s="23" t="s">
        <v>10218</v>
      </c>
      <c r="AC1945" s="23" t="s">
        <v>123</v>
      </c>
      <c r="AD1945" s="23">
        <v>0</v>
      </c>
      <c r="AE1945" s="23">
        <v>1</v>
      </c>
      <c r="AF1945" s="23" t="s">
        <v>5478</v>
      </c>
      <c r="AG1945" s="23" t="s">
        <v>9007</v>
      </c>
      <c r="AH1945" s="39">
        <v>44902</v>
      </c>
      <c r="AJ1945" s="75" t="s">
        <v>10544</v>
      </c>
      <c r="AK1945" s="53">
        <v>44903</v>
      </c>
    </row>
    <row r="1946" spans="1:37">
      <c r="A1946" s="75" t="s">
        <v>10219</v>
      </c>
      <c r="B1946" s="23" t="s">
        <v>10220</v>
      </c>
      <c r="C1946" s="140">
        <v>44902</v>
      </c>
      <c r="D1946" s="23" t="s">
        <v>729</v>
      </c>
      <c r="E1946" s="23" t="s">
        <v>2919</v>
      </c>
      <c r="F1946" s="23" t="s">
        <v>5765</v>
      </c>
      <c r="G1946" s="23" t="s">
        <v>1724</v>
      </c>
      <c r="Q1946" s="141" t="s">
        <v>10221</v>
      </c>
      <c r="T1946" s="23" t="s">
        <v>3715</v>
      </c>
      <c r="U1946" s="23" t="s">
        <v>3715</v>
      </c>
      <c r="V1946" s="23" t="s">
        <v>298</v>
      </c>
      <c r="W1946" s="23" t="s">
        <v>10222</v>
      </c>
      <c r="Y1946" s="38">
        <v>21520</v>
      </c>
      <c r="Z1946" s="23">
        <v>67.2</v>
      </c>
      <c r="AB1946" s="23" t="s">
        <v>10223</v>
      </c>
      <c r="AC1946" s="23" t="s">
        <v>10224</v>
      </c>
      <c r="AD1946" s="23">
        <v>0</v>
      </c>
      <c r="AE1946" s="23">
        <v>2</v>
      </c>
      <c r="AF1946" s="23" t="s">
        <v>7646</v>
      </c>
      <c r="AG1946" s="23" t="s">
        <v>666</v>
      </c>
      <c r="AH1946" s="39">
        <v>44903</v>
      </c>
      <c r="AJ1946" s="75" t="s">
        <v>10545</v>
      </c>
      <c r="AK1946" s="53">
        <v>44904</v>
      </c>
    </row>
    <row r="1947" spans="1:37">
      <c r="A1947" s="75" t="s">
        <v>10225</v>
      </c>
      <c r="B1947" s="23" t="s">
        <v>10226</v>
      </c>
      <c r="C1947" s="140">
        <v>44902</v>
      </c>
      <c r="F1947" s="23" t="s">
        <v>5765</v>
      </c>
      <c r="G1947" s="23" t="s">
        <v>1724</v>
      </c>
      <c r="W1947" s="23" t="s">
        <v>10227</v>
      </c>
      <c r="Y1947" s="38">
        <v>20550</v>
      </c>
      <c r="Z1947" s="23">
        <v>68.599999999999994</v>
      </c>
      <c r="AB1947" s="23" t="s">
        <v>10228</v>
      </c>
      <c r="AC1947" s="23" t="s">
        <v>10229</v>
      </c>
      <c r="AF1947" s="23" t="s">
        <v>7646</v>
      </c>
      <c r="AG1947" s="23" t="s">
        <v>666</v>
      </c>
      <c r="AH1947" s="39">
        <v>44903</v>
      </c>
    </row>
    <row r="1948" spans="1:37">
      <c r="A1948" s="75" t="s">
        <v>10230</v>
      </c>
      <c r="B1948" s="23" t="s">
        <v>10236</v>
      </c>
      <c r="C1948" s="140">
        <v>44893</v>
      </c>
      <c r="D1948" s="23" t="s">
        <v>729</v>
      </c>
      <c r="E1948" s="23" t="s">
        <v>752</v>
      </c>
      <c r="F1948" s="23" t="s">
        <v>2200</v>
      </c>
      <c r="G1948" s="23" t="s">
        <v>301</v>
      </c>
      <c r="H1948" s="23">
        <v>20444270</v>
      </c>
      <c r="I1948" s="23">
        <v>20444270</v>
      </c>
      <c r="J1948" s="140">
        <v>44891</v>
      </c>
      <c r="K1948" s="23" t="s">
        <v>10237</v>
      </c>
      <c r="L1948" s="140">
        <v>44902</v>
      </c>
      <c r="S1948" s="23" t="s">
        <v>300</v>
      </c>
      <c r="T1948" s="23" t="s">
        <v>305</v>
      </c>
      <c r="U1948" s="23" t="s">
        <v>305</v>
      </c>
      <c r="V1948" s="23" t="s">
        <v>299</v>
      </c>
      <c r="W1948" s="23" t="s">
        <v>8806</v>
      </c>
      <c r="X1948" s="23">
        <v>2636</v>
      </c>
      <c r="Y1948" s="23">
        <v>2636</v>
      </c>
      <c r="Z1948" s="23">
        <v>27600</v>
      </c>
      <c r="AA1948" s="23">
        <v>27000</v>
      </c>
      <c r="AB1948" s="23" t="s">
        <v>10238</v>
      </c>
      <c r="AC1948" s="23">
        <v>2</v>
      </c>
      <c r="AD1948" s="23">
        <v>0</v>
      </c>
      <c r="AE1948" s="23">
        <v>1</v>
      </c>
      <c r="AF1948" s="23" t="s">
        <v>3193</v>
      </c>
      <c r="AG1948" s="23" t="s">
        <v>659</v>
      </c>
      <c r="AH1948" s="39">
        <v>44904</v>
      </c>
      <c r="AI1948" s="53" t="s">
        <v>299</v>
      </c>
      <c r="AJ1948" s="75" t="s">
        <v>10546</v>
      </c>
      <c r="AK1948" s="53">
        <v>44908</v>
      </c>
    </row>
    <row r="1949" spans="1:37">
      <c r="A1949" s="75" t="s">
        <v>10231</v>
      </c>
      <c r="B1949" s="23" t="s">
        <v>10239</v>
      </c>
      <c r="C1949" s="140">
        <v>44893</v>
      </c>
      <c r="D1949" s="23" t="s">
        <v>729</v>
      </c>
      <c r="E1949" s="23" t="s">
        <v>752</v>
      </c>
      <c r="F1949" s="23" t="s">
        <v>2200</v>
      </c>
      <c r="G1949" s="23" t="s">
        <v>301</v>
      </c>
      <c r="H1949" s="23">
        <v>20444277</v>
      </c>
      <c r="I1949" s="23">
        <v>20444270</v>
      </c>
      <c r="J1949" s="140">
        <v>44891</v>
      </c>
      <c r="K1949" s="23" t="s">
        <v>10240</v>
      </c>
      <c r="L1949" s="140">
        <v>44902</v>
      </c>
      <c r="S1949" s="23" t="s">
        <v>300</v>
      </c>
      <c r="T1949" s="23" t="s">
        <v>305</v>
      </c>
      <c r="U1949" s="23" t="s">
        <v>305</v>
      </c>
      <c r="V1949" s="23" t="s">
        <v>299</v>
      </c>
      <c r="W1949" s="23" t="s">
        <v>9337</v>
      </c>
      <c r="X1949" s="23">
        <v>1318</v>
      </c>
      <c r="Y1949" s="23">
        <v>1318</v>
      </c>
      <c r="Z1949" s="23">
        <v>13800</v>
      </c>
      <c r="AA1949" s="23">
        <v>13240</v>
      </c>
      <c r="AB1949" s="59" t="s">
        <v>10255</v>
      </c>
      <c r="AC1949" s="23">
        <v>1</v>
      </c>
      <c r="AF1949" s="23" t="s">
        <v>10241</v>
      </c>
      <c r="AG1949" s="23" t="s">
        <v>659</v>
      </c>
      <c r="AH1949" s="39">
        <v>44904</v>
      </c>
      <c r="AI1949" s="53" t="s">
        <v>299</v>
      </c>
      <c r="AJ1949" s="75" t="s">
        <v>10546</v>
      </c>
      <c r="AK1949" s="53">
        <v>44908</v>
      </c>
    </row>
    <row r="1950" spans="1:37" ht="48">
      <c r="A1950" s="75" t="s">
        <v>10232</v>
      </c>
      <c r="B1950" s="23" t="s">
        <v>10261</v>
      </c>
      <c r="C1950" s="140">
        <v>44893</v>
      </c>
      <c r="D1950" s="23" t="s">
        <v>729</v>
      </c>
      <c r="E1950" s="23" t="s">
        <v>752</v>
      </c>
      <c r="F1950" s="23" t="s">
        <v>2200</v>
      </c>
      <c r="G1950" s="23" t="s">
        <v>301</v>
      </c>
      <c r="H1950" s="23" t="s">
        <v>10242</v>
      </c>
      <c r="I1950" s="23" t="s">
        <v>10242</v>
      </c>
      <c r="J1950" s="140">
        <v>44891</v>
      </c>
      <c r="K1950" s="23" t="s">
        <v>10243</v>
      </c>
      <c r="L1950" s="140">
        <v>44902</v>
      </c>
      <c r="S1950" s="23" t="s">
        <v>300</v>
      </c>
      <c r="T1950" s="23" t="s">
        <v>305</v>
      </c>
      <c r="U1950" s="23" t="s">
        <v>305</v>
      </c>
      <c r="V1950" s="23" t="s">
        <v>299</v>
      </c>
      <c r="W1950" s="19" t="s">
        <v>10244</v>
      </c>
      <c r="X1950" s="23">
        <v>11008</v>
      </c>
      <c r="Y1950" s="23">
        <v>11008</v>
      </c>
      <c r="Z1950" s="23">
        <v>113300</v>
      </c>
      <c r="AA1950" s="23">
        <v>110900</v>
      </c>
      <c r="AB1950" s="19" t="s">
        <v>10351</v>
      </c>
      <c r="AC1950" s="23">
        <v>8</v>
      </c>
      <c r="AD1950" s="23">
        <v>0</v>
      </c>
      <c r="AE1950" s="23">
        <v>3</v>
      </c>
      <c r="AF1950" s="23" t="s">
        <v>3193</v>
      </c>
      <c r="AG1950" s="23" t="s">
        <v>659</v>
      </c>
      <c r="AH1950" s="39">
        <v>44904</v>
      </c>
      <c r="AI1950" s="53" t="s">
        <v>5851</v>
      </c>
      <c r="AJ1950" s="75" t="s">
        <v>10547</v>
      </c>
      <c r="AK1950" s="53">
        <v>44908</v>
      </c>
    </row>
    <row r="1951" spans="1:37">
      <c r="A1951" s="75" t="s">
        <v>10233</v>
      </c>
      <c r="B1951" s="23" t="s">
        <v>10290</v>
      </c>
      <c r="C1951" s="140">
        <v>44893</v>
      </c>
      <c r="D1951" s="23" t="s">
        <v>729</v>
      </c>
      <c r="E1951" s="23" t="s">
        <v>752</v>
      </c>
      <c r="F1951" s="23" t="s">
        <v>2200</v>
      </c>
      <c r="G1951" s="23" t="s">
        <v>301</v>
      </c>
      <c r="H1951" s="23">
        <v>20444271</v>
      </c>
      <c r="I1951" s="23">
        <v>20444271</v>
      </c>
      <c r="J1951" s="140">
        <v>44891</v>
      </c>
      <c r="K1951" s="23" t="s">
        <v>10245</v>
      </c>
      <c r="L1951" s="140">
        <v>44902</v>
      </c>
      <c r="S1951" s="23" t="s">
        <v>300</v>
      </c>
      <c r="T1951" s="23" t="s">
        <v>305</v>
      </c>
      <c r="U1951" s="23" t="s">
        <v>305</v>
      </c>
      <c r="V1951" s="23" t="s">
        <v>299</v>
      </c>
      <c r="W1951" s="23" t="s">
        <v>10246</v>
      </c>
      <c r="X1951" s="23">
        <v>1550</v>
      </c>
      <c r="Y1951" s="23">
        <v>1550</v>
      </c>
      <c r="Z1951" s="23">
        <v>15250</v>
      </c>
      <c r="AA1951" s="23">
        <v>14950</v>
      </c>
      <c r="AB1951" s="59" t="s">
        <v>10247</v>
      </c>
      <c r="AC1951" s="23">
        <v>1</v>
      </c>
      <c r="AF1951" s="23" t="s">
        <v>10241</v>
      </c>
      <c r="AG1951" s="23" t="s">
        <v>659</v>
      </c>
      <c r="AH1951" s="39">
        <v>44904</v>
      </c>
      <c r="AI1951" s="53" t="s">
        <v>299</v>
      </c>
      <c r="AJ1951" s="75" t="s">
        <v>10547</v>
      </c>
      <c r="AK1951" s="53">
        <v>44908</v>
      </c>
    </row>
    <row r="1952" spans="1:37" ht="64">
      <c r="A1952" s="75" t="s">
        <v>10234</v>
      </c>
      <c r="B1952" s="23" t="s">
        <v>10248</v>
      </c>
      <c r="C1952" s="140">
        <v>44893</v>
      </c>
      <c r="D1952" s="23" t="s">
        <v>729</v>
      </c>
      <c r="E1952" s="23" t="s">
        <v>752</v>
      </c>
      <c r="F1952" s="23" t="s">
        <v>2200</v>
      </c>
      <c r="G1952" s="23" t="s">
        <v>301</v>
      </c>
      <c r="H1952" s="23">
        <v>20444275</v>
      </c>
      <c r="I1952" s="23">
        <v>20444275</v>
      </c>
      <c r="J1952" s="140">
        <v>44891</v>
      </c>
      <c r="K1952" s="23" t="s">
        <v>10249</v>
      </c>
      <c r="L1952" s="140">
        <v>44902</v>
      </c>
      <c r="S1952" s="23" t="s">
        <v>300</v>
      </c>
      <c r="T1952" s="23" t="s">
        <v>305</v>
      </c>
      <c r="U1952" s="23" t="s">
        <v>305</v>
      </c>
      <c r="V1952" s="23" t="s">
        <v>299</v>
      </c>
      <c r="W1952" s="23" t="s">
        <v>9337</v>
      </c>
      <c r="X1952" s="23">
        <v>14498</v>
      </c>
      <c r="Y1952" s="23">
        <v>14498</v>
      </c>
      <c r="Z1952" s="23">
        <v>151800</v>
      </c>
      <c r="AA1952" s="23">
        <v>148500</v>
      </c>
      <c r="AB1952" s="19" t="s">
        <v>10352</v>
      </c>
      <c r="AC1952" s="23">
        <v>11</v>
      </c>
      <c r="AD1952" s="23">
        <v>0</v>
      </c>
      <c r="AE1952" s="23">
        <v>4</v>
      </c>
      <c r="AF1952" s="23" t="s">
        <v>3193</v>
      </c>
      <c r="AG1952" s="23" t="s">
        <v>659</v>
      </c>
      <c r="AH1952" s="39">
        <v>44904</v>
      </c>
      <c r="AI1952" s="53" t="s">
        <v>5851</v>
      </c>
      <c r="AJ1952" s="75" t="s">
        <v>10548</v>
      </c>
      <c r="AK1952" s="53">
        <v>44908</v>
      </c>
    </row>
    <row r="1953" spans="1:37" ht="64">
      <c r="A1953" s="75" t="s">
        <v>10235</v>
      </c>
      <c r="B1953" s="23" t="s">
        <v>10250</v>
      </c>
      <c r="C1953" s="140">
        <v>44893</v>
      </c>
      <c r="D1953" s="23" t="s">
        <v>729</v>
      </c>
      <c r="E1953" s="23" t="s">
        <v>752</v>
      </c>
      <c r="F1953" s="23" t="s">
        <v>2200</v>
      </c>
      <c r="G1953" s="23" t="s">
        <v>301</v>
      </c>
      <c r="H1953" s="23" t="s">
        <v>10251</v>
      </c>
      <c r="I1953" s="23" t="s">
        <v>10251</v>
      </c>
      <c r="J1953" s="140">
        <v>44891</v>
      </c>
      <c r="K1953" s="23" t="s">
        <v>10252</v>
      </c>
      <c r="L1953" s="140">
        <v>44902</v>
      </c>
      <c r="S1953" s="23" t="s">
        <v>300</v>
      </c>
      <c r="T1953" s="23" t="s">
        <v>305</v>
      </c>
      <c r="U1953" s="23" t="s">
        <v>305</v>
      </c>
      <c r="V1953" s="23" t="s">
        <v>299</v>
      </c>
      <c r="W1953" s="19" t="s">
        <v>10253</v>
      </c>
      <c r="X1953" s="23">
        <v>9226</v>
      </c>
      <c r="Y1953" s="23">
        <v>9226</v>
      </c>
      <c r="Z1953" s="23">
        <v>96600</v>
      </c>
      <c r="AA1953" s="23">
        <v>94500</v>
      </c>
      <c r="AB1953" s="19" t="s">
        <v>10353</v>
      </c>
      <c r="AC1953" s="23">
        <v>7</v>
      </c>
      <c r="AD1953" s="23">
        <v>0</v>
      </c>
      <c r="AE1953" s="23">
        <v>2</v>
      </c>
      <c r="AF1953" s="23" t="s">
        <v>10254</v>
      </c>
      <c r="AG1953" s="23" t="s">
        <v>659</v>
      </c>
      <c r="AH1953" s="39">
        <v>44904</v>
      </c>
      <c r="AI1953" s="53" t="s">
        <v>5851</v>
      </c>
      <c r="AJ1953" s="75" t="s">
        <v>10548</v>
      </c>
      <c r="AK1953" s="53">
        <v>44908</v>
      </c>
    </row>
    <row r="1954" spans="1:37">
      <c r="A1954" s="75" t="s">
        <v>10256</v>
      </c>
      <c r="B1954" s="23" t="s">
        <v>10257</v>
      </c>
      <c r="C1954" s="140">
        <v>44903</v>
      </c>
      <c r="D1954" s="23" t="s">
        <v>729</v>
      </c>
      <c r="E1954" s="23" t="s">
        <v>2919</v>
      </c>
      <c r="F1954" s="23" t="s">
        <v>5765</v>
      </c>
      <c r="G1954" s="23" t="s">
        <v>1724</v>
      </c>
      <c r="Q1954" s="141" t="s">
        <v>10258</v>
      </c>
      <c r="T1954" s="23" t="s">
        <v>3715</v>
      </c>
      <c r="U1954" s="23" t="s">
        <v>3715</v>
      </c>
      <c r="V1954" s="23" t="s">
        <v>298</v>
      </c>
      <c r="W1954" s="23" t="s">
        <v>10259</v>
      </c>
      <c r="Y1954" s="37">
        <v>21150</v>
      </c>
      <c r="Z1954" s="23">
        <v>68.400000000000006</v>
      </c>
      <c r="AB1954" s="23" t="s">
        <v>10260</v>
      </c>
      <c r="AC1954" s="23" t="s">
        <v>6029</v>
      </c>
      <c r="AD1954" s="23">
        <v>0</v>
      </c>
      <c r="AE1954" s="23">
        <v>1</v>
      </c>
      <c r="AF1954" s="23" t="s">
        <v>3260</v>
      </c>
      <c r="AG1954" s="23" t="s">
        <v>666</v>
      </c>
      <c r="AH1954" s="39">
        <v>44904</v>
      </c>
      <c r="AJ1954" s="75" t="s">
        <v>10549</v>
      </c>
      <c r="AK1954" s="53">
        <v>44905</v>
      </c>
    </row>
    <row r="1955" spans="1:37">
      <c r="A1955" s="75" t="s">
        <v>10262</v>
      </c>
      <c r="B1955" s="23" t="s">
        <v>10263</v>
      </c>
      <c r="C1955" s="140">
        <v>44898</v>
      </c>
      <c r="D1955" s="23" t="s">
        <v>729</v>
      </c>
      <c r="E1955" s="23" t="s">
        <v>752</v>
      </c>
      <c r="F1955" s="23" t="s">
        <v>5765</v>
      </c>
      <c r="G1955" s="23" t="s">
        <v>1724</v>
      </c>
      <c r="P1955" s="23" t="s">
        <v>10264</v>
      </c>
      <c r="Q1955" s="141" t="s">
        <v>10265</v>
      </c>
      <c r="T1955" s="23" t="s">
        <v>12031</v>
      </c>
      <c r="U1955" s="23" t="s">
        <v>12031</v>
      </c>
      <c r="V1955" s="23" t="s">
        <v>298</v>
      </c>
      <c r="W1955" s="23" t="s">
        <v>10266</v>
      </c>
      <c r="Y1955" s="23">
        <v>17980</v>
      </c>
      <c r="Z1955" s="23">
        <v>68</v>
      </c>
      <c r="AB1955" s="23" t="s">
        <v>10267</v>
      </c>
      <c r="AC1955" s="23" t="s">
        <v>3087</v>
      </c>
      <c r="AD1955" s="23">
        <v>0</v>
      </c>
      <c r="AE1955" s="23">
        <v>1</v>
      </c>
      <c r="AF1955" s="23" t="s">
        <v>3864</v>
      </c>
      <c r="AG1955" s="23" t="s">
        <v>10268</v>
      </c>
      <c r="AH1955" s="39">
        <v>44907</v>
      </c>
      <c r="AJ1955" s="75" t="s">
        <v>10550</v>
      </c>
      <c r="AK1955" s="53">
        <v>44908</v>
      </c>
    </row>
    <row r="1956" spans="1:37">
      <c r="A1956" s="75" t="s">
        <v>10269</v>
      </c>
      <c r="B1956" s="23" t="s">
        <v>10270</v>
      </c>
      <c r="C1956" s="140">
        <v>44902</v>
      </c>
      <c r="D1956" s="23" t="s">
        <v>729</v>
      </c>
      <c r="E1956" s="23" t="s">
        <v>752</v>
      </c>
      <c r="F1956" s="23" t="s">
        <v>10271</v>
      </c>
      <c r="G1956" s="23" t="s">
        <v>1724</v>
      </c>
      <c r="P1956" s="23" t="s">
        <v>10272</v>
      </c>
      <c r="Q1956" s="141" t="s">
        <v>10258</v>
      </c>
      <c r="T1956" s="23" t="s">
        <v>12031</v>
      </c>
      <c r="U1956" s="23" t="s">
        <v>12031</v>
      </c>
      <c r="V1956" s="23" t="s">
        <v>298</v>
      </c>
      <c r="W1956" s="23" t="s">
        <v>10273</v>
      </c>
      <c r="Y1956" s="23">
        <v>2480</v>
      </c>
      <c r="Z1956" s="23">
        <v>46</v>
      </c>
      <c r="AB1956" s="23" t="s">
        <v>10274</v>
      </c>
      <c r="AC1956" s="23" t="s">
        <v>10275</v>
      </c>
      <c r="AD1956" s="23">
        <v>0</v>
      </c>
      <c r="AE1956" s="23">
        <v>1</v>
      </c>
      <c r="AF1956" s="23" t="s">
        <v>10276</v>
      </c>
      <c r="AG1956" s="23" t="s">
        <v>10277</v>
      </c>
      <c r="AH1956" s="39">
        <v>44907</v>
      </c>
      <c r="AJ1956" s="75" t="s">
        <v>10551</v>
      </c>
      <c r="AK1956" s="53">
        <v>44908</v>
      </c>
    </row>
    <row r="1957" spans="1:37">
      <c r="A1957" s="104" t="s">
        <v>10282</v>
      </c>
      <c r="B1957" s="23" t="s">
        <v>10284</v>
      </c>
      <c r="C1957" s="140">
        <v>44900</v>
      </c>
      <c r="D1957" s="23" t="s">
        <v>729</v>
      </c>
      <c r="E1957" s="23" t="s">
        <v>752</v>
      </c>
      <c r="F1957" s="23" t="s">
        <v>57</v>
      </c>
      <c r="G1957" s="23" t="s">
        <v>57</v>
      </c>
      <c r="H1957" s="23" t="s">
        <v>10285</v>
      </c>
      <c r="I1957" s="23" t="s">
        <v>10285</v>
      </c>
      <c r="J1957" s="140">
        <v>44897</v>
      </c>
      <c r="K1957" s="23" t="s">
        <v>10286</v>
      </c>
      <c r="L1957" s="140">
        <v>44904</v>
      </c>
      <c r="P1957" s="23" t="s">
        <v>10287</v>
      </c>
      <c r="Q1957" s="141" t="s">
        <v>10288</v>
      </c>
      <c r="S1957" s="23" t="s">
        <v>183</v>
      </c>
      <c r="T1957" s="23" t="s">
        <v>305</v>
      </c>
      <c r="U1957" s="23" t="s">
        <v>305</v>
      </c>
      <c r="V1957" s="23" t="s">
        <v>233</v>
      </c>
      <c r="W1957" s="23" t="s">
        <v>112</v>
      </c>
      <c r="X1957" s="23">
        <v>33422.6</v>
      </c>
      <c r="Y1957" s="23">
        <v>33631.4</v>
      </c>
      <c r="Z1957" s="23">
        <v>36831.71</v>
      </c>
      <c r="AA1957" s="23">
        <v>34135.71</v>
      </c>
      <c r="AB1957" s="23" t="s">
        <v>10289</v>
      </c>
      <c r="AC1957" s="23" t="s">
        <v>791</v>
      </c>
      <c r="AD1957" s="23">
        <v>0</v>
      </c>
      <c r="AE1957" s="23">
        <v>2</v>
      </c>
      <c r="AF1957" s="23" t="s">
        <v>5478</v>
      </c>
      <c r="AG1957" s="23" t="s">
        <v>792</v>
      </c>
      <c r="AH1957" s="39">
        <v>44908</v>
      </c>
    </row>
    <row r="1958" spans="1:37">
      <c r="A1958" s="104" t="s">
        <v>10283</v>
      </c>
      <c r="B1958" s="23" t="s">
        <v>10297</v>
      </c>
      <c r="C1958" s="140">
        <v>44909</v>
      </c>
      <c r="D1958" s="23" t="s">
        <v>729</v>
      </c>
      <c r="E1958" s="23" t="s">
        <v>752</v>
      </c>
      <c r="F1958" s="23" t="s">
        <v>57</v>
      </c>
      <c r="G1958" s="23" t="s">
        <v>57</v>
      </c>
      <c r="H1958" s="23" t="s">
        <v>10298</v>
      </c>
      <c r="I1958" s="23" t="s">
        <v>10298</v>
      </c>
      <c r="J1958" s="140">
        <v>44903</v>
      </c>
      <c r="K1958" s="23" t="s">
        <v>10299</v>
      </c>
      <c r="L1958" s="140">
        <v>44910</v>
      </c>
      <c r="P1958" s="23" t="s">
        <v>10300</v>
      </c>
      <c r="S1958" s="23" t="s">
        <v>184</v>
      </c>
      <c r="T1958" s="23" t="s">
        <v>302</v>
      </c>
      <c r="U1958" s="23" t="s">
        <v>302</v>
      </c>
      <c r="V1958" s="23" t="s">
        <v>233</v>
      </c>
      <c r="W1958" s="23" t="s">
        <v>284</v>
      </c>
      <c r="X1958" s="37">
        <v>9068</v>
      </c>
      <c r="Y1958" s="37">
        <v>9368</v>
      </c>
      <c r="Z1958" s="37">
        <v>14853.38</v>
      </c>
      <c r="AA1958" s="37">
        <v>13549.26</v>
      </c>
      <c r="AB1958" s="23" t="s">
        <v>10301</v>
      </c>
      <c r="AC1958" s="23" t="s">
        <v>286</v>
      </c>
      <c r="AD1958" s="23">
        <v>0</v>
      </c>
      <c r="AE1958" s="23">
        <v>1</v>
      </c>
      <c r="AF1958" s="23" t="s">
        <v>5478</v>
      </c>
      <c r="AG1958" s="23" t="s">
        <v>787</v>
      </c>
      <c r="AH1958" s="39">
        <v>44910</v>
      </c>
    </row>
    <row r="1959" spans="1:37" ht="32">
      <c r="A1959" s="75" t="s">
        <v>10291</v>
      </c>
      <c r="B1959" s="23" t="s">
        <v>10292</v>
      </c>
      <c r="C1959" s="140">
        <v>44899</v>
      </c>
      <c r="D1959" s="23" t="s">
        <v>729</v>
      </c>
      <c r="E1959" s="23" t="s">
        <v>752</v>
      </c>
      <c r="F1959" s="23" t="s">
        <v>6957</v>
      </c>
      <c r="G1959" s="23" t="s">
        <v>3469</v>
      </c>
      <c r="H1959" s="23" t="s">
        <v>10293</v>
      </c>
      <c r="I1959" s="23" t="s">
        <v>10293</v>
      </c>
      <c r="J1959" s="140">
        <v>44890</v>
      </c>
      <c r="T1959" s="23" t="s">
        <v>12031</v>
      </c>
      <c r="U1959" s="23" t="s">
        <v>12031</v>
      </c>
      <c r="V1959" s="23" t="s">
        <v>299</v>
      </c>
      <c r="W1959" s="19" t="s">
        <v>10294</v>
      </c>
      <c r="AB1959" s="23" t="s">
        <v>8561</v>
      </c>
      <c r="AC1959" s="23">
        <v>6</v>
      </c>
      <c r="AF1959" s="23" t="s">
        <v>8561</v>
      </c>
      <c r="AG1959" s="23" t="s">
        <v>5716</v>
      </c>
      <c r="AH1959" s="39">
        <v>44909</v>
      </c>
      <c r="AI1959" s="53" t="s">
        <v>5706</v>
      </c>
      <c r="AJ1959" s="75" t="s">
        <v>10552</v>
      </c>
      <c r="AK1959" s="53">
        <v>44910</v>
      </c>
    </row>
    <row r="1960" spans="1:37" ht="304">
      <c r="A1960" s="75" t="s">
        <v>10295</v>
      </c>
      <c r="B1960" s="23" t="s">
        <v>10296</v>
      </c>
      <c r="C1960" s="140">
        <v>44899</v>
      </c>
      <c r="D1960" s="23" t="s">
        <v>729</v>
      </c>
      <c r="E1960" s="23" t="s">
        <v>752</v>
      </c>
      <c r="F1960" s="23" t="s">
        <v>2200</v>
      </c>
      <c r="G1960" s="23" t="s">
        <v>301</v>
      </c>
      <c r="H1960" s="23" t="s">
        <v>10336</v>
      </c>
      <c r="I1960" s="23" t="s">
        <v>10336</v>
      </c>
      <c r="J1960" s="140">
        <v>44898</v>
      </c>
      <c r="K1960" s="23" t="s">
        <v>10364</v>
      </c>
      <c r="L1960" s="140">
        <v>44918</v>
      </c>
      <c r="P1960" s="23" t="s">
        <v>10338</v>
      </c>
      <c r="Q1960" s="140" t="s">
        <v>10320</v>
      </c>
      <c r="S1960" s="23" t="s">
        <v>300</v>
      </c>
      <c r="T1960" s="23" t="s">
        <v>305</v>
      </c>
      <c r="U1960" s="23" t="s">
        <v>305</v>
      </c>
      <c r="V1960" s="23" t="s">
        <v>299</v>
      </c>
      <c r="W1960" s="19" t="s">
        <v>10337</v>
      </c>
      <c r="Y1960" s="23">
        <v>77868</v>
      </c>
      <c r="Z1960" s="23">
        <v>782700</v>
      </c>
      <c r="AB1960" s="19" t="s">
        <v>10396</v>
      </c>
      <c r="AC1960" s="23">
        <v>42</v>
      </c>
      <c r="AD1960" s="23">
        <v>0</v>
      </c>
      <c r="AE1960" s="23">
        <v>19</v>
      </c>
      <c r="AF1960" s="23" t="s">
        <v>9622</v>
      </c>
      <c r="AG1960" s="23" t="s">
        <v>1553</v>
      </c>
      <c r="AH1960" s="39">
        <v>44910</v>
      </c>
      <c r="AI1960" s="53" t="s">
        <v>5851</v>
      </c>
      <c r="AJ1960" s="75" t="s">
        <v>10553</v>
      </c>
      <c r="AK1960" s="53">
        <v>44915</v>
      </c>
    </row>
    <row r="1961" spans="1:37">
      <c r="A1961" s="75" t="s">
        <v>10302</v>
      </c>
      <c r="B1961" s="23" t="s">
        <v>10303</v>
      </c>
      <c r="C1961" s="140">
        <v>44907</v>
      </c>
      <c r="D1961" s="23" t="s">
        <v>729</v>
      </c>
      <c r="E1961" s="23" t="s">
        <v>752</v>
      </c>
      <c r="F1961" s="23" t="s">
        <v>5765</v>
      </c>
      <c r="G1961" s="23" t="s">
        <v>1724</v>
      </c>
      <c r="P1961" s="23" t="s">
        <v>10304</v>
      </c>
      <c r="Q1961" s="141" t="s">
        <v>10305</v>
      </c>
      <c r="T1961" s="23" t="s">
        <v>12031</v>
      </c>
      <c r="U1961" s="23" t="s">
        <v>12031</v>
      </c>
      <c r="V1961" s="23" t="s">
        <v>298</v>
      </c>
      <c r="W1961" s="23" t="s">
        <v>10306</v>
      </c>
      <c r="Y1961" s="38">
        <v>26810</v>
      </c>
      <c r="Z1961" s="23">
        <v>68</v>
      </c>
      <c r="AB1961" s="23" t="s">
        <v>10307</v>
      </c>
      <c r="AC1961" s="23" t="s">
        <v>10308</v>
      </c>
      <c r="AD1961" s="23">
        <v>0</v>
      </c>
      <c r="AE1961" s="23">
        <v>3</v>
      </c>
      <c r="AF1961" s="23" t="s">
        <v>6434</v>
      </c>
      <c r="AG1961" s="23" t="s">
        <v>666</v>
      </c>
      <c r="AH1961" s="39">
        <v>44911</v>
      </c>
      <c r="AJ1961" s="75" t="s">
        <v>10554</v>
      </c>
      <c r="AK1961" s="53">
        <v>44912</v>
      </c>
    </row>
    <row r="1962" spans="1:37">
      <c r="A1962" s="75" t="s">
        <v>10309</v>
      </c>
      <c r="B1962" s="23" t="s">
        <v>10310</v>
      </c>
      <c r="C1962" s="140">
        <v>44907</v>
      </c>
      <c r="F1962" s="23" t="s">
        <v>5765</v>
      </c>
      <c r="G1962" s="23" t="s">
        <v>1724</v>
      </c>
      <c r="W1962" s="23" t="s">
        <v>10311</v>
      </c>
      <c r="Y1962" s="38">
        <v>25910</v>
      </c>
      <c r="Z1962" s="23">
        <v>68</v>
      </c>
      <c r="AB1962" s="23" t="s">
        <v>10312</v>
      </c>
      <c r="AC1962" s="23" t="s">
        <v>6758</v>
      </c>
      <c r="AF1962" s="23" t="s">
        <v>6434</v>
      </c>
      <c r="AG1962" s="23" t="s">
        <v>666</v>
      </c>
      <c r="AH1962" s="39">
        <v>44911</v>
      </c>
    </row>
    <row r="1963" spans="1:37">
      <c r="A1963" s="75" t="s">
        <v>10313</v>
      </c>
      <c r="B1963" s="23" t="s">
        <v>10314</v>
      </c>
      <c r="C1963" s="140">
        <v>44907</v>
      </c>
      <c r="F1963" s="23" t="s">
        <v>5765</v>
      </c>
      <c r="G1963" s="23" t="s">
        <v>1724</v>
      </c>
      <c r="W1963" s="23" t="s">
        <v>10315</v>
      </c>
      <c r="Y1963" s="38">
        <v>26970</v>
      </c>
      <c r="Z1963" s="23">
        <v>71.085999999999999</v>
      </c>
      <c r="AB1963" s="23" t="s">
        <v>10316</v>
      </c>
      <c r="AC1963" s="23" t="s">
        <v>10317</v>
      </c>
      <c r="AF1963" s="23" t="s">
        <v>6434</v>
      </c>
      <c r="AG1963" s="23" t="s">
        <v>666</v>
      </c>
      <c r="AH1963" s="39">
        <v>44911</v>
      </c>
    </row>
    <row r="1964" spans="1:37">
      <c r="A1964" s="75" t="s">
        <v>10318</v>
      </c>
      <c r="B1964" s="23" t="s">
        <v>10319</v>
      </c>
      <c r="C1964" s="140">
        <v>44911</v>
      </c>
      <c r="D1964" s="23" t="s">
        <v>729</v>
      </c>
      <c r="E1964" s="23" t="s">
        <v>752</v>
      </c>
      <c r="F1964" s="23" t="s">
        <v>5765</v>
      </c>
      <c r="G1964" s="23" t="s">
        <v>1724</v>
      </c>
      <c r="Q1964" s="141" t="s">
        <v>10320</v>
      </c>
      <c r="T1964" s="23" t="s">
        <v>3715</v>
      </c>
      <c r="U1964" s="23" t="s">
        <v>3715</v>
      </c>
      <c r="V1964" s="23" t="s">
        <v>298</v>
      </c>
      <c r="W1964" s="23" t="s">
        <v>10321</v>
      </c>
      <c r="Y1964" s="38">
        <v>23100</v>
      </c>
      <c r="Z1964" s="23">
        <v>68.8</v>
      </c>
      <c r="AB1964" s="23" t="s">
        <v>10322</v>
      </c>
      <c r="AC1964" s="23" t="s">
        <v>10323</v>
      </c>
      <c r="AD1964" s="23">
        <v>0</v>
      </c>
      <c r="AE1964" s="23">
        <v>1</v>
      </c>
      <c r="AF1964" s="23" t="s">
        <v>7646</v>
      </c>
      <c r="AG1964" s="23" t="s">
        <v>666</v>
      </c>
      <c r="AH1964" s="39">
        <v>44914</v>
      </c>
      <c r="AJ1964" s="75" t="s">
        <v>10555</v>
      </c>
      <c r="AK1964" s="53">
        <v>44915</v>
      </c>
    </row>
    <row r="1965" spans="1:37">
      <c r="A1965" s="75" t="s">
        <v>10324</v>
      </c>
      <c r="B1965" s="23" t="s">
        <v>10325</v>
      </c>
      <c r="C1965" s="140">
        <v>44909</v>
      </c>
      <c r="D1965" s="23" t="s">
        <v>729</v>
      </c>
      <c r="E1965" s="23" t="s">
        <v>752</v>
      </c>
      <c r="F1965" s="23" t="s">
        <v>5765</v>
      </c>
      <c r="G1965" s="23" t="s">
        <v>1724</v>
      </c>
      <c r="P1965" s="23" t="s">
        <v>10335</v>
      </c>
      <c r="Q1965" s="141" t="s">
        <v>10320</v>
      </c>
      <c r="T1965" s="23" t="s">
        <v>12031</v>
      </c>
      <c r="U1965" s="23" t="s">
        <v>12031</v>
      </c>
      <c r="V1965" s="23" t="s">
        <v>298</v>
      </c>
      <c r="W1965" s="23" t="s">
        <v>10326</v>
      </c>
      <c r="Y1965" s="23">
        <v>25760</v>
      </c>
      <c r="Z1965" s="23">
        <v>66.5</v>
      </c>
      <c r="AB1965" s="23" t="s">
        <v>10327</v>
      </c>
      <c r="AC1965" s="23" t="s">
        <v>7552</v>
      </c>
      <c r="AD1965" s="23">
        <v>0</v>
      </c>
      <c r="AE1965" s="23">
        <v>2</v>
      </c>
      <c r="AF1965" s="23" t="s">
        <v>5478</v>
      </c>
      <c r="AG1965" s="23" t="s">
        <v>665</v>
      </c>
      <c r="AH1965" s="39">
        <v>44909</v>
      </c>
      <c r="AJ1965" s="75" t="s">
        <v>10556</v>
      </c>
      <c r="AK1965" s="53">
        <v>44915</v>
      </c>
    </row>
    <row r="1966" spans="1:37">
      <c r="A1966" s="75" t="s">
        <v>10328</v>
      </c>
      <c r="B1966" s="23" t="s">
        <v>10329</v>
      </c>
      <c r="C1966" s="140">
        <v>44911</v>
      </c>
      <c r="F1966" s="23" t="s">
        <v>5765</v>
      </c>
      <c r="G1966" s="23" t="s">
        <v>1724</v>
      </c>
      <c r="P1966" s="23" t="s">
        <v>10330</v>
      </c>
      <c r="Q1966" s="141" t="s">
        <v>10334</v>
      </c>
      <c r="W1966" s="23" t="s">
        <v>10331</v>
      </c>
      <c r="Y1966" s="23">
        <v>25670</v>
      </c>
      <c r="Z1966" s="23">
        <v>68</v>
      </c>
      <c r="AB1966" s="23" t="s">
        <v>10332</v>
      </c>
      <c r="AC1966" s="23" t="s">
        <v>10333</v>
      </c>
      <c r="AF1966" s="23" t="s">
        <v>7428</v>
      </c>
      <c r="AG1966" s="23" t="s">
        <v>665</v>
      </c>
      <c r="AH1966" s="39">
        <v>44909</v>
      </c>
    </row>
    <row r="1967" spans="1:37" ht="64">
      <c r="A1967" s="75" t="s">
        <v>10339</v>
      </c>
      <c r="B1967" s="23" t="s">
        <v>10340</v>
      </c>
      <c r="C1967" s="140">
        <v>44912</v>
      </c>
      <c r="D1967" s="23" t="s">
        <v>729</v>
      </c>
      <c r="E1967" s="23" t="s">
        <v>752</v>
      </c>
      <c r="F1967" s="23" t="s">
        <v>3456</v>
      </c>
      <c r="G1967" s="23" t="s">
        <v>1989</v>
      </c>
      <c r="H1967" s="23" t="s">
        <v>10341</v>
      </c>
      <c r="I1967" s="23" t="s">
        <v>10341</v>
      </c>
      <c r="J1967" s="140">
        <v>44910</v>
      </c>
      <c r="Q1967" s="141" t="s">
        <v>10342</v>
      </c>
      <c r="T1967" s="23" t="s">
        <v>12031</v>
      </c>
      <c r="U1967" s="23" t="s">
        <v>12031</v>
      </c>
      <c r="V1967" s="23" t="s">
        <v>299</v>
      </c>
      <c r="W1967" s="23" t="s">
        <v>10343</v>
      </c>
      <c r="AB1967" s="19" t="s">
        <v>10344</v>
      </c>
      <c r="AC1967" s="23">
        <v>8</v>
      </c>
      <c r="AD1967" s="23">
        <v>0</v>
      </c>
      <c r="AE1967" s="23">
        <v>4</v>
      </c>
      <c r="AF1967" s="23" t="s">
        <v>9622</v>
      </c>
      <c r="AG1967" s="23" t="s">
        <v>665</v>
      </c>
      <c r="AH1967" s="39">
        <v>44915</v>
      </c>
      <c r="AI1967" s="53" t="s">
        <v>3857</v>
      </c>
      <c r="AJ1967" s="64" t="s">
        <v>11078</v>
      </c>
      <c r="AK1967" s="53">
        <v>44917</v>
      </c>
    </row>
    <row r="1968" spans="1:37" ht="96">
      <c r="A1968" s="75" t="s">
        <v>10345</v>
      </c>
      <c r="B1968" s="23" t="s">
        <v>10347</v>
      </c>
      <c r="C1968" s="140">
        <v>44911</v>
      </c>
      <c r="D1968" s="23" t="s">
        <v>729</v>
      </c>
      <c r="E1968" s="23" t="s">
        <v>752</v>
      </c>
      <c r="F1968" s="23" t="s">
        <v>8377</v>
      </c>
      <c r="G1968" s="23" t="s">
        <v>5538</v>
      </c>
      <c r="H1968" s="23" t="s">
        <v>10346</v>
      </c>
      <c r="I1968" s="23" t="s">
        <v>10346</v>
      </c>
      <c r="J1968" s="140">
        <v>44903</v>
      </c>
      <c r="T1968" s="23" t="s">
        <v>12031</v>
      </c>
      <c r="U1968" s="23" t="s">
        <v>12031</v>
      </c>
      <c r="V1968" s="23" t="s">
        <v>299</v>
      </c>
      <c r="W1968" s="19" t="s">
        <v>10349</v>
      </c>
      <c r="AB1968" s="19" t="s">
        <v>10395</v>
      </c>
      <c r="AC1968" s="23">
        <v>12</v>
      </c>
      <c r="AD1968" s="23">
        <v>0</v>
      </c>
      <c r="AE1968" s="23">
        <v>6</v>
      </c>
      <c r="AF1968" s="23" t="s">
        <v>9622</v>
      </c>
      <c r="AG1968" s="23" t="s">
        <v>10348</v>
      </c>
      <c r="AH1968" s="39">
        <v>44917</v>
      </c>
      <c r="AI1968" s="53" t="s">
        <v>8387</v>
      </c>
      <c r="AJ1968" s="75" t="s">
        <v>10557</v>
      </c>
      <c r="AK1968" s="53">
        <v>44919</v>
      </c>
    </row>
    <row r="1969" spans="1:37">
      <c r="A1969" s="75" t="s">
        <v>10354</v>
      </c>
      <c r="B1969" s="23" t="s">
        <v>10360</v>
      </c>
      <c r="C1969" s="140">
        <v>44908</v>
      </c>
      <c r="D1969" s="23" t="s">
        <v>729</v>
      </c>
      <c r="E1969" s="23" t="s">
        <v>752</v>
      </c>
      <c r="F1969" s="23" t="s">
        <v>5115</v>
      </c>
      <c r="G1969" s="23" t="s">
        <v>3469</v>
      </c>
      <c r="H1969" s="23" t="s">
        <v>10357</v>
      </c>
      <c r="I1969" s="23" t="s">
        <v>10357</v>
      </c>
      <c r="J1969" s="140">
        <v>44900</v>
      </c>
      <c r="T1969" s="23" t="s">
        <v>12031</v>
      </c>
      <c r="U1969" s="23" t="s">
        <v>12031</v>
      </c>
      <c r="V1969" s="23" t="s">
        <v>299</v>
      </c>
      <c r="W1969" s="23" t="s">
        <v>10358</v>
      </c>
      <c r="AB1969" s="23" t="s">
        <v>8561</v>
      </c>
      <c r="AC1969" s="23">
        <v>4</v>
      </c>
      <c r="AF1969" s="23" t="s">
        <v>8561</v>
      </c>
      <c r="AG1969" s="23" t="s">
        <v>10359</v>
      </c>
      <c r="AH1969" s="39">
        <v>44918</v>
      </c>
      <c r="AI1969" s="53" t="s">
        <v>5706</v>
      </c>
      <c r="AJ1969" s="75" t="s">
        <v>10558</v>
      </c>
      <c r="AK1969" s="53">
        <v>44922</v>
      </c>
    </row>
    <row r="1970" spans="1:37">
      <c r="A1970" s="75" t="s">
        <v>10355</v>
      </c>
      <c r="B1970" s="23" t="s">
        <v>10356</v>
      </c>
      <c r="C1970" s="140">
        <v>44909</v>
      </c>
      <c r="D1970" s="23" t="s">
        <v>729</v>
      </c>
      <c r="E1970" s="23" t="s">
        <v>752</v>
      </c>
      <c r="F1970" s="23" t="s">
        <v>8493</v>
      </c>
      <c r="G1970" s="23" t="s">
        <v>3469</v>
      </c>
      <c r="H1970" s="23" t="s">
        <v>10361</v>
      </c>
      <c r="I1970" s="23" t="s">
        <v>10361</v>
      </c>
      <c r="J1970" s="140">
        <v>44900</v>
      </c>
      <c r="T1970" s="23" t="s">
        <v>12031</v>
      </c>
      <c r="U1970" s="23" t="s">
        <v>12031</v>
      </c>
      <c r="V1970" s="23" t="s">
        <v>299</v>
      </c>
      <c r="W1970" s="23" t="s">
        <v>10358</v>
      </c>
      <c r="AB1970" s="23" t="s">
        <v>8561</v>
      </c>
      <c r="AC1970" s="23">
        <v>10</v>
      </c>
      <c r="AF1970" s="23" t="s">
        <v>8561</v>
      </c>
      <c r="AG1970" s="23" t="s">
        <v>10359</v>
      </c>
      <c r="AH1970" s="39">
        <v>44918</v>
      </c>
      <c r="AI1970" s="53" t="s">
        <v>5706</v>
      </c>
      <c r="AJ1970" s="75" t="s">
        <v>10559</v>
      </c>
      <c r="AK1970" s="53">
        <v>44922</v>
      </c>
    </row>
    <row r="1971" spans="1:37">
      <c r="A1971" s="75" t="s">
        <v>10363</v>
      </c>
      <c r="B1971" s="23" t="s">
        <v>10365</v>
      </c>
      <c r="C1971" s="140">
        <v>44899</v>
      </c>
      <c r="D1971" s="23" t="s">
        <v>729</v>
      </c>
      <c r="E1971" s="23" t="s">
        <v>752</v>
      </c>
      <c r="F1971" s="23" t="s">
        <v>2200</v>
      </c>
      <c r="G1971" s="23" t="s">
        <v>301</v>
      </c>
      <c r="H1971" s="23">
        <v>55012189</v>
      </c>
      <c r="I1971" s="23">
        <v>55012189</v>
      </c>
      <c r="J1971" s="140">
        <v>44890</v>
      </c>
      <c r="K1971" s="23" t="s">
        <v>10366</v>
      </c>
      <c r="L1971" s="140">
        <v>44900</v>
      </c>
      <c r="P1971" s="23" t="s">
        <v>10367</v>
      </c>
      <c r="Q1971" s="141" t="s">
        <v>10368</v>
      </c>
      <c r="T1971" s="23" t="s">
        <v>305</v>
      </c>
      <c r="U1971" s="23" t="s">
        <v>305</v>
      </c>
      <c r="V1971" s="23" t="s">
        <v>298</v>
      </c>
      <c r="W1971" s="23" t="s">
        <v>3141</v>
      </c>
      <c r="X1971" s="23">
        <v>5210</v>
      </c>
      <c r="Y1971" s="37">
        <v>7080</v>
      </c>
      <c r="Z1971" s="23">
        <v>63.9</v>
      </c>
      <c r="AA1971" s="37">
        <v>53800</v>
      </c>
      <c r="AB1971" s="59" t="s">
        <v>10369</v>
      </c>
      <c r="AC1971" s="23" t="s">
        <v>8462</v>
      </c>
      <c r="AD1971" s="23">
        <v>0</v>
      </c>
      <c r="AE1971" s="23">
        <v>1</v>
      </c>
      <c r="AF1971" s="23" t="s">
        <v>5478</v>
      </c>
      <c r="AG1971" s="23" t="s">
        <v>5950</v>
      </c>
      <c r="AH1971" s="39">
        <v>44919</v>
      </c>
      <c r="AJ1971" s="75" t="s">
        <v>10560</v>
      </c>
      <c r="AK1971" s="53">
        <v>44922</v>
      </c>
    </row>
    <row r="1972" spans="1:37">
      <c r="A1972" s="104" t="s">
        <v>10370</v>
      </c>
      <c r="B1972" s="23" t="s">
        <v>10371</v>
      </c>
      <c r="C1972" s="140">
        <v>44915</v>
      </c>
      <c r="D1972" s="23" t="s">
        <v>729</v>
      </c>
      <c r="E1972" s="23" t="s">
        <v>752</v>
      </c>
      <c r="F1972" s="23" t="s">
        <v>57</v>
      </c>
      <c r="G1972" s="23" t="s">
        <v>57</v>
      </c>
      <c r="H1972" s="23" t="s">
        <v>10372</v>
      </c>
      <c r="I1972" s="23" t="s">
        <v>10372</v>
      </c>
      <c r="J1972" s="140">
        <v>44911</v>
      </c>
      <c r="K1972" s="23" t="s">
        <v>10373</v>
      </c>
      <c r="L1972" s="140">
        <v>44918</v>
      </c>
      <c r="P1972" s="23" t="s">
        <v>10374</v>
      </c>
      <c r="Q1972" s="141" t="s">
        <v>10375</v>
      </c>
      <c r="S1972" s="23" t="s">
        <v>183</v>
      </c>
      <c r="T1972" s="23" t="s">
        <v>305</v>
      </c>
      <c r="U1972" s="23" t="s">
        <v>305</v>
      </c>
      <c r="V1972" s="23" t="s">
        <v>233</v>
      </c>
      <c r="W1972" s="23" t="s">
        <v>112</v>
      </c>
      <c r="X1972" s="23">
        <v>16108.1</v>
      </c>
      <c r="Y1972" s="23">
        <v>16212.5</v>
      </c>
      <c r="Z1972" s="23">
        <v>17751.13</v>
      </c>
      <c r="AA1972" s="23">
        <v>16403.13</v>
      </c>
      <c r="AB1972" s="23" t="s">
        <v>10376</v>
      </c>
      <c r="AC1972" s="23" t="s">
        <v>8007</v>
      </c>
      <c r="AD1972" s="23">
        <v>0</v>
      </c>
      <c r="AE1972" s="23">
        <v>1</v>
      </c>
      <c r="AF1972" s="23" t="s">
        <v>5478</v>
      </c>
      <c r="AG1972" s="23" t="s">
        <v>792</v>
      </c>
      <c r="AH1972" s="39">
        <v>44921</v>
      </c>
    </row>
    <row r="1973" spans="1:37" ht="16">
      <c r="A1973" s="75" t="s">
        <v>10378</v>
      </c>
      <c r="B1973" s="23" t="s">
        <v>10379</v>
      </c>
      <c r="C1973" s="140">
        <v>44919</v>
      </c>
      <c r="D1973" s="23" t="s">
        <v>729</v>
      </c>
      <c r="E1973" s="23" t="s">
        <v>752</v>
      </c>
      <c r="F1973" s="23" t="s">
        <v>6113</v>
      </c>
      <c r="G1973" s="23" t="s">
        <v>5538</v>
      </c>
      <c r="H1973" s="23" t="s">
        <v>10380</v>
      </c>
      <c r="I1973" s="23" t="s">
        <v>10380</v>
      </c>
      <c r="J1973" s="140">
        <v>44908</v>
      </c>
      <c r="T1973" s="23" t="s">
        <v>12031</v>
      </c>
      <c r="U1973" s="23" t="s">
        <v>12031</v>
      </c>
      <c r="V1973" s="23" t="s">
        <v>299</v>
      </c>
      <c r="W1973" s="23" t="s">
        <v>10381</v>
      </c>
      <c r="AB1973" s="60" t="s">
        <v>51</v>
      </c>
      <c r="AC1973" s="23">
        <v>6</v>
      </c>
      <c r="AD1973" s="23">
        <v>0</v>
      </c>
      <c r="AE1973" s="23">
        <v>2</v>
      </c>
      <c r="AF1973" s="23" t="s">
        <v>9622</v>
      </c>
      <c r="AG1973" s="23" t="s">
        <v>5388</v>
      </c>
      <c r="AH1973" s="39">
        <v>44925</v>
      </c>
      <c r="AI1973" s="53" t="s">
        <v>9962</v>
      </c>
      <c r="AJ1973" s="75" t="s">
        <v>10561</v>
      </c>
      <c r="AK1973" s="53">
        <v>44929</v>
      </c>
    </row>
    <row r="1974" spans="1:37">
      <c r="A1974" s="75" t="s">
        <v>10382</v>
      </c>
      <c r="B1974" s="23" t="s">
        <v>10383</v>
      </c>
      <c r="C1974" s="140">
        <v>44917</v>
      </c>
      <c r="D1974" s="23" t="s">
        <v>729</v>
      </c>
      <c r="E1974" s="23" t="s">
        <v>752</v>
      </c>
      <c r="F1974" s="23" t="s">
        <v>5765</v>
      </c>
      <c r="G1974" s="23" t="s">
        <v>1724</v>
      </c>
      <c r="P1974" s="23" t="s">
        <v>10384</v>
      </c>
      <c r="Q1974" s="141" t="s">
        <v>10385</v>
      </c>
      <c r="T1974" s="23" t="s">
        <v>12031</v>
      </c>
      <c r="U1974" s="23" t="s">
        <v>12031</v>
      </c>
      <c r="V1974" s="23" t="s">
        <v>298</v>
      </c>
      <c r="W1974" s="23" t="s">
        <v>7080</v>
      </c>
      <c r="Y1974" s="38">
        <v>25560</v>
      </c>
      <c r="Z1974" s="23">
        <v>68</v>
      </c>
      <c r="AB1974" s="23" t="s">
        <v>10386</v>
      </c>
      <c r="AC1974" s="23" t="s">
        <v>10387</v>
      </c>
      <c r="AD1974" s="23">
        <v>0</v>
      </c>
      <c r="AE1974" s="23">
        <v>2</v>
      </c>
      <c r="AF1974" s="23" t="s">
        <v>6434</v>
      </c>
      <c r="AG1974" s="23" t="s">
        <v>637</v>
      </c>
      <c r="AH1974" s="39">
        <v>44928</v>
      </c>
      <c r="AJ1974" s="75" t="s">
        <v>10562</v>
      </c>
      <c r="AK1974" s="53">
        <v>44929</v>
      </c>
    </row>
    <row r="1975" spans="1:37">
      <c r="A1975" s="75" t="s">
        <v>10388</v>
      </c>
      <c r="B1975" s="23">
        <v>223433976</v>
      </c>
      <c r="C1975" s="140">
        <v>44914</v>
      </c>
      <c r="F1975" s="23" t="s">
        <v>5765</v>
      </c>
      <c r="G1975" s="23" t="s">
        <v>1724</v>
      </c>
      <c r="P1975" s="23" t="s">
        <v>10389</v>
      </c>
      <c r="Q1975" s="141" t="s">
        <v>10390</v>
      </c>
      <c r="W1975" s="23" t="s">
        <v>7158</v>
      </c>
      <c r="Y1975" s="23">
        <v>10160</v>
      </c>
      <c r="Z1975" s="23">
        <v>40</v>
      </c>
      <c r="AB1975" s="23" t="s">
        <v>10391</v>
      </c>
      <c r="AC1975" s="23" t="s">
        <v>10392</v>
      </c>
      <c r="AF1975" s="23" t="s">
        <v>9730</v>
      </c>
      <c r="AG1975" s="23" t="s">
        <v>10393</v>
      </c>
      <c r="AH1975" s="39">
        <v>44928</v>
      </c>
    </row>
    <row r="1976" spans="1:37">
      <c r="A1976" s="75" t="s">
        <v>10397</v>
      </c>
      <c r="B1976" s="23" t="s">
        <v>10398</v>
      </c>
      <c r="C1976" s="140">
        <v>44919</v>
      </c>
      <c r="D1976" s="23" t="s">
        <v>729</v>
      </c>
      <c r="E1976" s="23" t="s">
        <v>752</v>
      </c>
      <c r="F1976" s="23" t="s">
        <v>5765</v>
      </c>
      <c r="G1976" s="23" t="s">
        <v>1724</v>
      </c>
      <c r="P1976" s="23" t="s">
        <v>10399</v>
      </c>
      <c r="Q1976" s="141" t="s">
        <v>10400</v>
      </c>
      <c r="T1976" s="23" t="s">
        <v>12031</v>
      </c>
      <c r="U1976" s="23" t="s">
        <v>12031</v>
      </c>
      <c r="V1976" s="23" t="s">
        <v>298</v>
      </c>
      <c r="W1976" s="23" t="s">
        <v>6359</v>
      </c>
      <c r="Y1976" s="37">
        <v>1740.65</v>
      </c>
      <c r="Z1976" s="23">
        <v>21.92</v>
      </c>
      <c r="AB1976" s="23" t="s">
        <v>10401</v>
      </c>
      <c r="AC1976" s="23" t="s">
        <v>10404</v>
      </c>
      <c r="AD1976" s="23">
        <v>1</v>
      </c>
      <c r="AE1976" s="23">
        <v>0</v>
      </c>
      <c r="AF1976" s="23" t="s">
        <v>10402</v>
      </c>
      <c r="AG1976" s="23" t="s">
        <v>10403</v>
      </c>
      <c r="AH1976" s="39">
        <v>44929</v>
      </c>
      <c r="AJ1976" s="75" t="s">
        <v>10563</v>
      </c>
      <c r="AK1976" s="53">
        <v>44930</v>
      </c>
    </row>
    <row r="1977" spans="1:37">
      <c r="A1977" s="75" t="s">
        <v>10405</v>
      </c>
      <c r="B1977" s="23">
        <v>222926387</v>
      </c>
      <c r="C1977" s="140">
        <v>44890</v>
      </c>
      <c r="D1977" s="23" t="s">
        <v>729</v>
      </c>
      <c r="E1977" s="23" t="s">
        <v>752</v>
      </c>
      <c r="F1977" s="23" t="s">
        <v>10407</v>
      </c>
      <c r="G1977" s="23" t="s">
        <v>5538</v>
      </c>
      <c r="H1977" s="23" t="s">
        <v>10408</v>
      </c>
      <c r="I1977" s="23" t="s">
        <v>10408</v>
      </c>
      <c r="J1977" s="140">
        <v>44889</v>
      </c>
      <c r="Q1977" s="141"/>
      <c r="T1977" s="23" t="s">
        <v>12031</v>
      </c>
      <c r="U1977" s="23" t="s">
        <v>12031</v>
      </c>
      <c r="V1977" s="23" t="s">
        <v>299</v>
      </c>
      <c r="W1977" s="23" t="s">
        <v>10409</v>
      </c>
      <c r="AB1977" s="59" t="s">
        <v>10410</v>
      </c>
      <c r="AC1977" s="23">
        <v>2</v>
      </c>
      <c r="AD1977" s="23">
        <v>0</v>
      </c>
      <c r="AE1977" s="23">
        <v>1</v>
      </c>
      <c r="AF1977" s="23" t="s">
        <v>9622</v>
      </c>
      <c r="AG1977" s="23" t="s">
        <v>10411</v>
      </c>
      <c r="AH1977" s="39">
        <v>44930</v>
      </c>
      <c r="AI1977" s="53" t="s">
        <v>10412</v>
      </c>
      <c r="AJ1977" s="75" t="s">
        <v>10564</v>
      </c>
      <c r="AK1977" s="53">
        <v>44933</v>
      </c>
    </row>
    <row r="1978" spans="1:37" ht="32">
      <c r="A1978" s="75" t="s">
        <v>10406</v>
      </c>
      <c r="B1978" s="23" t="s">
        <v>10420</v>
      </c>
      <c r="C1978" s="140">
        <v>44914</v>
      </c>
      <c r="D1978" s="23" t="s">
        <v>729</v>
      </c>
      <c r="E1978" s="23" t="s">
        <v>752</v>
      </c>
      <c r="F1978" s="23" t="s">
        <v>7668</v>
      </c>
      <c r="G1978" s="23" t="s">
        <v>1989</v>
      </c>
      <c r="H1978" s="23" t="s">
        <v>10421</v>
      </c>
      <c r="I1978" s="23" t="s">
        <v>10421</v>
      </c>
      <c r="J1978" s="140">
        <v>44904</v>
      </c>
      <c r="Q1978" s="141"/>
      <c r="T1978" s="23" t="s">
        <v>12031</v>
      </c>
      <c r="U1978" s="23" t="s">
        <v>12031</v>
      </c>
      <c r="V1978" s="23" t="s">
        <v>299</v>
      </c>
      <c r="W1978" s="19" t="s">
        <v>10422</v>
      </c>
      <c r="AB1978" s="23" t="s">
        <v>10423</v>
      </c>
      <c r="AC1978" s="23">
        <v>2</v>
      </c>
      <c r="AD1978" s="23">
        <v>0</v>
      </c>
      <c r="AE1978" s="23">
        <v>1</v>
      </c>
      <c r="AF1978" s="23" t="s">
        <v>9622</v>
      </c>
      <c r="AG1978" s="23" t="s">
        <v>10424</v>
      </c>
      <c r="AH1978" s="39">
        <v>44930</v>
      </c>
      <c r="AI1978" s="53" t="s">
        <v>10426</v>
      </c>
    </row>
    <row r="1979" spans="1:37" ht="32">
      <c r="A1979" s="75" t="s">
        <v>10428</v>
      </c>
      <c r="B1979" s="23" t="s">
        <v>10429</v>
      </c>
      <c r="C1979" s="140">
        <v>44903</v>
      </c>
      <c r="D1979" s="23" t="s">
        <v>729</v>
      </c>
      <c r="E1979" s="23" t="s">
        <v>752</v>
      </c>
      <c r="F1979" s="23" t="s">
        <v>10430</v>
      </c>
      <c r="G1979" s="23" t="s">
        <v>10431</v>
      </c>
      <c r="P1979" s="23" t="s">
        <v>10467</v>
      </c>
      <c r="Q1979" s="141" t="s">
        <v>10468</v>
      </c>
      <c r="T1979" s="23" t="s">
        <v>305</v>
      </c>
      <c r="U1979" s="23" t="s">
        <v>305</v>
      </c>
      <c r="V1979" s="23" t="s">
        <v>298</v>
      </c>
      <c r="W1979" s="23" t="s">
        <v>10432</v>
      </c>
      <c r="Y1979" s="23">
        <v>29889</v>
      </c>
      <c r="Z1979" s="23">
        <v>50</v>
      </c>
      <c r="AB1979" s="19" t="s">
        <v>10466</v>
      </c>
      <c r="AC1979" s="23" t="s">
        <v>10433</v>
      </c>
      <c r="AD1979" s="23">
        <v>2</v>
      </c>
      <c r="AE1979" s="23">
        <v>0</v>
      </c>
      <c r="AF1979" s="19" t="s">
        <v>10434</v>
      </c>
      <c r="AG1979" s="23" t="s">
        <v>10435</v>
      </c>
      <c r="AH1979" s="39">
        <v>44930</v>
      </c>
      <c r="AJ1979" s="75" t="s">
        <v>10565</v>
      </c>
      <c r="AK1979" s="53">
        <v>44944</v>
      </c>
    </row>
    <row r="1980" spans="1:37">
      <c r="A1980" s="75" t="s">
        <v>10439</v>
      </c>
      <c r="B1980" s="23" t="s">
        <v>10440</v>
      </c>
      <c r="C1980" s="140">
        <v>44928</v>
      </c>
      <c r="D1980" s="23" t="s">
        <v>729</v>
      </c>
      <c r="E1980" s="23" t="s">
        <v>752</v>
      </c>
      <c r="F1980" s="23" t="s">
        <v>5765</v>
      </c>
      <c r="G1980" s="23" t="s">
        <v>1724</v>
      </c>
      <c r="P1980" s="23" t="s">
        <v>10441</v>
      </c>
      <c r="Q1980" s="141" t="s">
        <v>10442</v>
      </c>
      <c r="T1980" s="23" t="s">
        <v>12031</v>
      </c>
      <c r="U1980" s="23" t="s">
        <v>12031</v>
      </c>
      <c r="V1980" s="23" t="s">
        <v>298</v>
      </c>
      <c r="W1980" s="23" t="s">
        <v>6875</v>
      </c>
      <c r="Y1980" s="23">
        <v>22610</v>
      </c>
      <c r="Z1980" s="23">
        <v>68</v>
      </c>
      <c r="AB1980" s="23" t="s">
        <v>10444</v>
      </c>
      <c r="AC1980" s="23" t="s">
        <v>10443</v>
      </c>
      <c r="AD1980" s="23">
        <v>0</v>
      </c>
      <c r="AE1980" s="23">
        <v>5</v>
      </c>
      <c r="AF1980" s="23" t="s">
        <v>5478</v>
      </c>
      <c r="AG1980" s="23" t="s">
        <v>637</v>
      </c>
      <c r="AH1980" s="39">
        <v>44932</v>
      </c>
      <c r="AJ1980" s="75" t="s">
        <v>10566</v>
      </c>
      <c r="AK1980" s="53">
        <v>44933</v>
      </c>
    </row>
    <row r="1981" spans="1:37" ht="48">
      <c r="A1981" s="75" t="s">
        <v>10445</v>
      </c>
      <c r="B1981" s="23" t="s">
        <v>10446</v>
      </c>
      <c r="C1981" s="140">
        <v>44928</v>
      </c>
      <c r="F1981" s="23" t="s">
        <v>5765</v>
      </c>
      <c r="G1981" s="23" t="s">
        <v>1724</v>
      </c>
      <c r="W1981" s="23" t="s">
        <v>6359</v>
      </c>
      <c r="Y1981" s="23">
        <v>39240</v>
      </c>
      <c r="Z1981" s="23">
        <v>133</v>
      </c>
      <c r="AB1981" s="19" t="s">
        <v>10447</v>
      </c>
      <c r="AC1981" s="23" t="s">
        <v>10448</v>
      </c>
      <c r="AF1981" s="19" t="s">
        <v>7368</v>
      </c>
      <c r="AG1981" s="23" t="s">
        <v>637</v>
      </c>
      <c r="AH1981" s="39">
        <v>44932</v>
      </c>
    </row>
    <row r="1982" spans="1:37" ht="64">
      <c r="A1982" s="75" t="s">
        <v>10449</v>
      </c>
      <c r="B1982" s="23" t="s">
        <v>10450</v>
      </c>
      <c r="C1982" s="140">
        <v>44928</v>
      </c>
      <c r="F1982" s="23" t="s">
        <v>5765</v>
      </c>
      <c r="G1982" s="23" t="s">
        <v>1724</v>
      </c>
      <c r="W1982" s="23" t="s">
        <v>6359</v>
      </c>
      <c r="Y1982" s="23">
        <v>40078</v>
      </c>
      <c r="Z1982" s="23">
        <v>136</v>
      </c>
      <c r="AB1982" s="19" t="s">
        <v>10451</v>
      </c>
      <c r="AC1982" s="23" t="s">
        <v>10452</v>
      </c>
      <c r="AF1982" s="19" t="s">
        <v>7368</v>
      </c>
      <c r="AG1982" s="23" t="s">
        <v>637</v>
      </c>
      <c r="AH1982" s="39">
        <v>44932</v>
      </c>
    </row>
    <row r="1983" spans="1:37">
      <c r="A1983" s="75" t="s">
        <v>10453</v>
      </c>
      <c r="B1983" s="23" t="s">
        <v>10454</v>
      </c>
      <c r="C1983" s="140">
        <v>44930</v>
      </c>
      <c r="D1983" s="23" t="s">
        <v>729</v>
      </c>
      <c r="E1983" s="23" t="s">
        <v>752</v>
      </c>
      <c r="F1983" s="23" t="s">
        <v>5765</v>
      </c>
      <c r="G1983" s="23" t="s">
        <v>1724</v>
      </c>
      <c r="P1983" s="23" t="s">
        <v>10455</v>
      </c>
      <c r="Q1983" s="141" t="s">
        <v>10456</v>
      </c>
      <c r="T1983" s="23" t="s">
        <v>12031</v>
      </c>
      <c r="U1983" s="23" t="s">
        <v>12031</v>
      </c>
      <c r="V1983" s="23" t="s">
        <v>298</v>
      </c>
      <c r="W1983" s="23" t="s">
        <v>532</v>
      </c>
      <c r="Y1983" s="23">
        <v>8980</v>
      </c>
      <c r="Z1983" s="23">
        <v>68</v>
      </c>
      <c r="AB1983" s="23" t="s">
        <v>10457</v>
      </c>
      <c r="AC1983" s="23" t="s">
        <v>10458</v>
      </c>
      <c r="AD1983" s="23">
        <v>0</v>
      </c>
      <c r="AE1983" s="23">
        <v>1</v>
      </c>
      <c r="AF1983" s="23" t="s">
        <v>7428</v>
      </c>
      <c r="AG1983" s="23" t="s">
        <v>665</v>
      </c>
      <c r="AH1983" s="39">
        <v>44932</v>
      </c>
      <c r="AJ1983" s="75" t="s">
        <v>10567</v>
      </c>
      <c r="AK1983" s="53">
        <v>44933</v>
      </c>
    </row>
    <row r="1984" spans="1:37">
      <c r="A1984" s="75" t="s">
        <v>10459</v>
      </c>
      <c r="B1984" s="23">
        <v>223268846</v>
      </c>
      <c r="C1984" s="140">
        <v>44924</v>
      </c>
      <c r="D1984" s="23" t="s">
        <v>729</v>
      </c>
      <c r="E1984" s="23" t="s">
        <v>752</v>
      </c>
      <c r="F1984" s="23" t="s">
        <v>2200</v>
      </c>
      <c r="G1984" s="23" t="s">
        <v>301</v>
      </c>
      <c r="H1984" s="23">
        <v>230106</v>
      </c>
      <c r="I1984" s="23">
        <v>230106</v>
      </c>
      <c r="J1984" s="140">
        <v>44899</v>
      </c>
      <c r="P1984" s="23" t="s">
        <v>10460</v>
      </c>
      <c r="Q1984" s="141" t="s">
        <v>10461</v>
      </c>
      <c r="T1984" s="23" t="s">
        <v>12031</v>
      </c>
      <c r="U1984" s="23" t="s">
        <v>12031</v>
      </c>
      <c r="V1984" s="23" t="s">
        <v>298</v>
      </c>
      <c r="W1984" s="23" t="s">
        <v>10462</v>
      </c>
      <c r="Y1984" s="23">
        <v>1500</v>
      </c>
      <c r="AB1984" s="59" t="s">
        <v>10463</v>
      </c>
      <c r="AC1984" s="23" t="s">
        <v>10464</v>
      </c>
      <c r="AD1984" s="23">
        <v>1</v>
      </c>
      <c r="AE1984" s="23">
        <v>0</v>
      </c>
      <c r="AF1984" s="23" t="s">
        <v>10465</v>
      </c>
      <c r="AG1984" s="23" t="s">
        <v>3913</v>
      </c>
      <c r="AH1984" s="39">
        <v>44937</v>
      </c>
      <c r="AJ1984" s="75" t="s">
        <v>10568</v>
      </c>
      <c r="AK1984" s="53">
        <v>44940</v>
      </c>
    </row>
    <row r="1985" spans="1:37" ht="32">
      <c r="A1985" s="75" t="s">
        <v>10470</v>
      </c>
      <c r="B1985" s="23" t="s">
        <v>10469</v>
      </c>
      <c r="C1985" s="140">
        <v>44934</v>
      </c>
      <c r="D1985" s="23" t="s">
        <v>729</v>
      </c>
      <c r="E1985" s="23" t="s">
        <v>752</v>
      </c>
      <c r="F1985" s="23" t="s">
        <v>3456</v>
      </c>
      <c r="G1985" s="23" t="s">
        <v>1989</v>
      </c>
      <c r="H1985" s="23" t="s">
        <v>10471</v>
      </c>
      <c r="I1985" s="23" t="s">
        <v>10471</v>
      </c>
      <c r="J1985" s="140">
        <v>44932</v>
      </c>
      <c r="T1985" s="23" t="s">
        <v>12031</v>
      </c>
      <c r="U1985" s="23" t="s">
        <v>12031</v>
      </c>
      <c r="V1985" s="23" t="s">
        <v>299</v>
      </c>
      <c r="W1985" s="19" t="s">
        <v>10472</v>
      </c>
      <c r="AB1985" s="19" t="s">
        <v>10473</v>
      </c>
      <c r="AC1985" s="23">
        <v>4</v>
      </c>
      <c r="AD1985" s="23">
        <v>0</v>
      </c>
      <c r="AE1985" s="23">
        <v>2</v>
      </c>
      <c r="AF1985" s="23" t="s">
        <v>9622</v>
      </c>
      <c r="AG1985" s="23" t="s">
        <v>665</v>
      </c>
      <c r="AH1985" s="39">
        <v>44939</v>
      </c>
      <c r="AI1985" s="53" t="s">
        <v>3857</v>
      </c>
      <c r="AJ1985" s="75" t="s">
        <v>11169</v>
      </c>
      <c r="AK1985" s="53">
        <v>44940</v>
      </c>
    </row>
    <row r="1986" spans="1:37">
      <c r="A1986" s="75" t="s">
        <v>10474</v>
      </c>
      <c r="B1986" s="23" t="s">
        <v>10475</v>
      </c>
      <c r="C1986" s="140">
        <v>44935</v>
      </c>
      <c r="D1986" s="23" t="s">
        <v>729</v>
      </c>
      <c r="E1986" s="23" t="s">
        <v>752</v>
      </c>
      <c r="F1986" s="23" t="s">
        <v>5765</v>
      </c>
      <c r="G1986" s="23" t="s">
        <v>1724</v>
      </c>
      <c r="P1986" s="23" t="s">
        <v>10476</v>
      </c>
      <c r="Q1986" s="141" t="s">
        <v>10477</v>
      </c>
      <c r="T1986" s="23" t="s">
        <v>12031</v>
      </c>
      <c r="U1986" s="23" t="s">
        <v>12031</v>
      </c>
      <c r="V1986" s="23" t="s">
        <v>298</v>
      </c>
      <c r="W1986" s="23" t="s">
        <v>6359</v>
      </c>
      <c r="Y1986" s="23">
        <v>21080</v>
      </c>
      <c r="Z1986" s="23">
        <v>68</v>
      </c>
      <c r="AB1986" s="23" t="s">
        <v>10478</v>
      </c>
      <c r="AC1986" s="23" t="s">
        <v>7059</v>
      </c>
      <c r="AD1986" s="23">
        <v>0</v>
      </c>
      <c r="AE1986" s="23">
        <v>5</v>
      </c>
      <c r="AF1986" s="23" t="s">
        <v>5478</v>
      </c>
      <c r="AG1986" s="23" t="s">
        <v>637</v>
      </c>
      <c r="AH1986" s="39">
        <v>44939</v>
      </c>
      <c r="AJ1986" s="75" t="s">
        <v>10569</v>
      </c>
      <c r="AK1986" s="53">
        <v>44940</v>
      </c>
    </row>
    <row r="1987" spans="1:37" ht="64">
      <c r="A1987" s="75" t="s">
        <v>10479</v>
      </c>
      <c r="B1987" s="23" t="s">
        <v>10480</v>
      </c>
      <c r="C1987" s="140">
        <v>44935</v>
      </c>
      <c r="F1987" s="23" t="s">
        <v>7082</v>
      </c>
      <c r="G1987" s="23" t="s">
        <v>1724</v>
      </c>
      <c r="W1987" s="23" t="s">
        <v>7080</v>
      </c>
      <c r="Y1987" s="23">
        <v>48050</v>
      </c>
      <c r="Z1987" s="23">
        <v>136</v>
      </c>
      <c r="AB1987" s="19" t="s">
        <v>10484</v>
      </c>
      <c r="AC1987" s="23" t="s">
        <v>10481</v>
      </c>
      <c r="AF1987" s="19" t="s">
        <v>7368</v>
      </c>
      <c r="AG1987" s="23" t="s">
        <v>637</v>
      </c>
      <c r="AH1987" s="39">
        <v>44939</v>
      </c>
    </row>
    <row r="1988" spans="1:37" ht="64">
      <c r="A1988" s="75" t="s">
        <v>10482</v>
      </c>
      <c r="B1988" s="23" t="s">
        <v>10483</v>
      </c>
      <c r="C1988" s="140">
        <v>44935</v>
      </c>
      <c r="F1988" s="23" t="s">
        <v>7082</v>
      </c>
      <c r="G1988" s="23" t="s">
        <v>1724</v>
      </c>
      <c r="W1988" s="23" t="s">
        <v>7080</v>
      </c>
      <c r="Y1988" s="23">
        <v>42500</v>
      </c>
      <c r="Z1988" s="23">
        <v>134</v>
      </c>
      <c r="AB1988" s="19" t="s">
        <v>10485</v>
      </c>
      <c r="AC1988" s="23" t="s">
        <v>10486</v>
      </c>
      <c r="AF1988" s="19" t="s">
        <v>7368</v>
      </c>
      <c r="AG1988" s="23" t="s">
        <v>637</v>
      </c>
      <c r="AH1988" s="39">
        <v>44939</v>
      </c>
    </row>
    <row r="1989" spans="1:37" ht="176">
      <c r="A1989" s="75" t="s">
        <v>10487</v>
      </c>
      <c r="B1989" s="23" t="s">
        <v>10488</v>
      </c>
      <c r="C1989" s="140">
        <v>44928</v>
      </c>
      <c r="D1989" s="23" t="s">
        <v>729</v>
      </c>
      <c r="E1989" s="23" t="s">
        <v>752</v>
      </c>
      <c r="F1989" s="23" t="s">
        <v>2200</v>
      </c>
      <c r="G1989" s="23" t="s">
        <v>301</v>
      </c>
      <c r="H1989" s="23">
        <v>20450555</v>
      </c>
      <c r="I1989" s="23">
        <v>20450555</v>
      </c>
      <c r="J1989" s="140">
        <v>44925</v>
      </c>
      <c r="K1989" s="23" t="s">
        <v>10489</v>
      </c>
      <c r="L1989" s="140">
        <v>44937</v>
      </c>
      <c r="P1989" s="23" t="s">
        <v>10498</v>
      </c>
      <c r="Q1989" s="141" t="s">
        <v>10499</v>
      </c>
      <c r="T1989" s="23" t="s">
        <v>305</v>
      </c>
      <c r="U1989" s="23" t="s">
        <v>305</v>
      </c>
      <c r="V1989" s="23" t="s">
        <v>299</v>
      </c>
      <c r="W1989" s="23" t="s">
        <v>9762</v>
      </c>
      <c r="Y1989" s="23">
        <v>28996</v>
      </c>
      <c r="Z1989" s="23">
        <v>264000</v>
      </c>
      <c r="AB1989" s="19" t="s">
        <v>10608</v>
      </c>
      <c r="AC1989" s="23">
        <v>22</v>
      </c>
      <c r="AD1989" s="23">
        <v>0</v>
      </c>
      <c r="AE1989" s="23">
        <v>11</v>
      </c>
      <c r="AF1989" s="23" t="s">
        <v>9622</v>
      </c>
      <c r="AG1989" s="23" t="s">
        <v>1553</v>
      </c>
      <c r="AH1989" s="39">
        <v>44939</v>
      </c>
      <c r="AI1989" s="53" t="s">
        <v>5851</v>
      </c>
      <c r="AJ1989" s="75" t="s">
        <v>10570</v>
      </c>
      <c r="AK1989" s="53">
        <v>44943</v>
      </c>
    </row>
    <row r="1990" spans="1:37">
      <c r="A1990" s="75" t="s">
        <v>10490</v>
      </c>
      <c r="B1990" s="23" t="s">
        <v>10511</v>
      </c>
      <c r="C1990" s="140">
        <v>44928</v>
      </c>
      <c r="D1990" s="23" t="s">
        <v>729</v>
      </c>
      <c r="E1990" s="23" t="s">
        <v>752</v>
      </c>
      <c r="F1990" s="23" t="s">
        <v>2200</v>
      </c>
      <c r="G1990" s="23" t="s">
        <v>301</v>
      </c>
      <c r="H1990" s="23" t="s">
        <v>10512</v>
      </c>
      <c r="I1990" s="23" t="s">
        <v>10512</v>
      </c>
      <c r="J1990" s="140">
        <v>44905</v>
      </c>
      <c r="K1990" s="23" t="s">
        <v>10513</v>
      </c>
      <c r="L1990" s="140">
        <v>44936</v>
      </c>
      <c r="P1990" s="23" t="s">
        <v>10514</v>
      </c>
      <c r="Q1990" s="141" t="s">
        <v>10477</v>
      </c>
      <c r="T1990" s="23" t="s">
        <v>305</v>
      </c>
      <c r="U1990" s="23" t="s">
        <v>305</v>
      </c>
      <c r="V1990" s="23" t="s">
        <v>298</v>
      </c>
      <c r="W1990" s="23" t="s">
        <v>10517</v>
      </c>
      <c r="Y1990" s="23">
        <v>6624</v>
      </c>
      <c r="Z1990" s="23">
        <v>65</v>
      </c>
      <c r="AA1990" s="38">
        <v>73920</v>
      </c>
      <c r="AB1990" s="59" t="s">
        <v>10515</v>
      </c>
      <c r="AC1990" s="23" t="s">
        <v>10516</v>
      </c>
      <c r="AD1990" s="23">
        <v>0</v>
      </c>
      <c r="AE1990" s="23">
        <v>1</v>
      </c>
      <c r="AF1990" s="23" t="s">
        <v>3864</v>
      </c>
      <c r="AG1990" s="23" t="s">
        <v>2045</v>
      </c>
      <c r="AH1990" s="39">
        <v>44939</v>
      </c>
      <c r="AJ1990" s="75" t="s">
        <v>10571</v>
      </c>
      <c r="AK1990" s="53">
        <v>44944</v>
      </c>
    </row>
    <row r="1991" spans="1:37" ht="160">
      <c r="A1991" s="75" t="s">
        <v>10495</v>
      </c>
      <c r="B1991" s="23" t="s">
        <v>10496</v>
      </c>
      <c r="C1991" s="140">
        <v>44929</v>
      </c>
      <c r="D1991" s="23" t="s">
        <v>729</v>
      </c>
      <c r="E1991" s="23" t="s">
        <v>752</v>
      </c>
      <c r="F1991" s="23" t="s">
        <v>2200</v>
      </c>
      <c r="G1991" s="23" t="s">
        <v>301</v>
      </c>
      <c r="H1991" s="23" t="s">
        <v>10497</v>
      </c>
      <c r="I1991" s="23" t="s">
        <v>10497</v>
      </c>
      <c r="J1991" s="140">
        <v>44928</v>
      </c>
      <c r="K1991" s="23" t="s">
        <v>10510</v>
      </c>
      <c r="L1991" s="140">
        <v>44936</v>
      </c>
      <c r="P1991" s="23" t="s">
        <v>10498</v>
      </c>
      <c r="Q1991" s="141" t="s">
        <v>10499</v>
      </c>
      <c r="T1991" s="23" t="s">
        <v>305</v>
      </c>
      <c r="U1991" s="23" t="s">
        <v>305</v>
      </c>
      <c r="V1991" s="23" t="s">
        <v>299</v>
      </c>
      <c r="W1991" s="23" t="s">
        <v>9337</v>
      </c>
      <c r="X1991" s="23">
        <v>39540</v>
      </c>
      <c r="Y1991" s="23">
        <v>39540</v>
      </c>
      <c r="Z1991" s="23">
        <v>412800</v>
      </c>
      <c r="AB1991" s="19" t="s">
        <v>10626</v>
      </c>
      <c r="AC1991" s="23">
        <v>30</v>
      </c>
      <c r="AD1991" s="23">
        <v>0</v>
      </c>
      <c r="AE1991" s="23">
        <v>10</v>
      </c>
      <c r="AF1991" s="23" t="s">
        <v>9622</v>
      </c>
      <c r="AG1991" s="23" t="s">
        <v>1553</v>
      </c>
      <c r="AH1991" s="39">
        <v>44942</v>
      </c>
      <c r="AI1991" s="53" t="s">
        <v>5851</v>
      </c>
      <c r="AJ1991" s="75" t="s">
        <v>10572</v>
      </c>
      <c r="AK1991" s="53">
        <v>44943</v>
      </c>
    </row>
    <row r="1992" spans="1:37">
      <c r="A1992" s="75" t="s">
        <v>10500</v>
      </c>
      <c r="B1992" s="23" t="s">
        <v>10501</v>
      </c>
      <c r="C1992" s="140">
        <v>44934</v>
      </c>
      <c r="D1992" s="23" t="s">
        <v>729</v>
      </c>
      <c r="E1992" s="23" t="s">
        <v>752</v>
      </c>
      <c r="F1992" s="23" t="s">
        <v>7082</v>
      </c>
      <c r="G1992" s="23" t="s">
        <v>1724</v>
      </c>
      <c r="P1992" s="23" t="s">
        <v>10502</v>
      </c>
      <c r="Q1992" s="141" t="s">
        <v>10499</v>
      </c>
      <c r="T1992" s="23" t="s">
        <v>12031</v>
      </c>
      <c r="U1992" s="23" t="s">
        <v>12031</v>
      </c>
      <c r="V1992" s="23" t="s">
        <v>299</v>
      </c>
      <c r="W1992" s="23" t="s">
        <v>6875</v>
      </c>
      <c r="Y1992" s="38">
        <v>21530</v>
      </c>
      <c r="Z1992" s="23">
        <v>68</v>
      </c>
      <c r="AB1992" s="23" t="s">
        <v>10503</v>
      </c>
      <c r="AC1992" s="23" t="s">
        <v>10504</v>
      </c>
      <c r="AD1992" s="23">
        <v>0</v>
      </c>
      <c r="AE1992" s="23">
        <v>1</v>
      </c>
      <c r="AF1992" s="23" t="s">
        <v>6434</v>
      </c>
      <c r="AG1992" s="23" t="s">
        <v>637</v>
      </c>
      <c r="AH1992" s="39">
        <v>44942</v>
      </c>
      <c r="AJ1992" s="75" t="s">
        <v>10573</v>
      </c>
      <c r="AK1992" s="53">
        <v>44943</v>
      </c>
    </row>
    <row r="1993" spans="1:37">
      <c r="A1993" s="104" t="s">
        <v>10505</v>
      </c>
      <c r="B1993" s="23" t="s">
        <v>10506</v>
      </c>
      <c r="C1993" s="140">
        <v>44943</v>
      </c>
      <c r="D1993" s="23" t="s">
        <v>729</v>
      </c>
      <c r="E1993" s="23" t="s">
        <v>752</v>
      </c>
      <c r="F1993" s="23" t="s">
        <v>57</v>
      </c>
      <c r="G1993" s="23" t="s">
        <v>57</v>
      </c>
      <c r="H1993" s="23" t="s">
        <v>10507</v>
      </c>
      <c r="I1993" s="23" t="s">
        <v>10507</v>
      </c>
      <c r="J1993" s="140">
        <v>44938</v>
      </c>
      <c r="P1993" s="23" t="s">
        <v>10508</v>
      </c>
      <c r="S1993" s="23" t="s">
        <v>184</v>
      </c>
      <c r="T1993" s="23" t="s">
        <v>302</v>
      </c>
      <c r="U1993" s="23" t="s">
        <v>302</v>
      </c>
      <c r="V1993" s="23" t="s">
        <v>233</v>
      </c>
      <c r="W1993" s="23" t="s">
        <v>10509</v>
      </c>
      <c r="X1993" s="37">
        <v>7423.8</v>
      </c>
      <c r="Y1993" s="37">
        <v>7567.5</v>
      </c>
      <c r="Z1993" s="37">
        <v>14548.24</v>
      </c>
      <c r="AA1993" s="37">
        <v>13194.14</v>
      </c>
      <c r="AB1993" s="23" t="s">
        <v>9192</v>
      </c>
      <c r="AC1993" s="23" t="s">
        <v>9692</v>
      </c>
      <c r="AD1993" s="23">
        <v>0</v>
      </c>
      <c r="AE1993" s="23">
        <v>1</v>
      </c>
      <c r="AF1993" s="23" t="s">
        <v>5478</v>
      </c>
      <c r="AG1993" s="23" t="s">
        <v>787</v>
      </c>
      <c r="AH1993" s="39">
        <v>44939</v>
      </c>
    </row>
    <row r="1994" spans="1:37">
      <c r="A1994" s="75" t="s">
        <v>10518</v>
      </c>
      <c r="B1994" s="23">
        <v>224300895</v>
      </c>
      <c r="C1994" s="140">
        <v>44941</v>
      </c>
      <c r="D1994" s="23" t="s">
        <v>729</v>
      </c>
      <c r="E1994" s="23" t="s">
        <v>752</v>
      </c>
      <c r="F1994" s="23" t="s">
        <v>5765</v>
      </c>
      <c r="G1994" s="23" t="s">
        <v>1724</v>
      </c>
      <c r="P1994" s="23" t="s">
        <v>10519</v>
      </c>
      <c r="Q1994" s="141" t="s">
        <v>10520</v>
      </c>
      <c r="T1994" s="23" t="s">
        <v>12031</v>
      </c>
      <c r="U1994" s="23" t="s">
        <v>12031</v>
      </c>
      <c r="V1994" s="23" t="s">
        <v>298</v>
      </c>
      <c r="W1994" s="23" t="s">
        <v>10521</v>
      </c>
      <c r="Y1994" s="23">
        <v>8960</v>
      </c>
      <c r="Z1994" s="23">
        <v>46.75</v>
      </c>
      <c r="AB1994" s="23" t="s">
        <v>10522</v>
      </c>
      <c r="AC1994" s="23" t="s">
        <v>3579</v>
      </c>
      <c r="AD1994" s="23">
        <v>0</v>
      </c>
      <c r="AE1994" s="23">
        <v>1</v>
      </c>
      <c r="AF1994" s="23" t="s">
        <v>9730</v>
      </c>
      <c r="AG1994" s="23" t="s">
        <v>665</v>
      </c>
      <c r="AH1994" s="39">
        <v>44944</v>
      </c>
      <c r="AJ1994" s="75" t="s">
        <v>10574</v>
      </c>
      <c r="AK1994" s="53">
        <v>44945</v>
      </c>
    </row>
    <row r="1995" spans="1:37">
      <c r="A1995" s="75" t="s">
        <v>10523</v>
      </c>
      <c r="B1995" s="23" t="s">
        <v>10524</v>
      </c>
      <c r="C1995" s="140">
        <v>44942</v>
      </c>
      <c r="D1995" s="23" t="s">
        <v>729</v>
      </c>
      <c r="E1995" s="23" t="s">
        <v>752</v>
      </c>
      <c r="F1995" s="23" t="s">
        <v>7082</v>
      </c>
      <c r="G1995" s="23" t="s">
        <v>1724</v>
      </c>
      <c r="P1995" s="23" t="s">
        <v>10525</v>
      </c>
      <c r="Q1995" s="141" t="s">
        <v>10526</v>
      </c>
      <c r="T1995" s="23" t="s">
        <v>12031</v>
      </c>
      <c r="U1995" s="23" t="s">
        <v>12031</v>
      </c>
      <c r="V1995" s="23" t="s">
        <v>298</v>
      </c>
      <c r="W1995" s="23" t="s">
        <v>6875</v>
      </c>
      <c r="Y1995" s="23">
        <v>24090</v>
      </c>
      <c r="Z1995" s="23">
        <v>68</v>
      </c>
      <c r="AB1995" s="23" t="s">
        <v>10527</v>
      </c>
      <c r="AC1995" s="23" t="s">
        <v>10528</v>
      </c>
      <c r="AD1995" s="23">
        <v>0</v>
      </c>
      <c r="AE1995" s="23">
        <v>3</v>
      </c>
      <c r="AF1995" s="23" t="s">
        <v>5478</v>
      </c>
      <c r="AG1995" s="23" t="s">
        <v>637</v>
      </c>
      <c r="AH1995" s="39">
        <v>44946</v>
      </c>
      <c r="AJ1995" s="75" t="s">
        <v>10575</v>
      </c>
      <c r="AK1995" s="53">
        <v>44947</v>
      </c>
    </row>
    <row r="1996" spans="1:37">
      <c r="A1996" s="75" t="s">
        <v>10529</v>
      </c>
      <c r="B1996" s="23" t="s">
        <v>10530</v>
      </c>
      <c r="C1996" s="140">
        <v>44945</v>
      </c>
      <c r="F1996" s="23" t="s">
        <v>7082</v>
      </c>
      <c r="G1996" s="23" t="s">
        <v>1724</v>
      </c>
      <c r="P1996" s="23" t="s">
        <v>10531</v>
      </c>
      <c r="Q1996" s="141" t="s">
        <v>10532</v>
      </c>
      <c r="W1996" s="23" t="s">
        <v>7080</v>
      </c>
      <c r="Y1996" s="23">
        <v>23500</v>
      </c>
      <c r="Z1996" s="23">
        <v>68</v>
      </c>
      <c r="AB1996" s="23" t="s">
        <v>10533</v>
      </c>
      <c r="AC1996" s="23" t="s">
        <v>10534</v>
      </c>
      <c r="AF1996" s="23" t="s">
        <v>5478</v>
      </c>
      <c r="AG1996" s="23" t="s">
        <v>637</v>
      </c>
      <c r="AH1996" s="39">
        <v>44946</v>
      </c>
    </row>
    <row r="1997" spans="1:37">
      <c r="A1997" s="75" t="s">
        <v>10535</v>
      </c>
      <c r="B1997" s="23" t="s">
        <v>10536</v>
      </c>
      <c r="C1997" s="140">
        <v>44940</v>
      </c>
      <c r="F1997" s="23" t="s">
        <v>5765</v>
      </c>
      <c r="G1997" s="23" t="s">
        <v>1724</v>
      </c>
      <c r="P1997" s="23" t="s">
        <v>10525</v>
      </c>
      <c r="Q1997" s="141" t="s">
        <v>10526</v>
      </c>
      <c r="W1997" s="23" t="s">
        <v>6359</v>
      </c>
      <c r="Y1997" s="23">
        <v>21060</v>
      </c>
      <c r="Z1997" s="23">
        <v>68</v>
      </c>
      <c r="AB1997" s="23" t="s">
        <v>10537</v>
      </c>
      <c r="AC1997" s="23" t="s">
        <v>6505</v>
      </c>
      <c r="AF1997" s="23" t="s">
        <v>5478</v>
      </c>
      <c r="AG1997" s="23" t="s">
        <v>665</v>
      </c>
      <c r="AH1997" s="39">
        <v>44946</v>
      </c>
    </row>
    <row r="1998" spans="1:37" ht="32">
      <c r="A1998" s="104" t="s">
        <v>10538</v>
      </c>
      <c r="B1998" s="23" t="s">
        <v>10539</v>
      </c>
      <c r="C1998" s="140">
        <v>44942</v>
      </c>
      <c r="D1998" s="23" t="s">
        <v>729</v>
      </c>
      <c r="E1998" s="23" t="s">
        <v>752</v>
      </c>
      <c r="F1998" s="23" t="s">
        <v>57</v>
      </c>
      <c r="G1998" s="23" t="s">
        <v>57</v>
      </c>
      <c r="H1998" s="23" t="s">
        <v>10540</v>
      </c>
      <c r="I1998" s="23" t="s">
        <v>10540</v>
      </c>
      <c r="J1998" s="140">
        <v>44938</v>
      </c>
      <c r="K1998" s="23" t="s">
        <v>10541</v>
      </c>
      <c r="L1998" s="140">
        <v>44944</v>
      </c>
      <c r="P1998" s="23" t="s">
        <v>10609</v>
      </c>
      <c r="Q1998" s="141" t="s">
        <v>10610</v>
      </c>
      <c r="S1998" s="23" t="s">
        <v>183</v>
      </c>
      <c r="T1998" s="23" t="s">
        <v>305</v>
      </c>
      <c r="U1998" s="23" t="s">
        <v>305</v>
      </c>
      <c r="V1998" s="23" t="s">
        <v>233</v>
      </c>
      <c r="W1998" s="23" t="s">
        <v>143</v>
      </c>
      <c r="X1998" s="37">
        <v>32459.8</v>
      </c>
      <c r="Y1998" s="37">
        <v>32670.1</v>
      </c>
      <c r="Z1998" s="23">
        <v>33207.47</v>
      </c>
      <c r="AA1998" s="23">
        <v>30651.47</v>
      </c>
      <c r="AB1998" s="19" t="s">
        <v>10542</v>
      </c>
      <c r="AC1998" s="23" t="s">
        <v>7351</v>
      </c>
      <c r="AD1998" s="23">
        <v>0</v>
      </c>
      <c r="AE1998" s="23">
        <v>2</v>
      </c>
      <c r="AF1998" s="23" t="s">
        <v>5478</v>
      </c>
      <c r="AG1998" s="23" t="s">
        <v>792</v>
      </c>
      <c r="AH1998" s="39">
        <v>44945</v>
      </c>
      <c r="AJ1998" s="75" t="s">
        <v>10570</v>
      </c>
      <c r="AK1998" s="53">
        <v>44943</v>
      </c>
    </row>
    <row r="1999" spans="1:37" ht="176">
      <c r="A1999" s="75" t="s">
        <v>10576</v>
      </c>
      <c r="B1999" s="23" t="s">
        <v>10577</v>
      </c>
      <c r="C1999" s="140">
        <v>44934</v>
      </c>
      <c r="D1999" s="23" t="s">
        <v>729</v>
      </c>
      <c r="E1999" s="23" t="s">
        <v>752</v>
      </c>
      <c r="F1999" s="23" t="s">
        <v>2200</v>
      </c>
      <c r="G1999" s="23" t="s">
        <v>301</v>
      </c>
      <c r="H1999" s="23" t="s">
        <v>10591</v>
      </c>
      <c r="I1999" s="23" t="s">
        <v>10591</v>
      </c>
      <c r="J1999" s="140">
        <v>44933</v>
      </c>
      <c r="K1999" s="23" t="s">
        <v>10600</v>
      </c>
      <c r="L1999" s="140">
        <v>44942</v>
      </c>
      <c r="T1999" s="23" t="s">
        <v>305</v>
      </c>
      <c r="U1999" s="23" t="s">
        <v>305</v>
      </c>
      <c r="V1999" s="23" t="s">
        <v>299</v>
      </c>
      <c r="W1999" s="19" t="s">
        <v>10590</v>
      </c>
      <c r="Y1999" s="23">
        <v>43561</v>
      </c>
      <c r="Z1999" s="23">
        <v>433500</v>
      </c>
      <c r="AB1999" s="19" t="s">
        <v>10644</v>
      </c>
      <c r="AC1999" s="23">
        <v>23</v>
      </c>
      <c r="AD1999" s="23">
        <v>1</v>
      </c>
      <c r="AE1999" s="23">
        <v>10</v>
      </c>
      <c r="AF1999" s="23" t="s">
        <v>9622</v>
      </c>
      <c r="AG1999" s="23" t="s">
        <v>1553</v>
      </c>
      <c r="AH1999" s="39">
        <v>44951</v>
      </c>
      <c r="AI1999" s="53" t="s">
        <v>5851</v>
      </c>
      <c r="AJ1999" s="75" t="s">
        <v>10816</v>
      </c>
      <c r="AK1999" s="53">
        <v>44952</v>
      </c>
    </row>
    <row r="2000" spans="1:37">
      <c r="A2000" s="75" t="s">
        <v>10578</v>
      </c>
      <c r="B2000" s="23" t="s">
        <v>10579</v>
      </c>
      <c r="C2000" s="140">
        <v>44945</v>
      </c>
      <c r="D2000" s="23" t="s">
        <v>729</v>
      </c>
      <c r="E2000" s="23" t="s">
        <v>752</v>
      </c>
      <c r="F2000" s="23" t="s">
        <v>5765</v>
      </c>
      <c r="G2000" s="23" t="s">
        <v>1724</v>
      </c>
      <c r="P2000" s="23" t="s">
        <v>10580</v>
      </c>
      <c r="Q2000" s="141" t="s">
        <v>10581</v>
      </c>
      <c r="T2000" s="23" t="s">
        <v>12031</v>
      </c>
      <c r="U2000" s="23" t="s">
        <v>12031</v>
      </c>
      <c r="V2000" s="23" t="s">
        <v>298</v>
      </c>
      <c r="W2000" s="23" t="s">
        <v>10582</v>
      </c>
      <c r="Y2000" s="38">
        <v>5620</v>
      </c>
      <c r="Z2000" s="23">
        <v>56</v>
      </c>
      <c r="AB2000" s="23" t="s">
        <v>10583</v>
      </c>
      <c r="AC2000" s="23" t="s">
        <v>10584</v>
      </c>
      <c r="AD2000" s="23">
        <v>0</v>
      </c>
      <c r="AE2000" s="23">
        <v>1</v>
      </c>
      <c r="AF2000" s="23" t="s">
        <v>6434</v>
      </c>
      <c r="AG2000" s="23" t="s">
        <v>1585</v>
      </c>
      <c r="AH2000" s="39">
        <v>44950</v>
      </c>
      <c r="AJ2000" s="75" t="s">
        <v>10817</v>
      </c>
      <c r="AK2000" s="53">
        <v>44951</v>
      </c>
    </row>
    <row r="2001" spans="1:37">
      <c r="A2001" s="75" t="s">
        <v>10592</v>
      </c>
      <c r="B2001" s="23" t="s">
        <v>10594</v>
      </c>
      <c r="C2001" s="140">
        <v>44946</v>
      </c>
      <c r="D2001" s="23" t="s">
        <v>729</v>
      </c>
      <c r="E2001" s="23" t="s">
        <v>752</v>
      </c>
      <c r="F2001" s="23" t="s">
        <v>5115</v>
      </c>
      <c r="G2001" s="23" t="s">
        <v>3469</v>
      </c>
      <c r="H2001" s="23" t="s">
        <v>10595</v>
      </c>
      <c r="I2001" s="23" t="s">
        <v>10595</v>
      </c>
      <c r="J2001" s="140">
        <v>44910</v>
      </c>
      <c r="T2001" s="23" t="s">
        <v>12031</v>
      </c>
      <c r="U2001" s="23" t="s">
        <v>12031</v>
      </c>
      <c r="V2001" s="23" t="s">
        <v>299</v>
      </c>
      <c r="W2001" s="23" t="s">
        <v>10598</v>
      </c>
      <c r="AB2001" s="23" t="s">
        <v>8561</v>
      </c>
      <c r="AC2001" s="23">
        <v>1</v>
      </c>
      <c r="AF2001" s="23" t="s">
        <v>8561</v>
      </c>
      <c r="AG2001" s="23" t="s">
        <v>5111</v>
      </c>
      <c r="AH2001" s="39">
        <v>44952</v>
      </c>
      <c r="AI2001" s="53" t="s">
        <v>3469</v>
      </c>
      <c r="AJ2001" s="75" t="s">
        <v>10818</v>
      </c>
      <c r="AK2001" s="53">
        <v>44954</v>
      </c>
    </row>
    <row r="2002" spans="1:37">
      <c r="A2002" s="75" t="s">
        <v>10593</v>
      </c>
      <c r="B2002" s="23" t="s">
        <v>10596</v>
      </c>
      <c r="C2002" s="140">
        <v>44946</v>
      </c>
      <c r="D2002" s="23" t="s">
        <v>729</v>
      </c>
      <c r="E2002" s="23" t="s">
        <v>752</v>
      </c>
      <c r="F2002" s="23" t="s">
        <v>8493</v>
      </c>
      <c r="G2002" s="23" t="s">
        <v>3469</v>
      </c>
      <c r="H2002" s="23" t="s">
        <v>10597</v>
      </c>
      <c r="I2002" s="23" t="s">
        <v>10597</v>
      </c>
      <c r="J2002" s="140">
        <v>44910</v>
      </c>
      <c r="T2002" s="23" t="s">
        <v>12031</v>
      </c>
      <c r="U2002" s="23" t="s">
        <v>12031</v>
      </c>
      <c r="V2002" s="23" t="s">
        <v>299</v>
      </c>
      <c r="W2002" s="23" t="s">
        <v>10599</v>
      </c>
      <c r="AB2002" s="23" t="s">
        <v>8561</v>
      </c>
      <c r="AC2002" s="23">
        <v>2</v>
      </c>
      <c r="AF2002" s="23" t="s">
        <v>8561</v>
      </c>
      <c r="AG2002" s="23" t="s">
        <v>5111</v>
      </c>
      <c r="AH2002" s="39">
        <v>44952</v>
      </c>
      <c r="AI2002" s="53" t="s">
        <v>3469</v>
      </c>
      <c r="AJ2002" s="75" t="s">
        <v>10819</v>
      </c>
      <c r="AK2002" s="53">
        <v>44954</v>
      </c>
    </row>
    <row r="2003" spans="1:37">
      <c r="A2003" s="75" t="s">
        <v>10601</v>
      </c>
      <c r="B2003" s="23" t="s">
        <v>10602</v>
      </c>
      <c r="C2003" s="140">
        <v>44948</v>
      </c>
      <c r="D2003" s="23" t="s">
        <v>729</v>
      </c>
      <c r="E2003" s="23" t="s">
        <v>752</v>
      </c>
      <c r="F2003" s="23" t="s">
        <v>10271</v>
      </c>
      <c r="G2003" s="23" t="s">
        <v>1724</v>
      </c>
      <c r="P2003" s="23" t="s">
        <v>10605</v>
      </c>
      <c r="Q2003" s="141" t="s">
        <v>10606</v>
      </c>
      <c r="T2003" s="23" t="s">
        <v>12031</v>
      </c>
      <c r="U2003" s="23" t="s">
        <v>12031</v>
      </c>
      <c r="V2003" s="23" t="s">
        <v>298</v>
      </c>
      <c r="W2003" s="23" t="s">
        <v>10607</v>
      </c>
      <c r="Y2003" s="23">
        <v>1373</v>
      </c>
      <c r="Z2003" s="23">
        <v>10.1</v>
      </c>
      <c r="AB2003" s="23" t="s">
        <v>10603</v>
      </c>
      <c r="AC2003" s="23" t="s">
        <v>131</v>
      </c>
      <c r="AD2003" s="23">
        <v>1</v>
      </c>
      <c r="AE2003" s="23">
        <v>0</v>
      </c>
      <c r="AF2003" s="23" t="s">
        <v>19</v>
      </c>
      <c r="AG2003" s="23" t="s">
        <v>10604</v>
      </c>
      <c r="AH2003" s="39">
        <v>44956</v>
      </c>
      <c r="AJ2003" s="75" t="s">
        <v>10820</v>
      </c>
      <c r="AK2003" s="53">
        <v>44957</v>
      </c>
    </row>
    <row r="2004" spans="1:37" ht="48">
      <c r="A2004" s="75" t="s">
        <v>10611</v>
      </c>
      <c r="B2004" s="23" t="s">
        <v>10614</v>
      </c>
      <c r="C2004" s="140">
        <v>44946</v>
      </c>
      <c r="D2004" s="23" t="s">
        <v>729</v>
      </c>
      <c r="E2004" s="23" t="s">
        <v>752</v>
      </c>
      <c r="F2004" s="23" t="s">
        <v>2200</v>
      </c>
      <c r="G2004" s="23" t="s">
        <v>301</v>
      </c>
      <c r="H2004" s="23">
        <v>20454337</v>
      </c>
      <c r="I2004" s="23">
        <v>20454337</v>
      </c>
      <c r="J2004" s="140">
        <v>44945</v>
      </c>
      <c r="K2004" s="23" t="s">
        <v>10615</v>
      </c>
      <c r="L2004" s="140">
        <v>44957</v>
      </c>
      <c r="T2004" s="23" t="s">
        <v>305</v>
      </c>
      <c r="U2004" s="23" t="s">
        <v>305</v>
      </c>
      <c r="V2004" s="23" t="s">
        <v>299</v>
      </c>
      <c r="W2004" s="23" t="s">
        <v>10616</v>
      </c>
      <c r="Y2004" s="23">
        <v>12900</v>
      </c>
      <c r="Z2004" s="23">
        <v>96432</v>
      </c>
      <c r="AB2004" s="19" t="s">
        <v>10658</v>
      </c>
      <c r="AC2004" s="59">
        <v>6</v>
      </c>
      <c r="AD2004" s="23">
        <v>0</v>
      </c>
      <c r="AE2004" s="23">
        <v>3</v>
      </c>
      <c r="AF2004" s="23" t="s">
        <v>9622</v>
      </c>
      <c r="AG2004" s="23" t="s">
        <v>1553</v>
      </c>
      <c r="AH2004" s="39">
        <v>44959</v>
      </c>
      <c r="AI2004" s="53" t="s">
        <v>5851</v>
      </c>
      <c r="AJ2004" s="75" t="s">
        <v>10821</v>
      </c>
      <c r="AK2004" s="53">
        <v>44961</v>
      </c>
    </row>
    <row r="2005" spans="1:37">
      <c r="A2005" s="75" t="s">
        <v>10612</v>
      </c>
      <c r="B2005" s="23" t="s">
        <v>10617</v>
      </c>
      <c r="C2005" s="140">
        <v>44946</v>
      </c>
      <c r="D2005" s="23" t="s">
        <v>729</v>
      </c>
      <c r="E2005" s="23" t="s">
        <v>752</v>
      </c>
      <c r="F2005" s="23" t="s">
        <v>2200</v>
      </c>
      <c r="G2005" s="23" t="s">
        <v>301</v>
      </c>
      <c r="H2005" s="23" t="s">
        <v>10618</v>
      </c>
      <c r="I2005" s="23" t="s">
        <v>10618</v>
      </c>
      <c r="J2005" s="140">
        <v>44943</v>
      </c>
      <c r="K2005" s="23" t="s">
        <v>10625</v>
      </c>
      <c r="L2005" s="140">
        <v>44958</v>
      </c>
      <c r="T2005" s="23" t="s">
        <v>305</v>
      </c>
      <c r="U2005" s="23" t="s">
        <v>305</v>
      </c>
      <c r="V2005" s="23" t="s">
        <v>299</v>
      </c>
      <c r="W2005" s="23" t="s">
        <v>10619</v>
      </c>
      <c r="Y2005" s="23">
        <v>3620</v>
      </c>
      <c r="Z2005" s="23">
        <v>72800</v>
      </c>
      <c r="AB2005" s="59" t="s">
        <v>10620</v>
      </c>
      <c r="AC2005" s="59">
        <v>2</v>
      </c>
      <c r="AD2005" s="23">
        <v>0</v>
      </c>
      <c r="AE2005" s="23">
        <v>1</v>
      </c>
      <c r="AF2005" s="23" t="s">
        <v>9622</v>
      </c>
      <c r="AG2005" s="23" t="s">
        <v>1553</v>
      </c>
      <c r="AH2005" s="39">
        <v>44959</v>
      </c>
      <c r="AI2005" s="53" t="s">
        <v>5851</v>
      </c>
      <c r="AJ2005" s="75" t="s">
        <v>10822</v>
      </c>
      <c r="AK2005" s="53">
        <v>44961</v>
      </c>
    </row>
    <row r="2006" spans="1:37" ht="192">
      <c r="A2006" s="75" t="s">
        <v>10613</v>
      </c>
      <c r="B2006" s="23" t="s">
        <v>10621</v>
      </c>
      <c r="C2006" s="140">
        <v>44946</v>
      </c>
      <c r="D2006" s="23" t="s">
        <v>729</v>
      </c>
      <c r="E2006" s="23" t="s">
        <v>752</v>
      </c>
      <c r="F2006" s="23" t="s">
        <v>2200</v>
      </c>
      <c r="G2006" s="23" t="s">
        <v>301</v>
      </c>
      <c r="H2006" s="23" t="s">
        <v>10622</v>
      </c>
      <c r="I2006" s="23" t="s">
        <v>10622</v>
      </c>
      <c r="J2006" s="140">
        <v>44942</v>
      </c>
      <c r="K2006" s="23" t="s">
        <v>10705</v>
      </c>
      <c r="L2006" s="140">
        <v>44965</v>
      </c>
      <c r="T2006" s="23" t="s">
        <v>305</v>
      </c>
      <c r="U2006" s="23" t="s">
        <v>305</v>
      </c>
      <c r="V2006" s="23" t="s">
        <v>299</v>
      </c>
      <c r="W2006" s="23" t="s">
        <v>10619</v>
      </c>
      <c r="Y2006" s="23">
        <v>43440</v>
      </c>
      <c r="Z2006" s="23">
        <v>873600</v>
      </c>
      <c r="AB2006" s="19" t="s">
        <v>10681</v>
      </c>
      <c r="AC2006" s="59">
        <v>24</v>
      </c>
      <c r="AD2006" s="23">
        <v>0</v>
      </c>
      <c r="AE2006" s="23">
        <v>12</v>
      </c>
      <c r="AF2006" s="23" t="s">
        <v>9622</v>
      </c>
      <c r="AG2006" s="23" t="s">
        <v>1553</v>
      </c>
      <c r="AH2006" s="39">
        <v>44959</v>
      </c>
      <c r="AI2006" s="53" t="s">
        <v>5851</v>
      </c>
      <c r="AJ2006" s="75" t="s">
        <v>10823</v>
      </c>
      <c r="AK2006" s="53">
        <v>44961</v>
      </c>
    </row>
    <row r="2007" spans="1:37" ht="224">
      <c r="A2007" s="75" t="s">
        <v>10623</v>
      </c>
      <c r="B2007" s="23" t="s">
        <v>10624</v>
      </c>
      <c r="C2007" s="140">
        <v>44946</v>
      </c>
      <c r="D2007" s="23" t="s">
        <v>729</v>
      </c>
      <c r="E2007" s="23" t="s">
        <v>752</v>
      </c>
      <c r="F2007" s="23" t="s">
        <v>2200</v>
      </c>
      <c r="G2007" s="23" t="s">
        <v>301</v>
      </c>
      <c r="H2007" s="23">
        <v>20452838</v>
      </c>
      <c r="I2007" s="23">
        <v>20452838</v>
      </c>
      <c r="J2007" s="140">
        <v>44942</v>
      </c>
      <c r="K2007" s="23" t="s">
        <v>10706</v>
      </c>
      <c r="L2007" s="140">
        <v>44965</v>
      </c>
      <c r="P2007" s="23" t="s">
        <v>10647</v>
      </c>
      <c r="Q2007" s="141" t="s">
        <v>10648</v>
      </c>
      <c r="T2007" s="23" t="s">
        <v>305</v>
      </c>
      <c r="U2007" s="23" t="s">
        <v>305</v>
      </c>
      <c r="V2007" s="23" t="s">
        <v>299</v>
      </c>
      <c r="W2007" s="23" t="s">
        <v>10619</v>
      </c>
      <c r="Y2007" s="23">
        <v>50680</v>
      </c>
      <c r="Z2007" s="23">
        <v>1019200</v>
      </c>
      <c r="AB2007" s="19" t="s">
        <v>10682</v>
      </c>
      <c r="AC2007" s="59">
        <v>28</v>
      </c>
      <c r="AD2007" s="23">
        <v>0</v>
      </c>
      <c r="AE2007" s="23">
        <v>14</v>
      </c>
      <c r="AF2007" s="23" t="s">
        <v>9622</v>
      </c>
      <c r="AG2007" s="23" t="s">
        <v>1553</v>
      </c>
      <c r="AH2007" s="39">
        <v>44959</v>
      </c>
      <c r="AI2007" s="53" t="s">
        <v>5851</v>
      </c>
      <c r="AJ2007" s="75" t="s">
        <v>10824</v>
      </c>
      <c r="AK2007" s="53">
        <v>44964</v>
      </c>
    </row>
    <row r="2008" spans="1:37">
      <c r="A2008" s="104" t="s">
        <v>10627</v>
      </c>
      <c r="B2008" s="23" t="s">
        <v>10628</v>
      </c>
      <c r="C2008" s="140">
        <v>44958</v>
      </c>
      <c r="D2008" s="23" t="s">
        <v>729</v>
      </c>
      <c r="E2008" s="23" t="s">
        <v>752</v>
      </c>
      <c r="F2008" s="23" t="s">
        <v>57</v>
      </c>
      <c r="G2008" s="23" t="s">
        <v>57</v>
      </c>
      <c r="H2008" s="23" t="s">
        <v>10629</v>
      </c>
      <c r="I2008" s="23" t="s">
        <v>10629</v>
      </c>
      <c r="J2008" s="140">
        <v>44952</v>
      </c>
      <c r="K2008" s="23" t="s">
        <v>10630</v>
      </c>
      <c r="L2008" s="140">
        <v>44959</v>
      </c>
      <c r="P2008" s="23" t="s">
        <v>10631</v>
      </c>
      <c r="S2008" s="23" t="s">
        <v>184</v>
      </c>
      <c r="T2008" s="23" t="s">
        <v>302</v>
      </c>
      <c r="U2008" s="23" t="s">
        <v>302</v>
      </c>
      <c r="V2008" s="23" t="s">
        <v>233</v>
      </c>
      <c r="W2008" s="23" t="s">
        <v>284</v>
      </c>
      <c r="X2008" s="37">
        <v>9149</v>
      </c>
      <c r="Y2008" s="37">
        <v>9469</v>
      </c>
      <c r="Z2008" s="23">
        <v>15510.22</v>
      </c>
      <c r="AA2008" s="23">
        <v>14171.39</v>
      </c>
      <c r="AB2008" s="23" t="s">
        <v>10632</v>
      </c>
      <c r="AC2008" s="23" t="s">
        <v>10756</v>
      </c>
      <c r="AD2008" s="23">
        <v>0</v>
      </c>
      <c r="AE2008" s="23">
        <v>1</v>
      </c>
      <c r="AF2008" s="23" t="s">
        <v>3864</v>
      </c>
      <c r="AG2008" s="23" t="s">
        <v>787</v>
      </c>
      <c r="AH2008" s="39">
        <v>44961</v>
      </c>
    </row>
    <row r="2009" spans="1:37" ht="160">
      <c r="A2009" s="75" t="s">
        <v>10633</v>
      </c>
      <c r="B2009" s="23" t="s">
        <v>10636</v>
      </c>
      <c r="C2009" s="140">
        <v>44951</v>
      </c>
      <c r="D2009" s="23" t="s">
        <v>729</v>
      </c>
      <c r="E2009" s="23" t="s">
        <v>752</v>
      </c>
      <c r="F2009" s="23" t="s">
        <v>2200</v>
      </c>
      <c r="G2009" s="23" t="s">
        <v>301</v>
      </c>
      <c r="H2009" s="23" t="s">
        <v>10637</v>
      </c>
      <c r="I2009" s="23" t="s">
        <v>10637</v>
      </c>
      <c r="J2009" s="140">
        <v>44946</v>
      </c>
      <c r="K2009" s="23" t="s">
        <v>10645</v>
      </c>
      <c r="L2009" s="140">
        <v>44960</v>
      </c>
      <c r="P2009" s="23" t="s">
        <v>10649</v>
      </c>
      <c r="Q2009" s="141" t="s">
        <v>10650</v>
      </c>
      <c r="T2009" s="23" t="s">
        <v>305</v>
      </c>
      <c r="U2009" s="23" t="s">
        <v>305</v>
      </c>
      <c r="V2009" s="23" t="s">
        <v>299</v>
      </c>
      <c r="W2009" s="19" t="s">
        <v>10638</v>
      </c>
      <c r="Y2009" s="23">
        <v>42092</v>
      </c>
      <c r="Z2009" s="23">
        <v>395750</v>
      </c>
      <c r="AB2009" s="19" t="s">
        <v>10679</v>
      </c>
      <c r="AC2009" s="59">
        <v>30</v>
      </c>
      <c r="AD2009" s="23">
        <v>0</v>
      </c>
      <c r="AE2009" s="23">
        <v>10</v>
      </c>
      <c r="AF2009" s="23" t="s">
        <v>9622</v>
      </c>
      <c r="AG2009" s="23" t="s">
        <v>1553</v>
      </c>
      <c r="AH2009" s="39">
        <v>44963</v>
      </c>
      <c r="AI2009" s="53" t="s">
        <v>5851</v>
      </c>
      <c r="AJ2009" s="75" t="s">
        <v>10825</v>
      </c>
      <c r="AK2009" s="53">
        <v>44966</v>
      </c>
    </row>
    <row r="2010" spans="1:37" ht="16">
      <c r="A2010" s="75" t="s">
        <v>10634</v>
      </c>
      <c r="B2010" s="23" t="s">
        <v>10639</v>
      </c>
      <c r="C2010" s="140">
        <v>44954</v>
      </c>
      <c r="D2010" s="23" t="s">
        <v>729</v>
      </c>
      <c r="E2010" s="23" t="s">
        <v>752</v>
      </c>
      <c r="F2010" s="23" t="s">
        <v>2200</v>
      </c>
      <c r="G2010" s="23" t="s">
        <v>301</v>
      </c>
      <c r="H2010" s="23">
        <v>20453774</v>
      </c>
      <c r="I2010" s="23">
        <v>20453774</v>
      </c>
      <c r="J2010" s="140">
        <v>44946</v>
      </c>
      <c r="K2010" s="23" t="s">
        <v>10643</v>
      </c>
      <c r="L2010" s="140">
        <v>44958</v>
      </c>
      <c r="P2010" s="23" t="s">
        <v>10651</v>
      </c>
      <c r="Q2010" s="141" t="s">
        <v>10652</v>
      </c>
      <c r="T2010" s="23" t="s">
        <v>305</v>
      </c>
      <c r="U2010" s="23" t="s">
        <v>305</v>
      </c>
      <c r="V2010" s="23" t="s">
        <v>299</v>
      </c>
      <c r="W2010" s="23" t="s">
        <v>10640</v>
      </c>
      <c r="Y2010" s="23">
        <v>3078</v>
      </c>
      <c r="Z2010" s="23">
        <v>28200</v>
      </c>
      <c r="AB2010" s="60" t="s">
        <v>10641</v>
      </c>
      <c r="AC2010" s="59">
        <v>2</v>
      </c>
      <c r="AD2010" s="23">
        <v>0</v>
      </c>
      <c r="AE2010" s="23">
        <v>1</v>
      </c>
      <c r="AF2010" s="23" t="s">
        <v>9622</v>
      </c>
      <c r="AG2010" s="23" t="s">
        <v>1553</v>
      </c>
      <c r="AH2010" s="39">
        <v>44963</v>
      </c>
      <c r="AI2010" s="53" t="s">
        <v>5851</v>
      </c>
      <c r="AJ2010" s="75" t="s">
        <v>10826</v>
      </c>
      <c r="AK2010" s="53">
        <v>44966</v>
      </c>
    </row>
    <row r="2011" spans="1:37" ht="304">
      <c r="A2011" s="75" t="s">
        <v>10635</v>
      </c>
      <c r="B2011" s="23" t="s">
        <v>10642</v>
      </c>
      <c r="C2011" s="140">
        <v>44954</v>
      </c>
      <c r="D2011" s="23" t="s">
        <v>729</v>
      </c>
      <c r="E2011" s="23" t="s">
        <v>752</v>
      </c>
      <c r="F2011" s="23" t="s">
        <v>2200</v>
      </c>
      <c r="G2011" s="23" t="s">
        <v>301</v>
      </c>
      <c r="H2011" s="23">
        <v>20453775</v>
      </c>
      <c r="I2011" s="23">
        <v>20453775</v>
      </c>
      <c r="J2011" s="140">
        <v>44946</v>
      </c>
      <c r="K2011" s="23" t="s">
        <v>10646</v>
      </c>
      <c r="L2011" s="140">
        <v>44960</v>
      </c>
      <c r="P2011" s="23" t="s">
        <v>10651</v>
      </c>
      <c r="Q2011" s="141" t="s">
        <v>10652</v>
      </c>
      <c r="T2011" s="23" t="s">
        <v>305</v>
      </c>
      <c r="U2011" s="23" t="s">
        <v>305</v>
      </c>
      <c r="V2011" s="23" t="s">
        <v>299</v>
      </c>
      <c r="W2011" s="23" t="s">
        <v>10640</v>
      </c>
      <c r="Y2011" s="23">
        <v>58482</v>
      </c>
      <c r="Z2011" s="23">
        <v>535800</v>
      </c>
      <c r="AB2011" s="19" t="s">
        <v>10680</v>
      </c>
      <c r="AC2011" s="59">
        <v>38</v>
      </c>
      <c r="AD2011" s="23">
        <v>0</v>
      </c>
      <c r="AE2011" s="23">
        <v>19</v>
      </c>
      <c r="AF2011" s="23" t="s">
        <v>9622</v>
      </c>
      <c r="AG2011" s="23" t="s">
        <v>1553</v>
      </c>
      <c r="AH2011" s="39">
        <v>44963</v>
      </c>
      <c r="AI2011" s="53" t="s">
        <v>5851</v>
      </c>
      <c r="AJ2011" s="75" t="s">
        <v>10827</v>
      </c>
      <c r="AK2011" s="53">
        <v>44966</v>
      </c>
    </row>
    <row r="2012" spans="1:37" ht="32">
      <c r="A2012" s="104" t="s">
        <v>10653</v>
      </c>
      <c r="B2012" s="23" t="s">
        <v>10659</v>
      </c>
      <c r="C2012" s="140">
        <v>44956</v>
      </c>
      <c r="D2012" s="23" t="s">
        <v>729</v>
      </c>
      <c r="E2012" s="23" t="s">
        <v>752</v>
      </c>
      <c r="F2012" s="23" t="s">
        <v>57</v>
      </c>
      <c r="G2012" s="23" t="s">
        <v>57</v>
      </c>
      <c r="H2012" s="23" t="s">
        <v>10660</v>
      </c>
      <c r="I2012" s="23" t="s">
        <v>10660</v>
      </c>
      <c r="J2012" s="140">
        <v>44953</v>
      </c>
      <c r="K2012" s="23" t="s">
        <v>10661</v>
      </c>
      <c r="L2012" s="140">
        <v>44964</v>
      </c>
      <c r="P2012" s="19" t="s">
        <v>10662</v>
      </c>
      <c r="Q2012" s="141" t="s">
        <v>10650</v>
      </c>
      <c r="S2012" s="23" t="s">
        <v>184</v>
      </c>
      <c r="T2012" s="23" t="s">
        <v>305</v>
      </c>
      <c r="U2012" s="23" t="s">
        <v>305</v>
      </c>
      <c r="V2012" s="23" t="s">
        <v>233</v>
      </c>
      <c r="W2012" s="23" t="s">
        <v>112</v>
      </c>
      <c r="X2012" s="23">
        <v>33256.800000000003</v>
      </c>
      <c r="Y2012" s="37">
        <v>33465.599999999999</v>
      </c>
      <c r="Z2012" s="23">
        <v>32990.75</v>
      </c>
      <c r="AA2012" s="23">
        <v>30434.75</v>
      </c>
      <c r="AB2012" s="23" t="s">
        <v>10663</v>
      </c>
      <c r="AC2012" s="23" t="s">
        <v>791</v>
      </c>
      <c r="AD2012" s="23">
        <v>0</v>
      </c>
      <c r="AE2012" s="23">
        <v>2</v>
      </c>
      <c r="AF2012" s="23" t="s">
        <v>5478</v>
      </c>
      <c r="AG2012" s="23" t="s">
        <v>792</v>
      </c>
      <c r="AH2012" s="39">
        <v>44963</v>
      </c>
    </row>
    <row r="2013" spans="1:37" ht="320">
      <c r="A2013" s="75" t="s">
        <v>10655</v>
      </c>
      <c r="B2013" s="23" t="s">
        <v>10656</v>
      </c>
      <c r="C2013" s="140">
        <v>44961</v>
      </c>
      <c r="D2013" s="23" t="s">
        <v>729</v>
      </c>
      <c r="E2013" s="23" t="s">
        <v>752</v>
      </c>
      <c r="F2013" s="23" t="s">
        <v>2200</v>
      </c>
      <c r="G2013" s="23" t="s">
        <v>301</v>
      </c>
      <c r="H2013" s="23" t="s">
        <v>10657</v>
      </c>
      <c r="I2013" s="23" t="s">
        <v>10657</v>
      </c>
      <c r="J2013" s="140">
        <v>44960</v>
      </c>
      <c r="K2013" s="23" t="s">
        <v>10683</v>
      </c>
      <c r="L2013" s="140">
        <v>44973</v>
      </c>
      <c r="P2013" s="23" t="s">
        <v>10677</v>
      </c>
      <c r="Q2013" s="141" t="s">
        <v>10678</v>
      </c>
      <c r="T2013" s="23" t="s">
        <v>305</v>
      </c>
      <c r="U2013" s="23" t="s">
        <v>305</v>
      </c>
      <c r="V2013" s="23" t="s">
        <v>299</v>
      </c>
      <c r="W2013" s="23" t="s">
        <v>9762</v>
      </c>
      <c r="Y2013" s="23">
        <v>79080</v>
      </c>
      <c r="Z2013" s="23">
        <v>720000</v>
      </c>
      <c r="AB2013" s="19" t="s">
        <v>10704</v>
      </c>
      <c r="AC2013" s="59">
        <v>60</v>
      </c>
      <c r="AD2013" s="23">
        <v>0</v>
      </c>
      <c r="AE2013" s="23">
        <v>20</v>
      </c>
      <c r="AF2013" s="23" t="s">
        <v>9622</v>
      </c>
      <c r="AG2013" s="23" t="s">
        <v>1553</v>
      </c>
      <c r="AH2013" s="39">
        <v>44970</v>
      </c>
      <c r="AI2013" s="53" t="s">
        <v>5851</v>
      </c>
      <c r="AJ2013" s="75" t="s">
        <v>10828</v>
      </c>
      <c r="AK2013" s="53">
        <v>44975</v>
      </c>
    </row>
    <row r="2014" spans="1:37">
      <c r="A2014" s="75" t="s">
        <v>10664</v>
      </c>
      <c r="B2014" s="23" t="s">
        <v>10665</v>
      </c>
      <c r="C2014" s="140">
        <v>44968</v>
      </c>
      <c r="D2014" s="23" t="s">
        <v>729</v>
      </c>
      <c r="E2014" s="23" t="s">
        <v>752</v>
      </c>
      <c r="F2014" s="23" t="s">
        <v>5765</v>
      </c>
      <c r="G2014" s="23" t="s">
        <v>1724</v>
      </c>
      <c r="P2014" s="23" t="s">
        <v>10666</v>
      </c>
      <c r="Q2014" s="141" t="s">
        <v>10670</v>
      </c>
      <c r="T2014" s="23" t="s">
        <v>12031</v>
      </c>
      <c r="U2014" s="23" t="s">
        <v>12031</v>
      </c>
      <c r="V2014" s="23" t="s">
        <v>298</v>
      </c>
      <c r="W2014" s="23" t="s">
        <v>10667</v>
      </c>
      <c r="Y2014" s="23">
        <v>23000</v>
      </c>
      <c r="Z2014" s="23">
        <v>68</v>
      </c>
      <c r="AB2014" s="23" t="s">
        <v>10668</v>
      </c>
      <c r="AC2014" s="23" t="s">
        <v>10669</v>
      </c>
      <c r="AD2014" s="23">
        <v>0</v>
      </c>
      <c r="AE2014" s="23">
        <v>1</v>
      </c>
      <c r="AF2014" s="23" t="s">
        <v>5478</v>
      </c>
      <c r="AG2014" s="23" t="s">
        <v>637</v>
      </c>
      <c r="AH2014" s="39">
        <v>44972</v>
      </c>
      <c r="AJ2014" s="75" t="s">
        <v>10829</v>
      </c>
      <c r="AK2014" s="53">
        <v>44973</v>
      </c>
    </row>
    <row r="2015" spans="1:37">
      <c r="A2015" s="75" t="s">
        <v>10671</v>
      </c>
      <c r="B2015" s="23" t="s">
        <v>10672</v>
      </c>
      <c r="C2015" s="140">
        <v>44928</v>
      </c>
      <c r="D2015" s="23" t="s">
        <v>729</v>
      </c>
      <c r="E2015" s="23" t="s">
        <v>752</v>
      </c>
      <c r="F2015" s="23" t="s">
        <v>10430</v>
      </c>
      <c r="G2015" s="23" t="s">
        <v>10431</v>
      </c>
      <c r="P2015" s="23" t="s">
        <v>10609</v>
      </c>
      <c r="Q2015" s="141" t="s">
        <v>10610</v>
      </c>
      <c r="T2015" s="23" t="s">
        <v>305</v>
      </c>
      <c r="U2015" s="23" t="s">
        <v>305</v>
      </c>
      <c r="V2015" s="23" t="s">
        <v>298</v>
      </c>
      <c r="W2015" s="23" t="s">
        <v>10432</v>
      </c>
      <c r="Y2015" s="23">
        <v>24875</v>
      </c>
      <c r="Z2015" s="23">
        <v>20</v>
      </c>
      <c r="AB2015" s="23" t="s">
        <v>10673</v>
      </c>
      <c r="AC2015" s="23" t="s">
        <v>10675</v>
      </c>
      <c r="AD2015" s="23">
        <v>1</v>
      </c>
      <c r="AE2015" s="23">
        <v>0</v>
      </c>
      <c r="AF2015" s="23" t="s">
        <v>10674</v>
      </c>
      <c r="AG2015" s="23" t="s">
        <v>10676</v>
      </c>
      <c r="AH2015" s="39">
        <v>44973</v>
      </c>
      <c r="AJ2015" s="75" t="s">
        <v>10830</v>
      </c>
      <c r="AK2015" s="53">
        <v>44975</v>
      </c>
    </row>
    <row r="2016" spans="1:37" ht="48">
      <c r="A2016" s="75" t="s">
        <v>10684</v>
      </c>
      <c r="B2016" s="23" t="s">
        <v>10685</v>
      </c>
      <c r="C2016" s="140">
        <v>44973</v>
      </c>
      <c r="D2016" s="23" t="s">
        <v>729</v>
      </c>
      <c r="E2016" s="23" t="s">
        <v>752</v>
      </c>
      <c r="F2016" s="23" t="s">
        <v>6113</v>
      </c>
      <c r="G2016" s="23" t="s">
        <v>5538</v>
      </c>
      <c r="H2016" s="23" t="s">
        <v>10686</v>
      </c>
      <c r="I2016" s="23" t="s">
        <v>10686</v>
      </c>
      <c r="J2016" s="140">
        <v>44964</v>
      </c>
      <c r="T2016" s="23" t="s">
        <v>12031</v>
      </c>
      <c r="U2016" s="23" t="s">
        <v>12031</v>
      </c>
      <c r="V2016" s="23" t="s">
        <v>299</v>
      </c>
      <c r="W2016" s="19" t="s">
        <v>10687</v>
      </c>
      <c r="AB2016" s="19" t="s">
        <v>10741</v>
      </c>
      <c r="AC2016" s="23">
        <v>9</v>
      </c>
      <c r="AD2016" s="23">
        <v>0</v>
      </c>
      <c r="AE2016" s="23">
        <v>3</v>
      </c>
      <c r="AF2016" s="23" t="s">
        <v>9622</v>
      </c>
      <c r="AG2016" s="23" t="s">
        <v>5388</v>
      </c>
      <c r="AH2016" s="39">
        <v>44978</v>
      </c>
      <c r="AI2016" s="53" t="s">
        <v>9962</v>
      </c>
      <c r="AJ2016" s="75" t="s">
        <v>10831</v>
      </c>
      <c r="AK2016" s="53">
        <v>44982</v>
      </c>
    </row>
    <row r="2017" spans="1:37" ht="224">
      <c r="A2017" s="75" t="s">
        <v>10688</v>
      </c>
      <c r="B2017" s="23" t="s">
        <v>10689</v>
      </c>
      <c r="C2017" s="140">
        <v>44973</v>
      </c>
      <c r="D2017" s="23" t="s">
        <v>729</v>
      </c>
      <c r="E2017" s="23" t="s">
        <v>752</v>
      </c>
      <c r="F2017" s="23" t="s">
        <v>2200</v>
      </c>
      <c r="G2017" s="23" t="s">
        <v>301</v>
      </c>
      <c r="H2017" s="23">
        <v>20457139</v>
      </c>
      <c r="I2017" s="23">
        <v>20457139</v>
      </c>
      <c r="J2017" s="140">
        <v>44971</v>
      </c>
      <c r="K2017" s="23" t="s">
        <v>10703</v>
      </c>
      <c r="L2017" s="140">
        <v>44979</v>
      </c>
      <c r="P2017" s="19" t="s">
        <v>10707</v>
      </c>
      <c r="Q2017" s="141" t="s">
        <v>10708</v>
      </c>
      <c r="T2017" s="23" t="s">
        <v>305</v>
      </c>
      <c r="U2017" s="23" t="s">
        <v>305</v>
      </c>
      <c r="V2017" s="23" t="s">
        <v>299</v>
      </c>
      <c r="W2017" s="23" t="s">
        <v>9762</v>
      </c>
      <c r="Y2017" s="23">
        <v>55356</v>
      </c>
      <c r="Z2017" s="23">
        <v>504000</v>
      </c>
      <c r="AB2017" s="19" t="s">
        <v>10742</v>
      </c>
      <c r="AC2017" s="59">
        <v>42</v>
      </c>
      <c r="AD2017" s="23">
        <v>0</v>
      </c>
      <c r="AE2017" s="23">
        <v>14</v>
      </c>
      <c r="AF2017" s="23" t="s">
        <v>9622</v>
      </c>
      <c r="AG2017" s="23" t="s">
        <v>1553</v>
      </c>
      <c r="AH2017" s="39">
        <v>44979</v>
      </c>
      <c r="AI2017" s="53" t="s">
        <v>5851</v>
      </c>
      <c r="AJ2017" s="75" t="s">
        <v>10832</v>
      </c>
      <c r="AK2017" s="53">
        <v>44982</v>
      </c>
    </row>
    <row r="2018" spans="1:37" ht="32">
      <c r="A2018" s="75" t="s">
        <v>10690</v>
      </c>
      <c r="B2018" s="23" t="s">
        <v>10691</v>
      </c>
      <c r="C2018" s="140">
        <v>44974</v>
      </c>
      <c r="D2018" s="23" t="s">
        <v>729</v>
      </c>
      <c r="E2018" s="23" t="s">
        <v>752</v>
      </c>
      <c r="F2018" s="23" t="s">
        <v>10692</v>
      </c>
      <c r="G2018" s="23" t="s">
        <v>3469</v>
      </c>
      <c r="H2018" s="23" t="s">
        <v>10693</v>
      </c>
      <c r="I2018" s="23" t="s">
        <v>10693</v>
      </c>
      <c r="J2018" s="140">
        <v>44967</v>
      </c>
      <c r="T2018" s="23" t="s">
        <v>12031</v>
      </c>
      <c r="U2018" s="23" t="s">
        <v>12031</v>
      </c>
      <c r="V2018" s="23" t="s">
        <v>299</v>
      </c>
      <c r="W2018" s="19" t="s">
        <v>10694</v>
      </c>
      <c r="AB2018" s="23" t="s">
        <v>8561</v>
      </c>
      <c r="AC2018" s="23">
        <v>7</v>
      </c>
      <c r="AF2018" s="23" t="s">
        <v>8561</v>
      </c>
      <c r="AG2018" s="23" t="s">
        <v>10695</v>
      </c>
      <c r="AH2018" s="39">
        <v>44980</v>
      </c>
      <c r="AI2018" s="53" t="s">
        <v>5706</v>
      </c>
      <c r="AJ2018" s="75" t="s">
        <v>10833</v>
      </c>
      <c r="AK2018" s="53">
        <v>44982</v>
      </c>
    </row>
    <row r="2019" spans="1:37">
      <c r="A2019" s="75" t="s">
        <v>10709</v>
      </c>
      <c r="B2019" s="23" t="s">
        <v>10710</v>
      </c>
      <c r="C2019" s="140">
        <v>44981</v>
      </c>
      <c r="D2019" s="23" t="s">
        <v>729</v>
      </c>
      <c r="E2019" s="23" t="s">
        <v>752</v>
      </c>
      <c r="F2019" s="23" t="s">
        <v>7082</v>
      </c>
      <c r="G2019" s="23" t="s">
        <v>1724</v>
      </c>
      <c r="P2019" s="23" t="s">
        <v>10711</v>
      </c>
      <c r="Q2019" s="141" t="s">
        <v>10712</v>
      </c>
      <c r="T2019" s="23" t="s">
        <v>12031</v>
      </c>
      <c r="U2019" s="23" t="s">
        <v>12031</v>
      </c>
      <c r="V2019" s="23" t="s">
        <v>298</v>
      </c>
      <c r="W2019" s="23" t="s">
        <v>10713</v>
      </c>
      <c r="Y2019" s="38">
        <v>11750</v>
      </c>
      <c r="Z2019" s="23">
        <v>68</v>
      </c>
      <c r="AB2019" s="23" t="s">
        <v>10714</v>
      </c>
      <c r="AC2019" s="23" t="s">
        <v>10715</v>
      </c>
      <c r="AD2019" s="23">
        <v>0</v>
      </c>
      <c r="AE2019" s="23">
        <v>1</v>
      </c>
      <c r="AF2019" s="23" t="s">
        <v>7428</v>
      </c>
      <c r="AG2019" s="23" t="s">
        <v>665</v>
      </c>
      <c r="AH2019" s="39">
        <v>44985</v>
      </c>
      <c r="AJ2019" s="75" t="s">
        <v>10834</v>
      </c>
      <c r="AK2019" s="53">
        <v>44986</v>
      </c>
    </row>
    <row r="2020" spans="1:37" ht="32">
      <c r="A2020" s="75" t="s">
        <v>10716</v>
      </c>
      <c r="B2020" s="23" t="s">
        <v>10717</v>
      </c>
      <c r="C2020" s="140">
        <v>44981</v>
      </c>
      <c r="D2020" s="23" t="s">
        <v>729</v>
      </c>
      <c r="E2020" s="23" t="s">
        <v>752</v>
      </c>
      <c r="F2020" s="23" t="s">
        <v>5765</v>
      </c>
      <c r="G2020" s="23" t="s">
        <v>1724</v>
      </c>
      <c r="P2020" s="23" t="s">
        <v>10718</v>
      </c>
      <c r="Q2020" s="141" t="s">
        <v>10712</v>
      </c>
      <c r="T2020" s="23" t="s">
        <v>12031</v>
      </c>
      <c r="U2020" s="23" t="s">
        <v>12031</v>
      </c>
      <c r="V2020" s="23" t="s">
        <v>298</v>
      </c>
      <c r="W2020" s="19" t="s">
        <v>10719</v>
      </c>
      <c r="Y2020" s="23">
        <v>17460</v>
      </c>
      <c r="Z2020" s="23">
        <v>68</v>
      </c>
      <c r="AB2020" s="23" t="s">
        <v>10720</v>
      </c>
      <c r="AC2020" s="23" t="s">
        <v>10721</v>
      </c>
      <c r="AD2020" s="23">
        <v>0</v>
      </c>
      <c r="AE2020" s="23">
        <v>4</v>
      </c>
      <c r="AF2020" s="23" t="s">
        <v>5478</v>
      </c>
      <c r="AG2020" s="23" t="s">
        <v>666</v>
      </c>
      <c r="AH2020" s="39">
        <v>44986</v>
      </c>
      <c r="AJ2020" s="75" t="s">
        <v>10835</v>
      </c>
      <c r="AK2020" s="53">
        <v>44987</v>
      </c>
    </row>
    <row r="2021" spans="1:37">
      <c r="A2021" s="75" t="s">
        <v>10722</v>
      </c>
      <c r="B2021" s="23" t="s">
        <v>10723</v>
      </c>
      <c r="C2021" s="140">
        <v>44981</v>
      </c>
      <c r="F2021" s="23" t="s">
        <v>7082</v>
      </c>
      <c r="G2021" s="23" t="s">
        <v>1724</v>
      </c>
      <c r="W2021" s="23" t="s">
        <v>7080</v>
      </c>
      <c r="Y2021" s="23">
        <v>17320</v>
      </c>
      <c r="Z2021" s="23">
        <v>68.33</v>
      </c>
      <c r="AB2021" s="23" t="s">
        <v>10724</v>
      </c>
      <c r="AC2021" s="23" t="s">
        <v>7016</v>
      </c>
      <c r="AF2021" s="23" t="s">
        <v>5478</v>
      </c>
      <c r="AG2021" s="23" t="s">
        <v>666</v>
      </c>
      <c r="AH2021" s="39">
        <v>44986</v>
      </c>
    </row>
    <row r="2022" spans="1:37">
      <c r="A2022" s="75" t="s">
        <v>10725</v>
      </c>
      <c r="B2022" s="23" t="s">
        <v>10726</v>
      </c>
      <c r="C2022" s="140">
        <v>44981</v>
      </c>
      <c r="F2022" s="23" t="s">
        <v>7082</v>
      </c>
      <c r="G2022" s="23" t="s">
        <v>1724</v>
      </c>
      <c r="W2022" s="23" t="s">
        <v>7080</v>
      </c>
      <c r="Y2022" s="23">
        <v>18560</v>
      </c>
      <c r="Z2022" s="23">
        <v>68</v>
      </c>
      <c r="AB2022" s="23" t="s">
        <v>10727</v>
      </c>
      <c r="AC2022" s="23" t="s">
        <v>7016</v>
      </c>
      <c r="AF2022" s="23" t="s">
        <v>5478</v>
      </c>
      <c r="AG2022" s="23" t="s">
        <v>666</v>
      </c>
      <c r="AH2022" s="39">
        <v>44986</v>
      </c>
    </row>
    <row r="2023" spans="1:37">
      <c r="A2023" s="75" t="s">
        <v>10728</v>
      </c>
      <c r="B2023" s="23" t="s">
        <v>10729</v>
      </c>
      <c r="C2023" s="140">
        <v>44982</v>
      </c>
      <c r="F2023" s="23" t="s">
        <v>7082</v>
      </c>
      <c r="G2023" s="23" t="s">
        <v>1724</v>
      </c>
      <c r="P2023" s="23" t="s">
        <v>10730</v>
      </c>
      <c r="Q2023" s="141" t="s">
        <v>10712</v>
      </c>
      <c r="W2023" s="23" t="s">
        <v>7080</v>
      </c>
      <c r="Y2023" s="23">
        <v>15910</v>
      </c>
      <c r="Z2023" s="23">
        <v>68</v>
      </c>
      <c r="AB2023" s="23" t="s">
        <v>10731</v>
      </c>
      <c r="AC2023" s="23" t="s">
        <v>7465</v>
      </c>
      <c r="AF2023" s="23" t="s">
        <v>5478</v>
      </c>
      <c r="AG2023" s="23" t="s">
        <v>666</v>
      </c>
      <c r="AH2023" s="39">
        <v>44986</v>
      </c>
    </row>
    <row r="2024" spans="1:37" ht="224">
      <c r="A2024" s="75" t="s">
        <v>10732</v>
      </c>
      <c r="B2024" s="23" t="s">
        <v>10733</v>
      </c>
      <c r="C2024" s="140">
        <v>44978</v>
      </c>
      <c r="D2024" s="23" t="s">
        <v>729</v>
      </c>
      <c r="E2024" s="23" t="s">
        <v>752</v>
      </c>
      <c r="F2024" s="23" t="s">
        <v>2200</v>
      </c>
      <c r="G2024" s="23" t="s">
        <v>301</v>
      </c>
      <c r="H2024" s="23" t="s">
        <v>10734</v>
      </c>
      <c r="I2024" s="23" t="s">
        <v>10734</v>
      </c>
      <c r="J2024" s="140">
        <v>44974</v>
      </c>
      <c r="K2024" s="23" t="s">
        <v>10735</v>
      </c>
      <c r="L2024" s="140">
        <v>44984</v>
      </c>
      <c r="P2024" s="23" t="s">
        <v>10754</v>
      </c>
      <c r="Q2024" s="141" t="s">
        <v>10755</v>
      </c>
      <c r="S2024" s="23" t="s">
        <v>300</v>
      </c>
      <c r="T2024" s="23" t="s">
        <v>305</v>
      </c>
      <c r="U2024" s="23" t="s">
        <v>305</v>
      </c>
      <c r="V2024" s="23" t="s">
        <v>299</v>
      </c>
      <c r="W2024" s="23" t="s">
        <v>9762</v>
      </c>
      <c r="Y2024" s="23">
        <v>55356</v>
      </c>
      <c r="Z2024" s="23">
        <v>504000</v>
      </c>
      <c r="AB2024" s="60" t="s">
        <v>10736</v>
      </c>
      <c r="AC2024" s="59">
        <v>42</v>
      </c>
      <c r="AD2024" s="23">
        <v>0</v>
      </c>
      <c r="AE2024" s="23">
        <v>14</v>
      </c>
      <c r="AF2024" s="23" t="s">
        <v>9622</v>
      </c>
      <c r="AG2024" s="23" t="s">
        <v>1553</v>
      </c>
      <c r="AH2024" s="39">
        <v>44987</v>
      </c>
      <c r="AI2024" s="53" t="s">
        <v>5851</v>
      </c>
      <c r="AJ2024" s="75" t="s">
        <v>10836</v>
      </c>
      <c r="AK2024" s="53">
        <v>44989</v>
      </c>
    </row>
    <row r="2025" spans="1:37" ht="96">
      <c r="A2025" s="75" t="s">
        <v>10737</v>
      </c>
      <c r="B2025" s="23" t="s">
        <v>10738</v>
      </c>
      <c r="C2025" s="140">
        <v>44978</v>
      </c>
      <c r="D2025" s="23" t="s">
        <v>729</v>
      </c>
      <c r="E2025" s="23" t="s">
        <v>752</v>
      </c>
      <c r="F2025" s="23" t="s">
        <v>2200</v>
      </c>
      <c r="G2025" s="23" t="s">
        <v>301</v>
      </c>
      <c r="H2025" s="23">
        <v>20457593</v>
      </c>
      <c r="I2025" s="23">
        <v>20457593</v>
      </c>
      <c r="J2025" s="140">
        <v>44974</v>
      </c>
      <c r="K2025" s="23" t="s">
        <v>10739</v>
      </c>
      <c r="L2025" s="140">
        <v>44984</v>
      </c>
      <c r="P2025" s="161" t="s">
        <v>10769</v>
      </c>
      <c r="Q2025" s="141" t="s">
        <v>10751</v>
      </c>
      <c r="S2025" s="23" t="s">
        <v>300</v>
      </c>
      <c r="T2025" s="23" t="s">
        <v>305</v>
      </c>
      <c r="U2025" s="23" t="s">
        <v>305</v>
      </c>
      <c r="V2025" s="23" t="s">
        <v>299</v>
      </c>
      <c r="W2025" s="23" t="s">
        <v>10740</v>
      </c>
      <c r="Y2025" s="23">
        <v>27702</v>
      </c>
      <c r="Z2025" s="23">
        <v>253800</v>
      </c>
      <c r="AB2025" s="19" t="s">
        <v>10815</v>
      </c>
      <c r="AC2025" s="59">
        <v>18</v>
      </c>
      <c r="AD2025" s="23">
        <v>0</v>
      </c>
      <c r="AE2025" s="23">
        <v>6</v>
      </c>
      <c r="AF2025" s="23" t="s">
        <v>9622</v>
      </c>
      <c r="AG2025" s="23" t="s">
        <v>1553</v>
      </c>
      <c r="AH2025" s="39">
        <v>44987</v>
      </c>
      <c r="AI2025" s="53" t="s">
        <v>5851</v>
      </c>
      <c r="AJ2025" s="75" t="s">
        <v>10837</v>
      </c>
      <c r="AK2025" s="53">
        <v>44993</v>
      </c>
    </row>
    <row r="2026" spans="1:37">
      <c r="A2026" s="104" t="s">
        <v>10743</v>
      </c>
      <c r="B2026" s="23" t="s">
        <v>10745</v>
      </c>
      <c r="C2026" s="140">
        <v>44984</v>
      </c>
      <c r="D2026" s="23" t="s">
        <v>729</v>
      </c>
      <c r="E2026" s="23" t="s">
        <v>752</v>
      </c>
      <c r="F2026" s="23" t="s">
        <v>57</v>
      </c>
      <c r="G2026" s="23" t="s">
        <v>57</v>
      </c>
      <c r="H2026" s="23" t="s">
        <v>10757</v>
      </c>
      <c r="I2026" s="23" t="s">
        <v>10757</v>
      </c>
      <c r="J2026" s="140">
        <v>44980</v>
      </c>
      <c r="K2026" s="23" t="s">
        <v>10758</v>
      </c>
      <c r="L2026" s="140">
        <v>44991</v>
      </c>
      <c r="P2026" s="64" t="s">
        <v>10770</v>
      </c>
      <c r="Q2026" s="141" t="s">
        <v>10751</v>
      </c>
      <c r="S2026" s="23" t="s">
        <v>183</v>
      </c>
      <c r="T2026" s="23" t="s">
        <v>305</v>
      </c>
      <c r="U2026" s="23" t="s">
        <v>305</v>
      </c>
      <c r="V2026" s="23" t="s">
        <v>233</v>
      </c>
      <c r="W2026" s="23" t="s">
        <v>112</v>
      </c>
      <c r="X2026" s="23">
        <v>35125.1</v>
      </c>
      <c r="Y2026" s="37">
        <v>35333.9</v>
      </c>
      <c r="Z2026" s="23">
        <v>34844.1</v>
      </c>
      <c r="AA2026" s="23">
        <v>32288.1</v>
      </c>
      <c r="AB2026" s="23" t="s">
        <v>10746</v>
      </c>
      <c r="AC2026" s="23" t="s">
        <v>791</v>
      </c>
      <c r="AD2026" s="23">
        <v>0</v>
      </c>
      <c r="AE2026" s="23">
        <v>2</v>
      </c>
      <c r="AF2026" s="23" t="s">
        <v>9622</v>
      </c>
      <c r="AG2026" s="23" t="s">
        <v>792</v>
      </c>
      <c r="AH2026" s="39">
        <v>44991</v>
      </c>
    </row>
    <row r="2027" spans="1:37">
      <c r="A2027" s="104" t="s">
        <v>10744</v>
      </c>
      <c r="B2027" s="23" t="s">
        <v>10747</v>
      </c>
      <c r="C2027" s="140">
        <v>44989</v>
      </c>
      <c r="D2027" s="23" t="s">
        <v>729</v>
      </c>
      <c r="E2027" s="23" t="s">
        <v>752</v>
      </c>
      <c r="F2027" s="23" t="s">
        <v>57</v>
      </c>
      <c r="G2027" s="23" t="s">
        <v>57</v>
      </c>
      <c r="H2027" s="23" t="s">
        <v>10748</v>
      </c>
      <c r="I2027" s="23" t="s">
        <v>10748</v>
      </c>
      <c r="J2027" s="140">
        <v>44986</v>
      </c>
      <c r="P2027" s="23" t="s">
        <v>10749</v>
      </c>
      <c r="Q2027" s="141" t="s">
        <v>10750</v>
      </c>
      <c r="S2027" s="23" t="s">
        <v>184</v>
      </c>
      <c r="T2027" s="23" t="s">
        <v>302</v>
      </c>
      <c r="U2027" s="23" t="s">
        <v>302</v>
      </c>
      <c r="V2027" s="23" t="s">
        <v>233</v>
      </c>
      <c r="W2027" s="23" t="s">
        <v>10752</v>
      </c>
      <c r="X2027" s="37">
        <v>10143.39</v>
      </c>
      <c r="Y2027" s="23">
        <v>10320.9</v>
      </c>
      <c r="Z2027" s="23">
        <v>20049.53</v>
      </c>
      <c r="AB2027" s="23" t="s">
        <v>10753</v>
      </c>
      <c r="AC2027" s="23" t="s">
        <v>9692</v>
      </c>
      <c r="AD2027" s="23">
        <v>0</v>
      </c>
      <c r="AE2027" s="23">
        <v>1</v>
      </c>
      <c r="AF2027" s="23" t="s">
        <v>9622</v>
      </c>
      <c r="AG2027" s="23" t="s">
        <v>787</v>
      </c>
      <c r="AH2027" s="39">
        <v>44991</v>
      </c>
    </row>
    <row r="2028" spans="1:37" ht="64">
      <c r="A2028" s="75" t="s">
        <v>10759</v>
      </c>
      <c r="B2028" s="23" t="s">
        <v>10760</v>
      </c>
      <c r="C2028" s="140">
        <v>44980</v>
      </c>
      <c r="D2028" s="23" t="s">
        <v>729</v>
      </c>
      <c r="E2028" s="23" t="s">
        <v>752</v>
      </c>
      <c r="F2028" s="23" t="s">
        <v>8493</v>
      </c>
      <c r="G2028" s="23" t="s">
        <v>3469</v>
      </c>
      <c r="H2028" s="23" t="s">
        <v>10761</v>
      </c>
      <c r="I2028" s="23" t="s">
        <v>10761</v>
      </c>
      <c r="J2028" s="140">
        <v>44974</v>
      </c>
      <c r="T2028" s="23" t="s">
        <v>12031</v>
      </c>
      <c r="U2028" s="23" t="s">
        <v>12031</v>
      </c>
      <c r="V2028" s="23" t="s">
        <v>299</v>
      </c>
      <c r="W2028" s="19" t="s">
        <v>10766</v>
      </c>
      <c r="AB2028" s="19" t="s">
        <v>10763</v>
      </c>
      <c r="AC2028" s="23">
        <v>8</v>
      </c>
      <c r="AD2028" s="23">
        <v>0</v>
      </c>
      <c r="AE2028" s="23">
        <v>4</v>
      </c>
      <c r="AF2028" s="23" t="s">
        <v>9622</v>
      </c>
      <c r="AG2028" s="23" t="s">
        <v>3973</v>
      </c>
      <c r="AH2028" s="39">
        <v>44992</v>
      </c>
      <c r="AI2028" s="53" t="s">
        <v>5706</v>
      </c>
      <c r="AJ2028" s="75" t="s">
        <v>10838</v>
      </c>
      <c r="AK2028" s="53">
        <v>44995</v>
      </c>
    </row>
    <row r="2029" spans="1:37">
      <c r="A2029" s="75" t="s">
        <v>10762</v>
      </c>
      <c r="B2029" s="23" t="s">
        <v>10764</v>
      </c>
      <c r="C2029" s="140">
        <v>44988</v>
      </c>
      <c r="D2029" s="23" t="s">
        <v>729</v>
      </c>
      <c r="E2029" s="23" t="s">
        <v>752</v>
      </c>
      <c r="F2029" s="23" t="s">
        <v>6113</v>
      </c>
      <c r="G2029" s="23" t="s">
        <v>5538</v>
      </c>
      <c r="H2029" s="23" t="s">
        <v>10765</v>
      </c>
      <c r="I2029" s="23" t="s">
        <v>10765</v>
      </c>
      <c r="J2029" s="140">
        <v>44925</v>
      </c>
      <c r="T2029" s="23" t="s">
        <v>12031</v>
      </c>
      <c r="U2029" s="23" t="s">
        <v>12031</v>
      </c>
      <c r="V2029" s="23" t="s">
        <v>299</v>
      </c>
      <c r="W2029" s="23" t="s">
        <v>10767</v>
      </c>
      <c r="AB2029" s="59" t="s">
        <v>10768</v>
      </c>
      <c r="AC2029" s="23">
        <v>3</v>
      </c>
      <c r="AD2029" s="23">
        <v>0</v>
      </c>
      <c r="AE2029" s="23">
        <v>1</v>
      </c>
      <c r="AF2029" s="23" t="s">
        <v>9622</v>
      </c>
      <c r="AG2029" s="23" t="s">
        <v>5879</v>
      </c>
      <c r="AH2029" s="39">
        <v>44993</v>
      </c>
      <c r="AI2029" s="53" t="s">
        <v>9962</v>
      </c>
      <c r="AJ2029" s="75" t="s">
        <v>10839</v>
      </c>
      <c r="AK2029" s="53">
        <v>44996</v>
      </c>
    </row>
    <row r="2030" spans="1:37" ht="128">
      <c r="A2030" s="75" t="s">
        <v>10771</v>
      </c>
      <c r="B2030" s="23" t="s">
        <v>10787</v>
      </c>
      <c r="C2030" s="140">
        <v>44992</v>
      </c>
      <c r="D2030" s="23" t="s">
        <v>729</v>
      </c>
      <c r="E2030" s="23" t="s">
        <v>752</v>
      </c>
      <c r="F2030" s="23" t="s">
        <v>10774</v>
      </c>
      <c r="G2030" s="23" t="s">
        <v>5538</v>
      </c>
      <c r="H2030" s="23" t="s">
        <v>10788</v>
      </c>
      <c r="I2030" s="23" t="s">
        <v>10788</v>
      </c>
      <c r="J2030" s="140">
        <v>44917</v>
      </c>
      <c r="T2030" s="23" t="s">
        <v>12031</v>
      </c>
      <c r="U2030" s="23" t="s">
        <v>12031</v>
      </c>
      <c r="V2030" s="23" t="s">
        <v>299</v>
      </c>
      <c r="W2030" s="23" t="s">
        <v>10789</v>
      </c>
      <c r="AB2030" s="19" t="s">
        <v>10870</v>
      </c>
      <c r="AC2030" s="23">
        <v>24</v>
      </c>
      <c r="AD2030" s="23">
        <v>0</v>
      </c>
      <c r="AE2030" s="23">
        <v>8</v>
      </c>
      <c r="AF2030" s="23" t="s">
        <v>9622</v>
      </c>
      <c r="AG2030" s="23" t="s">
        <v>3856</v>
      </c>
      <c r="AH2030" s="39">
        <v>44998</v>
      </c>
      <c r="AI2030" s="53" t="s">
        <v>10791</v>
      </c>
      <c r="AJ2030" s="75" t="s">
        <v>10840</v>
      </c>
      <c r="AK2030" s="53">
        <v>45002</v>
      </c>
    </row>
    <row r="2031" spans="1:37" ht="80">
      <c r="A2031" s="75" t="s">
        <v>10794</v>
      </c>
      <c r="B2031" s="23" t="s">
        <v>10795</v>
      </c>
      <c r="C2031" s="140">
        <v>44990</v>
      </c>
      <c r="D2031" s="23" t="s">
        <v>729</v>
      </c>
      <c r="E2031" s="23" t="s">
        <v>752</v>
      </c>
      <c r="F2031" s="23" t="s">
        <v>2200</v>
      </c>
      <c r="G2031" s="23" t="s">
        <v>301</v>
      </c>
      <c r="H2031" s="23">
        <v>20458886</v>
      </c>
      <c r="I2031" s="23">
        <v>20458886</v>
      </c>
      <c r="J2031" s="140">
        <v>44987</v>
      </c>
      <c r="K2031" s="23" t="s">
        <v>10807</v>
      </c>
      <c r="L2031" s="140">
        <v>44995</v>
      </c>
      <c r="T2031" s="23" t="s">
        <v>305</v>
      </c>
      <c r="U2031" s="23" t="s">
        <v>305</v>
      </c>
      <c r="V2031" s="23" t="s">
        <v>299</v>
      </c>
      <c r="W2031" s="23" t="s">
        <v>10796</v>
      </c>
      <c r="Y2031" s="23">
        <v>23085</v>
      </c>
      <c r="Z2031" s="23">
        <v>211500</v>
      </c>
      <c r="AB2031" s="19" t="s">
        <v>10874</v>
      </c>
      <c r="AC2031" s="59">
        <v>15</v>
      </c>
      <c r="AD2031" s="23">
        <v>0</v>
      </c>
      <c r="AE2031" s="23">
        <v>5</v>
      </c>
      <c r="AF2031" s="23" t="s">
        <v>9622</v>
      </c>
      <c r="AG2031" s="23" t="s">
        <v>659</v>
      </c>
      <c r="AH2031" s="39">
        <v>45001</v>
      </c>
      <c r="AI2031" s="53" t="s">
        <v>5851</v>
      </c>
      <c r="AJ2031" s="75" t="s">
        <v>10841</v>
      </c>
      <c r="AK2031" s="53">
        <v>45003</v>
      </c>
    </row>
    <row r="2032" spans="1:37" ht="160">
      <c r="A2032" s="75" t="s">
        <v>10797</v>
      </c>
      <c r="B2032" s="23" t="s">
        <v>10798</v>
      </c>
      <c r="C2032" s="140">
        <v>44990</v>
      </c>
      <c r="D2032" s="23" t="s">
        <v>729</v>
      </c>
      <c r="E2032" s="23" t="s">
        <v>752</v>
      </c>
      <c r="F2032" s="23" t="s">
        <v>2200</v>
      </c>
      <c r="G2032" s="23" t="s">
        <v>301</v>
      </c>
      <c r="H2032" s="23" t="s">
        <v>10808</v>
      </c>
      <c r="I2032" s="23" t="s">
        <v>10808</v>
      </c>
      <c r="J2032" s="140">
        <v>44987</v>
      </c>
      <c r="K2032" s="23" t="s">
        <v>10809</v>
      </c>
      <c r="L2032" s="140">
        <v>44995</v>
      </c>
      <c r="T2032" s="23" t="s">
        <v>305</v>
      </c>
      <c r="U2032" s="23" t="s">
        <v>305</v>
      </c>
      <c r="V2032" s="23" t="s">
        <v>5851</v>
      </c>
      <c r="W2032" s="19" t="s">
        <v>10244</v>
      </c>
      <c r="Y2032" s="23">
        <v>43020</v>
      </c>
      <c r="Z2032" s="23">
        <v>435750</v>
      </c>
      <c r="AB2032" s="19" t="s">
        <v>10873</v>
      </c>
      <c r="AC2032" s="59">
        <v>30</v>
      </c>
      <c r="AD2032" s="23">
        <v>0</v>
      </c>
      <c r="AE2032" s="23">
        <v>10</v>
      </c>
      <c r="AF2032" s="23" t="s">
        <v>9622</v>
      </c>
      <c r="AG2032" s="23" t="s">
        <v>659</v>
      </c>
      <c r="AH2032" s="39">
        <v>45001</v>
      </c>
      <c r="AI2032" s="53" t="s">
        <v>5851</v>
      </c>
      <c r="AJ2032" s="75" t="s">
        <v>10842</v>
      </c>
      <c r="AK2032" s="53">
        <v>45003</v>
      </c>
    </row>
    <row r="2033" spans="1:37" ht="64">
      <c r="A2033" s="75" t="s">
        <v>10799</v>
      </c>
      <c r="B2033" s="23" t="s">
        <v>10800</v>
      </c>
      <c r="C2033" s="140">
        <v>44990</v>
      </c>
      <c r="D2033" s="23" t="s">
        <v>729</v>
      </c>
      <c r="E2033" s="23" t="s">
        <v>752</v>
      </c>
      <c r="F2033" s="23" t="s">
        <v>2200</v>
      </c>
      <c r="G2033" s="23" t="s">
        <v>301</v>
      </c>
      <c r="H2033" s="23">
        <v>20462020</v>
      </c>
      <c r="I2033" s="23">
        <v>20462020</v>
      </c>
      <c r="J2033" s="140">
        <v>44988</v>
      </c>
      <c r="K2033" s="23" t="s">
        <v>10810</v>
      </c>
      <c r="L2033" s="140">
        <v>44998</v>
      </c>
      <c r="P2033" s="23" t="s">
        <v>10847</v>
      </c>
      <c r="Q2033" s="141" t="s">
        <v>10848</v>
      </c>
      <c r="T2033" s="23" t="s">
        <v>305</v>
      </c>
      <c r="U2033" s="23" t="s">
        <v>305</v>
      </c>
      <c r="V2033" s="23" t="s">
        <v>299</v>
      </c>
      <c r="W2033" s="23" t="s">
        <v>10801</v>
      </c>
      <c r="Y2033" s="23">
        <v>16080</v>
      </c>
      <c r="Z2033" s="23">
        <v>131200</v>
      </c>
      <c r="AB2033" s="19" t="s">
        <v>10872</v>
      </c>
      <c r="AC2033" s="59">
        <v>8</v>
      </c>
      <c r="AD2033" s="23">
        <v>0</v>
      </c>
      <c r="AE2033" s="23">
        <v>4</v>
      </c>
      <c r="AF2033" s="23" t="s">
        <v>9622</v>
      </c>
      <c r="AG2033" s="23" t="s">
        <v>659</v>
      </c>
      <c r="AH2033" s="39">
        <v>45006</v>
      </c>
      <c r="AI2033" s="53" t="s">
        <v>5852</v>
      </c>
      <c r="AJ2033" s="75" t="s">
        <v>11135</v>
      </c>
      <c r="AK2033" s="53">
        <v>45007</v>
      </c>
    </row>
    <row r="2034" spans="1:37" ht="32">
      <c r="A2034" s="75" t="s">
        <v>10802</v>
      </c>
      <c r="B2034" s="23" t="s">
        <v>10803</v>
      </c>
      <c r="C2034" s="140">
        <v>44990</v>
      </c>
      <c r="D2034" s="23" t="s">
        <v>729</v>
      </c>
      <c r="E2034" s="23" t="s">
        <v>752</v>
      </c>
      <c r="F2034" s="23" t="s">
        <v>2200</v>
      </c>
      <c r="G2034" s="23" t="s">
        <v>301</v>
      </c>
      <c r="H2034" s="23" t="s">
        <v>10811</v>
      </c>
      <c r="I2034" s="23" t="s">
        <v>10811</v>
      </c>
      <c r="J2034" s="140">
        <v>44987</v>
      </c>
      <c r="K2034" s="23" t="s">
        <v>10812</v>
      </c>
      <c r="L2034" s="140">
        <v>44995</v>
      </c>
      <c r="P2034" s="23" t="s">
        <v>10847</v>
      </c>
      <c r="Q2034" s="141" t="s">
        <v>10848</v>
      </c>
      <c r="T2034" s="23" t="s">
        <v>305</v>
      </c>
      <c r="U2034" s="23" t="s">
        <v>305</v>
      </c>
      <c r="V2034" s="23" t="s">
        <v>299</v>
      </c>
      <c r="W2034" s="23" t="s">
        <v>10640</v>
      </c>
      <c r="Y2034" s="23">
        <v>7695</v>
      </c>
      <c r="Z2034" s="23">
        <v>70500</v>
      </c>
      <c r="AB2034" s="19" t="s">
        <v>10871</v>
      </c>
      <c r="AC2034" s="59">
        <v>5</v>
      </c>
      <c r="AD2034" s="23">
        <v>0</v>
      </c>
      <c r="AE2034" s="23">
        <v>2</v>
      </c>
      <c r="AF2034" s="23" t="s">
        <v>9622</v>
      </c>
      <c r="AG2034" s="23" t="s">
        <v>659</v>
      </c>
      <c r="AH2034" s="39">
        <v>45006</v>
      </c>
      <c r="AI2034" s="53" t="s">
        <v>5851</v>
      </c>
      <c r="AJ2034" s="75" t="s">
        <v>11136</v>
      </c>
      <c r="AK2034" s="53">
        <v>45007</v>
      </c>
    </row>
    <row r="2035" spans="1:37">
      <c r="A2035" s="75" t="s">
        <v>10804</v>
      </c>
      <c r="B2035" s="23" t="s">
        <v>10805</v>
      </c>
      <c r="C2035" s="140">
        <v>44990</v>
      </c>
      <c r="D2035" s="23" t="s">
        <v>729</v>
      </c>
      <c r="E2035" s="23" t="s">
        <v>752</v>
      </c>
      <c r="F2035" s="23" t="s">
        <v>2200</v>
      </c>
      <c r="G2035" s="23" t="s">
        <v>301</v>
      </c>
      <c r="H2035" s="23" t="s">
        <v>10813</v>
      </c>
      <c r="I2035" s="23" t="s">
        <v>10813</v>
      </c>
      <c r="J2035" s="140">
        <v>44987</v>
      </c>
      <c r="K2035" s="23" t="s">
        <v>10814</v>
      </c>
      <c r="L2035" s="140">
        <v>44999</v>
      </c>
      <c r="P2035" s="23" t="s">
        <v>10847</v>
      </c>
      <c r="Q2035" s="141" t="s">
        <v>10848</v>
      </c>
      <c r="T2035" s="23" t="s">
        <v>305</v>
      </c>
      <c r="U2035" s="23" t="s">
        <v>305</v>
      </c>
      <c r="V2035" s="23" t="s">
        <v>299</v>
      </c>
      <c r="W2035" s="23" t="s">
        <v>10246</v>
      </c>
      <c r="Y2035" s="23">
        <v>1550</v>
      </c>
      <c r="Z2035" s="23">
        <v>15250</v>
      </c>
      <c r="AB2035" s="59" t="s">
        <v>10806</v>
      </c>
      <c r="AC2035" s="59">
        <v>1</v>
      </c>
      <c r="AD2035" s="23">
        <v>0</v>
      </c>
      <c r="AE2035" s="23">
        <v>0</v>
      </c>
      <c r="AF2035" s="23" t="s">
        <v>9622</v>
      </c>
      <c r="AG2035" s="23" t="s">
        <v>659</v>
      </c>
      <c r="AH2035" s="39">
        <v>45006</v>
      </c>
      <c r="AI2035" s="53" t="s">
        <v>5851</v>
      </c>
      <c r="AJ2035" s="75" t="s">
        <v>11136</v>
      </c>
      <c r="AK2035" s="53">
        <v>45007</v>
      </c>
    </row>
    <row r="2036" spans="1:37" ht="32">
      <c r="A2036" s="75" t="s">
        <v>10843</v>
      </c>
      <c r="B2036" s="23" t="s">
        <v>10844</v>
      </c>
      <c r="C2036" s="140">
        <v>44997</v>
      </c>
      <c r="D2036" s="23" t="s">
        <v>729</v>
      </c>
      <c r="E2036" s="23" t="s">
        <v>752</v>
      </c>
      <c r="F2036" s="23" t="s">
        <v>2200</v>
      </c>
      <c r="G2036" s="23" t="s">
        <v>301</v>
      </c>
      <c r="H2036" s="23" t="s">
        <v>10849</v>
      </c>
      <c r="I2036" s="23" t="s">
        <v>10849</v>
      </c>
      <c r="J2036" s="140">
        <v>44985</v>
      </c>
      <c r="P2036" s="23" t="s">
        <v>10876</v>
      </c>
      <c r="Q2036" s="141" t="s">
        <v>10863</v>
      </c>
      <c r="T2036" s="23" t="s">
        <v>305</v>
      </c>
      <c r="U2036" s="23" t="s">
        <v>305</v>
      </c>
      <c r="V2036" s="23" t="s">
        <v>298</v>
      </c>
      <c r="W2036" s="19" t="s">
        <v>10845</v>
      </c>
      <c r="Y2036" s="38">
        <v>2279</v>
      </c>
      <c r="Z2036" s="23">
        <v>65</v>
      </c>
      <c r="AB2036" s="59" t="s">
        <v>10850</v>
      </c>
      <c r="AC2036" s="23" t="s">
        <v>10862</v>
      </c>
      <c r="AD2036" s="23">
        <v>0</v>
      </c>
      <c r="AE2036" s="23">
        <v>1</v>
      </c>
      <c r="AF2036" s="23" t="s">
        <v>9622</v>
      </c>
      <c r="AG2036" s="23" t="s">
        <v>10846</v>
      </c>
      <c r="AH2036" s="39">
        <v>45007</v>
      </c>
      <c r="AJ2036" s="75" t="s">
        <v>11137</v>
      </c>
      <c r="AK2036" s="53">
        <v>45013</v>
      </c>
    </row>
    <row r="2037" spans="1:37" ht="176">
      <c r="A2037" s="75" t="s">
        <v>10851</v>
      </c>
      <c r="B2037" s="23" t="s">
        <v>10856</v>
      </c>
      <c r="C2037" s="140">
        <v>45000</v>
      </c>
      <c r="D2037" s="23" t="s">
        <v>729</v>
      </c>
      <c r="E2037" s="23" t="s">
        <v>752</v>
      </c>
      <c r="F2037" s="23" t="s">
        <v>2200</v>
      </c>
      <c r="G2037" s="23" t="s">
        <v>301</v>
      </c>
      <c r="H2037" s="23" t="s">
        <v>10857</v>
      </c>
      <c r="I2037" s="23" t="s">
        <v>10857</v>
      </c>
      <c r="J2037" s="140">
        <v>44985</v>
      </c>
      <c r="P2037" s="23" t="s">
        <v>10864</v>
      </c>
      <c r="Q2037" s="141" t="s">
        <v>10865</v>
      </c>
      <c r="T2037" s="23" t="s">
        <v>305</v>
      </c>
      <c r="U2037" s="23" t="s">
        <v>305</v>
      </c>
      <c r="V2037" s="23" t="s">
        <v>298</v>
      </c>
      <c r="W2037" s="19" t="s">
        <v>10858</v>
      </c>
      <c r="X2037" s="23">
        <v>979</v>
      </c>
      <c r="Y2037" s="23">
        <v>1366</v>
      </c>
      <c r="Z2037" s="23">
        <v>13.220000000000002</v>
      </c>
      <c r="AB2037" s="59" t="s">
        <v>10859</v>
      </c>
      <c r="AC2037" s="23" t="s">
        <v>10860</v>
      </c>
      <c r="AD2037" s="23">
        <v>0</v>
      </c>
      <c r="AE2037" s="23">
        <v>1</v>
      </c>
      <c r="AF2037" s="23" t="s">
        <v>3451</v>
      </c>
      <c r="AG2037" s="23" t="s">
        <v>10861</v>
      </c>
      <c r="AH2037" s="39">
        <v>45012</v>
      </c>
      <c r="AJ2037" s="75" t="s">
        <v>11138</v>
      </c>
      <c r="AK2037" s="53">
        <v>45016</v>
      </c>
    </row>
    <row r="2038" spans="1:37" ht="128">
      <c r="A2038" s="75" t="s">
        <v>10852</v>
      </c>
      <c r="B2038" s="23" t="s">
        <v>10853</v>
      </c>
      <c r="C2038" s="140">
        <v>44996</v>
      </c>
      <c r="D2038" s="23" t="s">
        <v>729</v>
      </c>
      <c r="E2038" s="23" t="s">
        <v>752</v>
      </c>
      <c r="F2038" s="23" t="s">
        <v>10774</v>
      </c>
      <c r="G2038" s="23" t="s">
        <v>5538</v>
      </c>
      <c r="H2038" s="23" t="s">
        <v>10854</v>
      </c>
      <c r="I2038" s="23" t="s">
        <v>10854</v>
      </c>
      <c r="J2038" s="140">
        <v>44917</v>
      </c>
      <c r="T2038" s="23" t="s">
        <v>12031</v>
      </c>
      <c r="U2038" s="23" t="s">
        <v>12031</v>
      </c>
      <c r="V2038" s="23" t="s">
        <v>299</v>
      </c>
      <c r="W2038" s="23" t="s">
        <v>10855</v>
      </c>
      <c r="X2038" s="23">
        <v>33360</v>
      </c>
      <c r="Y2038" s="23">
        <v>34080</v>
      </c>
      <c r="AB2038" s="19" t="s">
        <v>10906</v>
      </c>
      <c r="AC2038" s="23">
        <v>24</v>
      </c>
      <c r="AD2038" s="23">
        <v>0</v>
      </c>
      <c r="AE2038" s="23">
        <v>8</v>
      </c>
      <c r="AF2038" s="23" t="s">
        <v>9622</v>
      </c>
      <c r="AG2038" s="23" t="s">
        <v>3856</v>
      </c>
      <c r="AH2038" s="39">
        <v>45012</v>
      </c>
      <c r="AI2038" s="53" t="s">
        <v>10791</v>
      </c>
      <c r="AJ2038" s="75" t="s">
        <v>11139</v>
      </c>
      <c r="AK2038" s="53">
        <v>45016</v>
      </c>
    </row>
    <row r="2039" spans="1:37">
      <c r="A2039" s="104" t="s">
        <v>10866</v>
      </c>
      <c r="B2039" s="23" t="s">
        <v>10867</v>
      </c>
      <c r="C2039" s="140">
        <v>45005</v>
      </c>
      <c r="D2039" s="23" t="s">
        <v>729</v>
      </c>
      <c r="E2039" s="23" t="s">
        <v>752</v>
      </c>
      <c r="F2039" s="23" t="s">
        <v>57</v>
      </c>
      <c r="G2039" s="23" t="s">
        <v>57</v>
      </c>
      <c r="H2039" s="23" t="s">
        <v>10875</v>
      </c>
      <c r="I2039" s="23" t="s">
        <v>10875</v>
      </c>
      <c r="J2039" s="140">
        <v>45002</v>
      </c>
      <c r="K2039" s="23" t="s">
        <v>10885</v>
      </c>
      <c r="L2039" s="140">
        <v>45014</v>
      </c>
      <c r="P2039" s="23" t="s">
        <v>10864</v>
      </c>
      <c r="Q2039" s="141" t="s">
        <v>10865</v>
      </c>
      <c r="S2039" s="23" t="s">
        <v>183</v>
      </c>
      <c r="T2039" s="23" t="s">
        <v>305</v>
      </c>
      <c r="U2039" s="23" t="s">
        <v>305</v>
      </c>
      <c r="V2039" s="23" t="s">
        <v>233</v>
      </c>
      <c r="W2039" s="23" t="s">
        <v>143</v>
      </c>
      <c r="X2039" s="23">
        <v>66119.899999999994</v>
      </c>
      <c r="Y2039" s="37">
        <v>66543.8</v>
      </c>
      <c r="Z2039" s="23">
        <v>69876.509999999995</v>
      </c>
      <c r="AA2039" s="23">
        <v>65084.51</v>
      </c>
      <c r="AB2039" s="23" t="s">
        <v>10868</v>
      </c>
      <c r="AC2039" s="23" t="s">
        <v>10869</v>
      </c>
      <c r="AD2039" s="23">
        <v>0</v>
      </c>
      <c r="AE2039" s="23">
        <v>4</v>
      </c>
      <c r="AF2039" s="23" t="s">
        <v>9622</v>
      </c>
      <c r="AG2039" s="23" t="s">
        <v>792</v>
      </c>
      <c r="AH2039" s="39">
        <v>45013</v>
      </c>
    </row>
    <row r="2040" spans="1:37" ht="32">
      <c r="A2040" s="75" t="s">
        <v>10879</v>
      </c>
      <c r="B2040" s="23" t="s">
        <v>10880</v>
      </c>
      <c r="C2040" s="140">
        <v>45005</v>
      </c>
      <c r="D2040" s="23" t="s">
        <v>729</v>
      </c>
      <c r="E2040" s="23" t="s">
        <v>752</v>
      </c>
      <c r="F2040" s="23" t="s">
        <v>2200</v>
      </c>
      <c r="G2040" s="23" t="s">
        <v>301</v>
      </c>
      <c r="H2040" s="23">
        <v>20465690</v>
      </c>
      <c r="I2040" s="23">
        <v>20465690</v>
      </c>
      <c r="J2040" s="140">
        <v>45003</v>
      </c>
      <c r="K2040" s="23" t="s">
        <v>10881</v>
      </c>
      <c r="L2040" s="140">
        <v>45014</v>
      </c>
      <c r="T2040" s="23" t="s">
        <v>305</v>
      </c>
      <c r="U2040" s="23" t="s">
        <v>305</v>
      </c>
      <c r="V2040" s="23" t="s">
        <v>299</v>
      </c>
      <c r="W2040" s="23" t="s">
        <v>10616</v>
      </c>
      <c r="Y2040" s="23">
        <v>8600</v>
      </c>
      <c r="Z2040" s="23">
        <v>64288</v>
      </c>
      <c r="AB2040" s="60" t="s">
        <v>10882</v>
      </c>
      <c r="AC2040" s="59">
        <v>4</v>
      </c>
      <c r="AD2040" s="23">
        <v>0</v>
      </c>
      <c r="AE2040" s="23">
        <v>2</v>
      </c>
      <c r="AF2040" s="23" t="s">
        <v>9622</v>
      </c>
      <c r="AG2040" s="23" t="s">
        <v>1553</v>
      </c>
      <c r="AH2040" s="39">
        <v>45019</v>
      </c>
      <c r="AI2040" s="53" t="s">
        <v>5852</v>
      </c>
      <c r="AJ2040" s="75" t="s">
        <v>11140</v>
      </c>
      <c r="AK2040" s="53">
        <v>45021</v>
      </c>
    </row>
    <row r="2041" spans="1:37" ht="272">
      <c r="A2041" s="75" t="s">
        <v>10886</v>
      </c>
      <c r="B2041" s="23" t="s">
        <v>10887</v>
      </c>
      <c r="C2041" s="140">
        <v>45012</v>
      </c>
      <c r="D2041" s="23" t="s">
        <v>729</v>
      </c>
      <c r="E2041" s="23" t="s">
        <v>752</v>
      </c>
      <c r="F2041" s="23" t="s">
        <v>2200</v>
      </c>
      <c r="G2041" s="23" t="s">
        <v>301</v>
      </c>
      <c r="H2041" s="23">
        <v>20463881</v>
      </c>
      <c r="I2041" s="23">
        <v>20463881</v>
      </c>
      <c r="J2041" s="140">
        <v>45007</v>
      </c>
      <c r="K2041" s="23" t="s">
        <v>10917</v>
      </c>
      <c r="L2041" s="140">
        <v>45019</v>
      </c>
      <c r="P2041" s="19" t="s">
        <v>10910</v>
      </c>
      <c r="Q2041" s="141" t="s">
        <v>10907</v>
      </c>
      <c r="T2041" s="23" t="s">
        <v>305</v>
      </c>
      <c r="U2041" s="23" t="s">
        <v>305</v>
      </c>
      <c r="V2041" s="23" t="s">
        <v>299</v>
      </c>
      <c r="W2041" s="23" t="s">
        <v>9762</v>
      </c>
      <c r="Y2041" s="23">
        <v>65900</v>
      </c>
      <c r="Z2041" s="23">
        <v>600000</v>
      </c>
      <c r="AB2041" s="60" t="s">
        <v>10888</v>
      </c>
      <c r="AC2041" s="59">
        <v>50</v>
      </c>
      <c r="AD2041" s="23">
        <v>0</v>
      </c>
      <c r="AE2041" s="23">
        <v>17</v>
      </c>
      <c r="AF2041" s="23" t="s">
        <v>9622</v>
      </c>
      <c r="AG2041" s="23" t="s">
        <v>1553</v>
      </c>
      <c r="AH2041" s="39">
        <v>45027</v>
      </c>
      <c r="AI2041" s="53" t="s">
        <v>5851</v>
      </c>
      <c r="AJ2041" s="75" t="s">
        <v>11141</v>
      </c>
      <c r="AK2041" s="53">
        <v>45028</v>
      </c>
    </row>
    <row r="2042" spans="1:37" ht="32">
      <c r="A2042" s="75" t="s">
        <v>10889</v>
      </c>
      <c r="B2042" s="23" t="s">
        <v>10890</v>
      </c>
      <c r="C2042" s="140">
        <v>45013</v>
      </c>
      <c r="D2042" s="23" t="s">
        <v>729</v>
      </c>
      <c r="E2042" s="23" t="s">
        <v>752</v>
      </c>
      <c r="F2042" s="23" t="s">
        <v>2200</v>
      </c>
      <c r="G2042" s="23" t="s">
        <v>301</v>
      </c>
      <c r="H2042" s="23">
        <v>20464190</v>
      </c>
      <c r="I2042" s="23">
        <v>20464190</v>
      </c>
      <c r="J2042" s="140">
        <v>45007</v>
      </c>
      <c r="K2042" s="23" t="s">
        <v>10918</v>
      </c>
      <c r="L2042" s="140">
        <v>45028</v>
      </c>
      <c r="P2042" s="19" t="s">
        <v>10908</v>
      </c>
      <c r="Q2042" s="141" t="s">
        <v>10909</v>
      </c>
      <c r="T2042" s="23" t="s">
        <v>305</v>
      </c>
      <c r="U2042" s="23" t="s">
        <v>305</v>
      </c>
      <c r="V2042" s="23" t="s">
        <v>299</v>
      </c>
      <c r="W2042" s="19" t="s">
        <v>10891</v>
      </c>
      <c r="Y2042" s="23">
        <v>3340</v>
      </c>
      <c r="Z2042" s="23">
        <v>43700</v>
      </c>
      <c r="AB2042" s="59" t="s">
        <v>10892</v>
      </c>
      <c r="AC2042" s="59">
        <v>2</v>
      </c>
      <c r="AD2042" s="23">
        <v>0</v>
      </c>
      <c r="AE2042" s="23">
        <v>1</v>
      </c>
      <c r="AF2042" s="23" t="s">
        <v>9622</v>
      </c>
      <c r="AG2042" s="23" t="s">
        <v>1553</v>
      </c>
      <c r="AH2042" s="39">
        <v>45027</v>
      </c>
      <c r="AI2042" s="53" t="s">
        <v>5851</v>
      </c>
      <c r="AJ2042" s="75" t="s">
        <v>11142</v>
      </c>
      <c r="AK2042" s="53">
        <v>45028</v>
      </c>
    </row>
    <row r="2043" spans="1:37" ht="64">
      <c r="A2043" s="75" t="s">
        <v>10893</v>
      </c>
      <c r="B2043" s="23" t="s">
        <v>10894</v>
      </c>
      <c r="C2043" s="140">
        <v>45013</v>
      </c>
      <c r="D2043" s="23" t="s">
        <v>729</v>
      </c>
      <c r="E2043" s="23" t="s">
        <v>752</v>
      </c>
      <c r="F2043" s="23" t="s">
        <v>2200</v>
      </c>
      <c r="G2043" s="23" t="s">
        <v>301</v>
      </c>
      <c r="H2043" s="23">
        <v>20464192</v>
      </c>
      <c r="I2043" s="23">
        <v>20464192</v>
      </c>
      <c r="J2043" s="140">
        <v>45007</v>
      </c>
      <c r="K2043" s="23" t="s">
        <v>10919</v>
      </c>
      <c r="L2043" s="140">
        <v>45028</v>
      </c>
      <c r="P2043" s="19" t="s">
        <v>10908</v>
      </c>
      <c r="Q2043" s="141" t="s">
        <v>10909</v>
      </c>
      <c r="T2043" s="23" t="s">
        <v>305</v>
      </c>
      <c r="U2043" s="23" t="s">
        <v>305</v>
      </c>
      <c r="V2043" s="23" t="s">
        <v>299</v>
      </c>
      <c r="W2043" s="19" t="s">
        <v>10891</v>
      </c>
      <c r="Y2043" s="23">
        <v>13360</v>
      </c>
      <c r="Z2043" s="23">
        <v>174800</v>
      </c>
      <c r="AB2043" s="60" t="s">
        <v>10895</v>
      </c>
      <c r="AC2043" s="59">
        <v>8</v>
      </c>
      <c r="AD2043" s="23">
        <v>0</v>
      </c>
      <c r="AE2043" s="23">
        <v>4</v>
      </c>
      <c r="AF2043" s="23" t="s">
        <v>9622</v>
      </c>
      <c r="AG2043" s="23" t="s">
        <v>1553</v>
      </c>
      <c r="AH2043" s="39">
        <v>45027</v>
      </c>
      <c r="AI2043" s="53" t="s">
        <v>5851</v>
      </c>
      <c r="AJ2043" s="75" t="s">
        <v>11143</v>
      </c>
      <c r="AK2043" s="53">
        <v>45028</v>
      </c>
    </row>
    <row r="2044" spans="1:37" ht="48">
      <c r="A2044" s="75" t="s">
        <v>10896</v>
      </c>
      <c r="B2044" s="23" t="s">
        <v>10898</v>
      </c>
      <c r="C2044" s="140">
        <v>45013</v>
      </c>
      <c r="D2044" s="23" t="s">
        <v>729</v>
      </c>
      <c r="E2044" s="23" t="s">
        <v>752</v>
      </c>
      <c r="F2044" s="23" t="s">
        <v>2200</v>
      </c>
      <c r="G2044" s="23" t="s">
        <v>301</v>
      </c>
      <c r="H2044" s="23">
        <v>20464193</v>
      </c>
      <c r="I2044" s="23">
        <v>20464193</v>
      </c>
      <c r="J2044" s="140">
        <v>45007</v>
      </c>
      <c r="K2044" s="23" t="s">
        <v>10920</v>
      </c>
      <c r="L2044" s="140">
        <v>45028</v>
      </c>
      <c r="P2044" s="19" t="s">
        <v>10908</v>
      </c>
      <c r="Q2044" s="141" t="s">
        <v>10909</v>
      </c>
      <c r="T2044" s="23" t="s">
        <v>305</v>
      </c>
      <c r="U2044" s="23" t="s">
        <v>305</v>
      </c>
      <c r="V2044" s="23" t="s">
        <v>299</v>
      </c>
      <c r="W2044" s="23" t="s">
        <v>10619</v>
      </c>
      <c r="Y2044" s="23">
        <v>10860</v>
      </c>
      <c r="Z2044" s="23">
        <v>218400</v>
      </c>
      <c r="AB2044" s="60" t="s">
        <v>10897</v>
      </c>
      <c r="AC2044" s="59">
        <v>6</v>
      </c>
      <c r="AD2044" s="23">
        <v>0</v>
      </c>
      <c r="AE2044" s="23">
        <v>3</v>
      </c>
      <c r="AF2044" s="23" t="s">
        <v>9622</v>
      </c>
      <c r="AG2044" s="23" t="s">
        <v>1553</v>
      </c>
      <c r="AH2044" s="39">
        <v>45027</v>
      </c>
      <c r="AI2044" s="53" t="s">
        <v>5851</v>
      </c>
      <c r="AJ2044" s="75" t="s">
        <v>11144</v>
      </c>
      <c r="AK2044" s="53">
        <v>45028</v>
      </c>
    </row>
    <row r="2045" spans="1:37">
      <c r="A2045" s="104" t="s">
        <v>10899</v>
      </c>
      <c r="B2045" s="23" t="s">
        <v>10900</v>
      </c>
      <c r="C2045" s="140">
        <v>45022</v>
      </c>
      <c r="D2045" s="23" t="s">
        <v>729</v>
      </c>
      <c r="E2045" s="23" t="s">
        <v>752</v>
      </c>
      <c r="F2045" s="23" t="s">
        <v>57</v>
      </c>
      <c r="G2045" s="23" t="s">
        <v>57</v>
      </c>
      <c r="H2045" s="23" t="s">
        <v>10901</v>
      </c>
      <c r="I2045" s="23" t="s">
        <v>10901</v>
      </c>
      <c r="J2045" s="140">
        <v>45012</v>
      </c>
      <c r="P2045" s="75" t="s">
        <v>10902</v>
      </c>
      <c r="S2045" s="23" t="s">
        <v>184</v>
      </c>
      <c r="T2045" s="23" t="s">
        <v>302</v>
      </c>
      <c r="U2045" s="23" t="s">
        <v>302</v>
      </c>
      <c r="V2045" s="23" t="s">
        <v>233</v>
      </c>
      <c r="W2045" s="23" t="s">
        <v>10903</v>
      </c>
      <c r="X2045" s="23">
        <v>5199.5</v>
      </c>
      <c r="Y2045" s="23">
        <v>5331.6</v>
      </c>
      <c r="Z2045" s="23">
        <v>5362.2</v>
      </c>
      <c r="AB2045" s="23" t="s">
        <v>10904</v>
      </c>
      <c r="AC2045" s="23" t="s">
        <v>10905</v>
      </c>
      <c r="AD2045" s="23">
        <v>1</v>
      </c>
      <c r="AE2045" s="23">
        <v>0</v>
      </c>
      <c r="AF2045" s="23" t="s">
        <v>9622</v>
      </c>
      <c r="AG2045" s="23" t="s">
        <v>787</v>
      </c>
      <c r="AH2045" s="39">
        <v>45026</v>
      </c>
    </row>
    <row r="2046" spans="1:37">
      <c r="A2046" s="75" t="s">
        <v>10911</v>
      </c>
      <c r="B2046" s="23" t="s">
        <v>10912</v>
      </c>
      <c r="C2046" s="140">
        <v>45007</v>
      </c>
      <c r="D2046" s="23" t="s">
        <v>729</v>
      </c>
      <c r="E2046" s="23" t="s">
        <v>752</v>
      </c>
      <c r="F2046" s="23" t="s">
        <v>2200</v>
      </c>
      <c r="G2046" s="23" t="s">
        <v>301</v>
      </c>
      <c r="H2046" s="23">
        <v>55013763</v>
      </c>
      <c r="I2046" s="23">
        <v>55013763</v>
      </c>
      <c r="J2046" s="140">
        <v>44999</v>
      </c>
      <c r="K2046" s="23" t="s">
        <v>10913</v>
      </c>
      <c r="L2046" s="140">
        <v>45019</v>
      </c>
      <c r="P2046" s="23" t="s">
        <v>10916</v>
      </c>
      <c r="Q2046" s="141" t="s">
        <v>10914</v>
      </c>
      <c r="T2046" s="23" t="s">
        <v>305</v>
      </c>
      <c r="U2046" s="23" t="s">
        <v>305</v>
      </c>
      <c r="V2046" s="23" t="s">
        <v>298</v>
      </c>
      <c r="W2046" s="23" t="s">
        <v>3141</v>
      </c>
      <c r="Y2046" s="23">
        <v>7104</v>
      </c>
      <c r="Z2046" s="23">
        <v>63.9</v>
      </c>
      <c r="AB2046" s="59" t="s">
        <v>10915</v>
      </c>
      <c r="AC2046" s="23" t="s">
        <v>8462</v>
      </c>
      <c r="AD2046" s="23">
        <v>0</v>
      </c>
      <c r="AE2046" s="23">
        <v>1</v>
      </c>
      <c r="AF2046" s="23" t="s">
        <v>9622</v>
      </c>
      <c r="AG2046" s="23" t="s">
        <v>5950</v>
      </c>
      <c r="AH2046" s="39">
        <v>45033</v>
      </c>
      <c r="AJ2046" s="75" t="s">
        <v>11145</v>
      </c>
      <c r="AK2046" s="53">
        <v>45028</v>
      </c>
    </row>
    <row r="2047" spans="1:37" ht="32">
      <c r="A2047" s="75" t="s">
        <v>10921</v>
      </c>
      <c r="B2047" s="23" t="s">
        <v>10922</v>
      </c>
      <c r="C2047" s="140">
        <v>45023</v>
      </c>
      <c r="D2047" s="23" t="s">
        <v>729</v>
      </c>
      <c r="E2047" s="23" t="s">
        <v>752</v>
      </c>
      <c r="F2047" s="23" t="s">
        <v>6113</v>
      </c>
      <c r="G2047" s="23" t="s">
        <v>5538</v>
      </c>
      <c r="H2047" s="23" t="s">
        <v>10923</v>
      </c>
      <c r="I2047" s="23" t="s">
        <v>10923</v>
      </c>
      <c r="J2047" s="140">
        <v>45015</v>
      </c>
      <c r="T2047" s="23" t="s">
        <v>12031</v>
      </c>
      <c r="U2047" s="23" t="s">
        <v>12031</v>
      </c>
      <c r="V2047" s="23" t="s">
        <v>299</v>
      </c>
      <c r="W2047" s="19" t="s">
        <v>10924</v>
      </c>
      <c r="AB2047" s="19" t="s">
        <v>10925</v>
      </c>
      <c r="AC2047" s="23">
        <v>6</v>
      </c>
      <c r="AD2047" s="23">
        <v>0</v>
      </c>
      <c r="AE2047" s="23">
        <v>2</v>
      </c>
      <c r="AF2047" s="23" t="s">
        <v>9622</v>
      </c>
      <c r="AG2047" s="23" t="s">
        <v>5388</v>
      </c>
      <c r="AH2047" s="39">
        <v>45034</v>
      </c>
      <c r="AI2047" s="53" t="s">
        <v>9962</v>
      </c>
      <c r="AJ2047" s="75" t="s">
        <v>11146</v>
      </c>
      <c r="AK2047" s="53">
        <v>45035</v>
      </c>
    </row>
    <row r="2048" spans="1:37">
      <c r="A2048" s="75" t="s">
        <v>10926</v>
      </c>
      <c r="B2048" s="23" t="s">
        <v>10927</v>
      </c>
      <c r="C2048" s="140">
        <v>45025</v>
      </c>
      <c r="D2048" s="23" t="s">
        <v>729</v>
      </c>
      <c r="E2048" s="23" t="s">
        <v>752</v>
      </c>
      <c r="F2048" s="23" t="s">
        <v>10928</v>
      </c>
      <c r="G2048" s="23" t="s">
        <v>3469</v>
      </c>
      <c r="H2048" s="23" t="s">
        <v>10929</v>
      </c>
      <c r="I2048" s="23" t="s">
        <v>10929</v>
      </c>
      <c r="J2048" s="140">
        <v>45014</v>
      </c>
      <c r="T2048" s="23" t="s">
        <v>12031</v>
      </c>
      <c r="U2048" s="23" t="s">
        <v>12031</v>
      </c>
      <c r="V2048" s="23" t="s">
        <v>299</v>
      </c>
      <c r="W2048" s="23" t="s">
        <v>10930</v>
      </c>
      <c r="AB2048" s="23" t="s">
        <v>8561</v>
      </c>
      <c r="AC2048" s="23">
        <v>50</v>
      </c>
      <c r="AF2048" s="23" t="s">
        <v>8561</v>
      </c>
      <c r="AG2048" s="23" t="s">
        <v>10931</v>
      </c>
      <c r="AH2048" s="39">
        <v>45034</v>
      </c>
      <c r="AI2048" s="53" t="s">
        <v>3469</v>
      </c>
      <c r="AJ2048" s="75" t="s">
        <v>11147</v>
      </c>
      <c r="AK2048" s="53">
        <v>45035</v>
      </c>
    </row>
    <row r="2049" spans="1:37">
      <c r="A2049" s="75" t="s">
        <v>10932</v>
      </c>
      <c r="B2049" s="23" t="s">
        <v>10933</v>
      </c>
      <c r="C2049" s="140">
        <v>45025</v>
      </c>
      <c r="D2049" s="23" t="s">
        <v>729</v>
      </c>
      <c r="E2049" s="23" t="s">
        <v>752</v>
      </c>
      <c r="F2049" s="23" t="s">
        <v>8493</v>
      </c>
      <c r="G2049" s="23" t="s">
        <v>3469</v>
      </c>
      <c r="H2049" s="23" t="s">
        <v>10934</v>
      </c>
      <c r="I2049" s="23" t="s">
        <v>10934</v>
      </c>
      <c r="J2049" s="140">
        <v>45014</v>
      </c>
      <c r="T2049" s="23" t="s">
        <v>12031</v>
      </c>
      <c r="U2049" s="23" t="s">
        <v>12031</v>
      </c>
      <c r="V2049" s="23" t="s">
        <v>299</v>
      </c>
      <c r="W2049" s="23" t="s">
        <v>10935</v>
      </c>
      <c r="AB2049" s="23" t="s">
        <v>8561</v>
      </c>
      <c r="AC2049" s="23">
        <v>5</v>
      </c>
      <c r="AF2049" s="23" t="s">
        <v>8561</v>
      </c>
      <c r="AG2049" s="23" t="s">
        <v>10936</v>
      </c>
      <c r="AH2049" s="39">
        <v>45034</v>
      </c>
      <c r="AI2049" s="53" t="s">
        <v>3469</v>
      </c>
      <c r="AJ2049" s="75" t="s">
        <v>11148</v>
      </c>
      <c r="AK2049" s="53">
        <v>45035</v>
      </c>
    </row>
    <row r="2050" spans="1:37">
      <c r="A2050" s="75" t="s">
        <v>10937</v>
      </c>
      <c r="B2050" s="23" t="s">
        <v>10938</v>
      </c>
      <c r="C2050" s="140">
        <v>45025</v>
      </c>
      <c r="D2050" s="23" t="s">
        <v>729</v>
      </c>
      <c r="E2050" s="23" t="s">
        <v>752</v>
      </c>
      <c r="F2050" s="23" t="s">
        <v>8493</v>
      </c>
      <c r="G2050" s="23" t="s">
        <v>3469</v>
      </c>
      <c r="H2050" s="23" t="s">
        <v>10939</v>
      </c>
      <c r="I2050" s="23" t="s">
        <v>10939</v>
      </c>
      <c r="J2050" s="140">
        <v>45008</v>
      </c>
      <c r="T2050" s="23" t="s">
        <v>12031</v>
      </c>
      <c r="U2050" s="23" t="s">
        <v>12031</v>
      </c>
      <c r="V2050" s="23" t="s">
        <v>299</v>
      </c>
      <c r="W2050" s="23" t="s">
        <v>10940</v>
      </c>
      <c r="AB2050" s="23" t="s">
        <v>8561</v>
      </c>
      <c r="AC2050" s="23">
        <v>1</v>
      </c>
      <c r="AF2050" s="23" t="s">
        <v>8561</v>
      </c>
      <c r="AG2050" s="23" t="s">
        <v>10936</v>
      </c>
      <c r="AH2050" s="39">
        <v>45034</v>
      </c>
      <c r="AI2050" s="53" t="s">
        <v>3469</v>
      </c>
      <c r="AJ2050" s="75" t="s">
        <v>11149</v>
      </c>
      <c r="AK2050" s="53">
        <v>45035</v>
      </c>
    </row>
    <row r="2051" spans="1:37" ht="240">
      <c r="A2051" s="75" t="s">
        <v>10944</v>
      </c>
      <c r="B2051" s="23" t="s">
        <v>10945</v>
      </c>
      <c r="C2051" s="140">
        <v>45026</v>
      </c>
      <c r="D2051" s="23" t="s">
        <v>729</v>
      </c>
      <c r="E2051" s="23" t="s">
        <v>752</v>
      </c>
      <c r="F2051" s="23" t="s">
        <v>2200</v>
      </c>
      <c r="G2051" s="23" t="s">
        <v>301</v>
      </c>
      <c r="H2051" s="23">
        <v>20467589</v>
      </c>
      <c r="I2051" s="23">
        <v>20467589</v>
      </c>
      <c r="J2051" s="140">
        <v>45026</v>
      </c>
      <c r="K2051" s="23" t="s">
        <v>10946</v>
      </c>
      <c r="L2051" s="140">
        <v>45037</v>
      </c>
      <c r="P2051" s="23" t="s">
        <v>10947</v>
      </c>
      <c r="Q2051" s="141" t="s">
        <v>10948</v>
      </c>
      <c r="T2051" s="23" t="s">
        <v>305</v>
      </c>
      <c r="U2051" s="23" t="s">
        <v>305</v>
      </c>
      <c r="V2051" s="23" t="s">
        <v>299</v>
      </c>
      <c r="W2051" s="23" t="s">
        <v>10640</v>
      </c>
      <c r="Y2051" s="23">
        <v>69255</v>
      </c>
      <c r="Z2051" s="23">
        <v>634500</v>
      </c>
      <c r="AB2051" s="60" t="s">
        <v>10949</v>
      </c>
      <c r="AC2051" s="59">
        <v>45</v>
      </c>
      <c r="AD2051" s="23">
        <v>0</v>
      </c>
      <c r="AE2051" s="23">
        <v>15</v>
      </c>
      <c r="AF2051" s="23" t="s">
        <v>9622</v>
      </c>
      <c r="AG2051" s="23" t="s">
        <v>1553</v>
      </c>
      <c r="AH2051" s="39">
        <v>45037</v>
      </c>
      <c r="AI2051" s="53" t="s">
        <v>5851</v>
      </c>
      <c r="AJ2051" s="75" t="s">
        <v>11150</v>
      </c>
      <c r="AK2051" s="53">
        <v>45038</v>
      </c>
    </row>
    <row r="2052" spans="1:37">
      <c r="A2052" s="75" t="s">
        <v>10950</v>
      </c>
      <c r="B2052" s="23" t="s">
        <v>10951</v>
      </c>
      <c r="C2052" s="140">
        <v>45040</v>
      </c>
      <c r="D2052" s="23" t="s">
        <v>729</v>
      </c>
      <c r="E2052" s="23" t="s">
        <v>2861</v>
      </c>
      <c r="F2052" s="23" t="s">
        <v>10952</v>
      </c>
      <c r="G2052" s="23" t="s">
        <v>1989</v>
      </c>
      <c r="H2052" s="23" t="s">
        <v>10953</v>
      </c>
      <c r="I2052" s="23" t="s">
        <v>10953</v>
      </c>
      <c r="J2052" s="140">
        <v>45026</v>
      </c>
      <c r="T2052" s="23" t="s">
        <v>3684</v>
      </c>
      <c r="U2052" s="23" t="s">
        <v>2726</v>
      </c>
      <c r="V2052" s="23" t="s">
        <v>299</v>
      </c>
      <c r="W2052" s="23" t="s">
        <v>10954</v>
      </c>
      <c r="AC2052" s="23">
        <v>1</v>
      </c>
      <c r="AF2052" s="23" t="s">
        <v>8561</v>
      </c>
      <c r="AG2052" s="23" t="s">
        <v>10955</v>
      </c>
      <c r="AH2052" s="39">
        <v>45041</v>
      </c>
      <c r="AI2052" s="53" t="s">
        <v>10426</v>
      </c>
      <c r="AJ2052" s="75" t="s">
        <v>11170</v>
      </c>
      <c r="AK2052" s="53">
        <v>45042</v>
      </c>
    </row>
    <row r="2053" spans="1:37" ht="32">
      <c r="A2053" s="75" t="s">
        <v>10962</v>
      </c>
      <c r="B2053" s="23" t="s">
        <v>10963</v>
      </c>
      <c r="C2053" s="140">
        <v>45040</v>
      </c>
      <c r="D2053" s="23" t="s">
        <v>729</v>
      </c>
      <c r="E2053" s="23" t="s">
        <v>2861</v>
      </c>
      <c r="F2053" s="23" t="s">
        <v>10952</v>
      </c>
      <c r="G2053" s="23" t="s">
        <v>1989</v>
      </c>
      <c r="H2053" s="23" t="s">
        <v>10964</v>
      </c>
      <c r="I2053" s="23" t="s">
        <v>10964</v>
      </c>
      <c r="J2053" s="140">
        <v>45026</v>
      </c>
      <c r="T2053" s="23" t="s">
        <v>3684</v>
      </c>
      <c r="U2053" s="23" t="s">
        <v>2726</v>
      </c>
      <c r="V2053" s="23" t="s">
        <v>299</v>
      </c>
      <c r="W2053" s="19" t="s">
        <v>10965</v>
      </c>
      <c r="AB2053" s="23" t="s">
        <v>97</v>
      </c>
      <c r="AC2053" s="23">
        <v>2</v>
      </c>
      <c r="AF2053" s="23" t="s">
        <v>8561</v>
      </c>
      <c r="AG2053" s="23" t="s">
        <v>10955</v>
      </c>
      <c r="AH2053" s="39">
        <v>45041</v>
      </c>
      <c r="AI2053" s="53" t="s">
        <v>10426</v>
      </c>
      <c r="AJ2053" s="75" t="s">
        <v>11170</v>
      </c>
      <c r="AK2053" s="53">
        <v>45042</v>
      </c>
    </row>
    <row r="2054" spans="1:37" ht="32">
      <c r="A2054" s="75" t="s">
        <v>10966</v>
      </c>
      <c r="B2054" s="23" t="s">
        <v>10967</v>
      </c>
      <c r="C2054" s="140">
        <v>45027</v>
      </c>
      <c r="D2054" s="23" t="s">
        <v>729</v>
      </c>
      <c r="E2054" s="23" t="s">
        <v>752</v>
      </c>
      <c r="F2054" s="23" t="s">
        <v>10774</v>
      </c>
      <c r="G2054" s="23" t="s">
        <v>5538</v>
      </c>
      <c r="H2054" s="23" t="s">
        <v>10968</v>
      </c>
      <c r="I2054" s="23" t="s">
        <v>10968</v>
      </c>
      <c r="J2054" s="140">
        <v>44875</v>
      </c>
      <c r="T2054" s="23" t="s">
        <v>12031</v>
      </c>
      <c r="U2054" s="23" t="s">
        <v>12031</v>
      </c>
      <c r="V2054" s="23" t="s">
        <v>299</v>
      </c>
      <c r="W2054" s="19" t="s">
        <v>10969</v>
      </c>
      <c r="AB2054" s="60" t="s">
        <v>10970</v>
      </c>
      <c r="AC2054" s="23">
        <v>6</v>
      </c>
      <c r="AD2054" s="23">
        <v>0</v>
      </c>
      <c r="AE2054" s="23">
        <v>2</v>
      </c>
      <c r="AF2054" s="23" t="s">
        <v>9622</v>
      </c>
      <c r="AG2054" s="23" t="s">
        <v>10971</v>
      </c>
      <c r="AH2054" s="39">
        <v>45042</v>
      </c>
      <c r="AI2054" s="53" t="s">
        <v>10791</v>
      </c>
      <c r="AJ2054" s="75" t="s">
        <v>11151</v>
      </c>
      <c r="AK2054" s="53">
        <v>45044</v>
      </c>
    </row>
    <row r="2055" spans="1:37" ht="32">
      <c r="A2055" s="75" t="s">
        <v>10972</v>
      </c>
      <c r="B2055" s="23" t="s">
        <v>10973</v>
      </c>
      <c r="C2055" s="140">
        <v>45036</v>
      </c>
      <c r="D2055" s="23" t="s">
        <v>729</v>
      </c>
      <c r="E2055" s="23" t="s">
        <v>752</v>
      </c>
      <c r="F2055" s="23" t="s">
        <v>6113</v>
      </c>
      <c r="G2055" s="23" t="s">
        <v>5538</v>
      </c>
      <c r="H2055" s="23" t="s">
        <v>10974</v>
      </c>
      <c r="I2055" s="23" t="s">
        <v>10974</v>
      </c>
      <c r="J2055" s="140">
        <v>45027</v>
      </c>
      <c r="T2055" s="23" t="s">
        <v>12031</v>
      </c>
      <c r="U2055" s="23" t="s">
        <v>12031</v>
      </c>
      <c r="V2055" s="23" t="s">
        <v>299</v>
      </c>
      <c r="W2055" s="23" t="s">
        <v>10975</v>
      </c>
      <c r="AB2055" s="19" t="s">
        <v>10976</v>
      </c>
      <c r="AC2055" s="23">
        <v>6</v>
      </c>
      <c r="AD2055" s="23">
        <v>0</v>
      </c>
      <c r="AE2055" s="23">
        <v>2</v>
      </c>
      <c r="AF2055" s="23" t="s">
        <v>9622</v>
      </c>
      <c r="AG2055" s="23" t="s">
        <v>10977</v>
      </c>
      <c r="AH2055" s="39">
        <v>45043</v>
      </c>
      <c r="AI2055" s="53" t="s">
        <v>9962</v>
      </c>
      <c r="AJ2055" s="75" t="s">
        <v>11152</v>
      </c>
      <c r="AK2055" s="53">
        <v>45044</v>
      </c>
    </row>
    <row r="2056" spans="1:37">
      <c r="A2056" s="75" t="s">
        <v>10978</v>
      </c>
      <c r="B2056" s="23" t="s">
        <v>10979</v>
      </c>
      <c r="C2056" s="140">
        <v>45027</v>
      </c>
      <c r="D2056" s="23" t="s">
        <v>729</v>
      </c>
      <c r="E2056" s="23" t="s">
        <v>752</v>
      </c>
      <c r="F2056" s="23" t="s">
        <v>2200</v>
      </c>
      <c r="G2056" s="23" t="s">
        <v>301</v>
      </c>
      <c r="H2056" s="23">
        <v>55013968</v>
      </c>
      <c r="I2056" s="23">
        <v>55013968</v>
      </c>
      <c r="J2056" s="140">
        <v>45008</v>
      </c>
      <c r="K2056" s="23" t="s">
        <v>10981</v>
      </c>
      <c r="L2056" s="140">
        <v>45029</v>
      </c>
      <c r="P2056" s="23" t="s">
        <v>11019</v>
      </c>
      <c r="Q2056" s="141" t="s">
        <v>11017</v>
      </c>
      <c r="T2056" s="23" t="s">
        <v>305</v>
      </c>
      <c r="U2056" s="23" t="s">
        <v>305</v>
      </c>
      <c r="V2056" s="23" t="s">
        <v>298</v>
      </c>
      <c r="W2056" s="23" t="s">
        <v>3141</v>
      </c>
      <c r="Y2056" s="23">
        <v>7236</v>
      </c>
      <c r="Z2056" s="23">
        <v>63.9</v>
      </c>
      <c r="AB2056" s="23" t="s">
        <v>10980</v>
      </c>
      <c r="AC2056" s="23" t="s">
        <v>8462</v>
      </c>
      <c r="AD2056" s="23">
        <v>0</v>
      </c>
      <c r="AE2056" s="23">
        <v>1</v>
      </c>
      <c r="AF2056" s="23" t="s">
        <v>9622</v>
      </c>
      <c r="AG2056" s="23" t="s">
        <v>5950</v>
      </c>
      <c r="AH2056" s="39">
        <v>45049</v>
      </c>
      <c r="AJ2056" s="75" t="s">
        <v>11153</v>
      </c>
      <c r="AK2056" s="53">
        <v>45059</v>
      </c>
    </row>
    <row r="2057" spans="1:37">
      <c r="A2057" s="104" t="s">
        <v>10982</v>
      </c>
      <c r="B2057" s="23" t="s">
        <v>10983</v>
      </c>
      <c r="C2057" s="140">
        <v>45039</v>
      </c>
      <c r="D2057" s="23" t="s">
        <v>729</v>
      </c>
      <c r="E2057" s="23" t="s">
        <v>752</v>
      </c>
      <c r="F2057" s="23" t="s">
        <v>57</v>
      </c>
      <c r="G2057" s="23" t="s">
        <v>57</v>
      </c>
      <c r="H2057" s="23" t="s">
        <v>10984</v>
      </c>
      <c r="I2057" s="23" t="s">
        <v>10984</v>
      </c>
      <c r="J2057" s="140">
        <v>45037</v>
      </c>
      <c r="K2057" s="23" t="s">
        <v>10988</v>
      </c>
      <c r="L2057" s="140">
        <v>45043</v>
      </c>
      <c r="P2057" s="23" t="s">
        <v>10985</v>
      </c>
      <c r="Q2057" s="141" t="s">
        <v>10986</v>
      </c>
      <c r="S2057" s="23" t="s">
        <v>183</v>
      </c>
      <c r="T2057" s="23" t="s">
        <v>305</v>
      </c>
      <c r="U2057" s="23" t="s">
        <v>305</v>
      </c>
      <c r="V2057" s="23" t="s">
        <v>233</v>
      </c>
      <c r="W2057" s="23" t="s">
        <v>68</v>
      </c>
      <c r="X2057" s="23">
        <v>13487.1</v>
      </c>
      <c r="Y2057" s="23">
        <v>13591.5</v>
      </c>
      <c r="Z2057" s="23">
        <v>13932.17</v>
      </c>
      <c r="AA2057" s="23">
        <v>12952.17</v>
      </c>
      <c r="AB2057" s="23" t="s">
        <v>10987</v>
      </c>
      <c r="AC2057" s="23" t="s">
        <v>8007</v>
      </c>
      <c r="AD2057" s="23">
        <v>0</v>
      </c>
      <c r="AE2057" s="23">
        <v>1</v>
      </c>
      <c r="AF2057" s="23" t="s">
        <v>9622</v>
      </c>
      <c r="AG2057" s="23" t="s">
        <v>792</v>
      </c>
      <c r="AH2057" s="39">
        <v>45050</v>
      </c>
    </row>
    <row r="2058" spans="1:37" ht="48">
      <c r="A2058" s="75" t="s">
        <v>10989</v>
      </c>
      <c r="B2058" s="23" t="s">
        <v>10991</v>
      </c>
      <c r="C2058" s="140">
        <v>45043</v>
      </c>
      <c r="D2058" s="23" t="s">
        <v>729</v>
      </c>
      <c r="E2058" s="23" t="s">
        <v>752</v>
      </c>
      <c r="F2058" s="23" t="s">
        <v>8493</v>
      </c>
      <c r="G2058" s="23" t="s">
        <v>3469</v>
      </c>
      <c r="H2058" s="23" t="s">
        <v>10992</v>
      </c>
      <c r="I2058" s="23" t="s">
        <v>10992</v>
      </c>
      <c r="J2058" s="140">
        <v>45012</v>
      </c>
      <c r="T2058" s="23" t="s">
        <v>12031</v>
      </c>
      <c r="U2058" s="23" t="s">
        <v>12031</v>
      </c>
      <c r="V2058" s="23" t="s">
        <v>299</v>
      </c>
      <c r="W2058" s="19" t="s">
        <v>10993</v>
      </c>
      <c r="AB2058" s="19" t="s">
        <v>10994</v>
      </c>
      <c r="AC2058" s="23">
        <v>7</v>
      </c>
      <c r="AD2058" s="23">
        <v>0</v>
      </c>
      <c r="AE2058" s="23">
        <v>3</v>
      </c>
      <c r="AF2058" s="23" t="s">
        <v>9622</v>
      </c>
      <c r="AG2058" s="23" t="s">
        <v>10995</v>
      </c>
      <c r="AH2058" s="39">
        <v>45055</v>
      </c>
      <c r="AI2058" s="53" t="s">
        <v>5706</v>
      </c>
      <c r="AJ2058" s="75" t="s">
        <v>11154</v>
      </c>
      <c r="AK2058" s="53">
        <v>45056</v>
      </c>
    </row>
    <row r="2059" spans="1:37">
      <c r="A2059" s="75" t="s">
        <v>10990</v>
      </c>
      <c r="B2059" s="23" t="s">
        <v>10996</v>
      </c>
      <c r="C2059" s="140">
        <v>45047</v>
      </c>
      <c r="D2059" s="23" t="s">
        <v>729</v>
      </c>
      <c r="E2059" s="23" t="s">
        <v>752</v>
      </c>
      <c r="F2059" s="23" t="s">
        <v>2200</v>
      </c>
      <c r="G2059" s="23" t="s">
        <v>301</v>
      </c>
      <c r="H2059" s="23">
        <v>70308541</v>
      </c>
      <c r="I2059" s="23">
        <v>70308541</v>
      </c>
      <c r="J2059" s="140">
        <v>45047</v>
      </c>
      <c r="K2059" s="23" t="s">
        <v>11020</v>
      </c>
      <c r="L2059" s="140">
        <v>45063</v>
      </c>
      <c r="P2059" s="23" t="s">
        <v>11021</v>
      </c>
      <c r="Q2059" s="141" t="s">
        <v>11017</v>
      </c>
      <c r="T2059" s="23" t="s">
        <v>305</v>
      </c>
      <c r="U2059" s="23" t="s">
        <v>305</v>
      </c>
      <c r="V2059" s="23" t="s">
        <v>298</v>
      </c>
      <c r="W2059" s="23" t="s">
        <v>11022</v>
      </c>
      <c r="Y2059" s="38">
        <v>8010</v>
      </c>
      <c r="Z2059" s="23">
        <v>92250</v>
      </c>
      <c r="AB2059" s="23" t="s">
        <v>11023</v>
      </c>
      <c r="AC2059" s="23" t="s">
        <v>11018</v>
      </c>
      <c r="AD2059" s="23">
        <v>0</v>
      </c>
      <c r="AE2059" s="23">
        <v>1</v>
      </c>
      <c r="AF2059" s="23" t="s">
        <v>5478</v>
      </c>
      <c r="AG2059" s="23" t="s">
        <v>11024</v>
      </c>
      <c r="AJ2059" s="75" t="s">
        <v>11155</v>
      </c>
      <c r="AK2059" s="53">
        <v>45066</v>
      </c>
    </row>
    <row r="2060" spans="1:37" ht="272">
      <c r="A2060" s="75" t="s">
        <v>10997</v>
      </c>
      <c r="B2060" s="23" t="s">
        <v>10999</v>
      </c>
      <c r="C2060" s="140">
        <v>45046</v>
      </c>
      <c r="D2060" s="23" t="s">
        <v>729</v>
      </c>
      <c r="E2060" s="23" t="s">
        <v>752</v>
      </c>
      <c r="F2060" s="23" t="s">
        <v>2200</v>
      </c>
      <c r="G2060" s="23" t="s">
        <v>301</v>
      </c>
      <c r="H2060" s="23">
        <v>20470661</v>
      </c>
      <c r="I2060" s="23">
        <v>20470661</v>
      </c>
      <c r="J2060" s="140">
        <v>45041</v>
      </c>
      <c r="K2060" s="23" t="s">
        <v>11000</v>
      </c>
      <c r="L2060" s="140">
        <v>45052</v>
      </c>
      <c r="P2060" s="23" t="s">
        <v>11040</v>
      </c>
      <c r="Q2060" s="141" t="s">
        <v>11041</v>
      </c>
      <c r="T2060" s="23" t="s">
        <v>305</v>
      </c>
      <c r="U2060" s="23" t="s">
        <v>305</v>
      </c>
      <c r="V2060" s="23" t="s">
        <v>299</v>
      </c>
      <c r="W2060" s="23" t="s">
        <v>10640</v>
      </c>
      <c r="Y2060" s="23">
        <v>78489</v>
      </c>
      <c r="Z2060" s="23">
        <v>719100</v>
      </c>
      <c r="AB2060" s="19" t="s">
        <v>11054</v>
      </c>
      <c r="AC2060" s="23">
        <v>51</v>
      </c>
      <c r="AD2060" s="23">
        <v>0</v>
      </c>
      <c r="AE2060" s="23">
        <v>17</v>
      </c>
      <c r="AF2060" s="23" t="s">
        <v>9622</v>
      </c>
      <c r="AG2060" s="23" t="s">
        <v>1553</v>
      </c>
      <c r="AH2060" s="39">
        <v>45062</v>
      </c>
      <c r="AI2060" s="53" t="s">
        <v>5851</v>
      </c>
      <c r="AJ2060" s="75" t="s">
        <v>11156</v>
      </c>
      <c r="AK2060" s="53">
        <v>45066</v>
      </c>
    </row>
    <row r="2061" spans="1:37" ht="272">
      <c r="A2061" s="75" t="s">
        <v>10998</v>
      </c>
      <c r="B2061" s="23" t="s">
        <v>11001</v>
      </c>
      <c r="C2061" s="140">
        <v>45040</v>
      </c>
      <c r="D2061" s="23" t="s">
        <v>729</v>
      </c>
      <c r="E2061" s="23" t="s">
        <v>752</v>
      </c>
      <c r="F2061" s="23" t="s">
        <v>2200</v>
      </c>
      <c r="G2061" s="23" t="s">
        <v>301</v>
      </c>
      <c r="H2061" s="23" t="s">
        <v>11002</v>
      </c>
      <c r="I2061" s="23" t="s">
        <v>11002</v>
      </c>
      <c r="J2061" s="140">
        <v>45029</v>
      </c>
      <c r="K2061" s="23" t="s">
        <v>11003</v>
      </c>
      <c r="L2061" s="140">
        <v>45042</v>
      </c>
      <c r="P2061" s="23" t="s">
        <v>11042</v>
      </c>
      <c r="Q2061" s="141" t="s">
        <v>11043</v>
      </c>
      <c r="T2061" s="23" t="s">
        <v>305</v>
      </c>
      <c r="U2061" s="23" t="s">
        <v>305</v>
      </c>
      <c r="V2061" s="23" t="s">
        <v>299</v>
      </c>
      <c r="W2061" s="23" t="s">
        <v>9762</v>
      </c>
      <c r="Y2061" s="23">
        <v>65900</v>
      </c>
      <c r="Z2061" s="23">
        <v>600000</v>
      </c>
      <c r="AB2061" s="19" t="s">
        <v>11053</v>
      </c>
      <c r="AC2061" s="23">
        <v>50</v>
      </c>
      <c r="AD2061" s="23">
        <v>0</v>
      </c>
      <c r="AE2061" s="23">
        <v>17</v>
      </c>
      <c r="AF2061" s="23" t="s">
        <v>9622</v>
      </c>
      <c r="AG2061" s="23" t="s">
        <v>1553</v>
      </c>
      <c r="AH2061" s="39">
        <v>45062</v>
      </c>
      <c r="AI2061" s="53" t="s">
        <v>5851</v>
      </c>
      <c r="AJ2061" s="75" t="s">
        <v>7821</v>
      </c>
      <c r="AK2061" s="53">
        <v>45066</v>
      </c>
    </row>
    <row r="2062" spans="1:37">
      <c r="A2062" s="75" t="s">
        <v>11004</v>
      </c>
      <c r="B2062" s="23" t="s">
        <v>11005</v>
      </c>
      <c r="C2062" s="140">
        <v>45045</v>
      </c>
      <c r="D2062" s="23" t="s">
        <v>729</v>
      </c>
      <c r="E2062" s="23" t="s">
        <v>752</v>
      </c>
      <c r="F2062" s="23" t="s">
        <v>11006</v>
      </c>
      <c r="G2062" s="23" t="s">
        <v>5538</v>
      </c>
      <c r="H2062" s="23" t="s">
        <v>11007</v>
      </c>
      <c r="I2062" s="23" t="s">
        <v>11007</v>
      </c>
      <c r="J2062" s="140">
        <v>45020</v>
      </c>
      <c r="T2062" s="23" t="s">
        <v>12031</v>
      </c>
      <c r="U2062" s="23" t="s">
        <v>12031</v>
      </c>
      <c r="V2062" s="23" t="s">
        <v>299</v>
      </c>
      <c r="W2062" s="23" t="s">
        <v>11008</v>
      </c>
      <c r="Y2062" s="23">
        <v>3858</v>
      </c>
      <c r="AB2062" s="23" t="s">
        <v>11009</v>
      </c>
      <c r="AC2062" s="23">
        <v>2</v>
      </c>
      <c r="AD2062" s="23">
        <v>0</v>
      </c>
      <c r="AE2062" s="23">
        <v>1</v>
      </c>
      <c r="AF2062" s="23" t="s">
        <v>9622</v>
      </c>
      <c r="AG2062" s="23" t="s">
        <v>11010</v>
      </c>
      <c r="AI2062" s="53" t="s">
        <v>8387</v>
      </c>
      <c r="AJ2062" s="75" t="s">
        <v>11157</v>
      </c>
      <c r="AK2062" s="53">
        <v>45059</v>
      </c>
    </row>
    <row r="2063" spans="1:37">
      <c r="A2063" s="75" t="s">
        <v>11025</v>
      </c>
      <c r="B2063" s="23" t="s">
        <v>11026</v>
      </c>
      <c r="C2063" s="140">
        <v>45040</v>
      </c>
      <c r="D2063" s="23" t="s">
        <v>729</v>
      </c>
      <c r="E2063" s="23" t="s">
        <v>752</v>
      </c>
      <c r="F2063" s="23" t="s">
        <v>2200</v>
      </c>
      <c r="G2063" s="23" t="s">
        <v>301</v>
      </c>
      <c r="H2063" s="23">
        <v>20471521</v>
      </c>
      <c r="I2063" s="23">
        <v>20471521</v>
      </c>
      <c r="J2063" s="140">
        <v>45038</v>
      </c>
      <c r="K2063" s="23" t="s">
        <v>11027</v>
      </c>
      <c r="L2063" s="140">
        <v>45050</v>
      </c>
      <c r="P2063" s="23" t="s">
        <v>11042</v>
      </c>
      <c r="Q2063" s="141" t="s">
        <v>11043</v>
      </c>
      <c r="T2063" s="23" t="s">
        <v>305</v>
      </c>
      <c r="U2063" s="23" t="s">
        <v>305</v>
      </c>
      <c r="V2063" s="23" t="s">
        <v>299</v>
      </c>
      <c r="W2063" s="23" t="s">
        <v>11028</v>
      </c>
      <c r="Y2063" s="23">
        <v>3770</v>
      </c>
      <c r="Z2063" s="23">
        <v>458000</v>
      </c>
      <c r="AB2063" s="59" t="s">
        <v>11029</v>
      </c>
      <c r="AC2063" s="23">
        <v>2</v>
      </c>
      <c r="AD2063" s="23">
        <v>0</v>
      </c>
      <c r="AE2063" s="23">
        <v>1</v>
      </c>
      <c r="AF2063" s="23" t="s">
        <v>9622</v>
      </c>
      <c r="AG2063" s="23" t="s">
        <v>659</v>
      </c>
      <c r="AH2063" s="39">
        <v>45062</v>
      </c>
      <c r="AI2063" s="53" t="s">
        <v>5852</v>
      </c>
      <c r="AJ2063" s="75" t="s">
        <v>7823</v>
      </c>
      <c r="AK2063" s="53">
        <v>45066</v>
      </c>
    </row>
    <row r="2064" spans="1:37">
      <c r="A2064" s="75" t="s">
        <v>11030</v>
      </c>
      <c r="B2064" s="23" t="s">
        <v>11031</v>
      </c>
      <c r="C2064" s="140">
        <v>45061</v>
      </c>
      <c r="D2064" s="23" t="s">
        <v>729</v>
      </c>
      <c r="E2064" s="23" t="s">
        <v>2919</v>
      </c>
      <c r="F2064" s="23" t="s">
        <v>10952</v>
      </c>
      <c r="G2064" s="23" t="s">
        <v>1989</v>
      </c>
      <c r="H2064" s="23" t="s">
        <v>11032</v>
      </c>
      <c r="I2064" s="23" t="s">
        <v>11032</v>
      </c>
      <c r="J2064" s="140">
        <v>45058</v>
      </c>
      <c r="P2064" s="19"/>
      <c r="Q2064" s="141"/>
      <c r="T2064" s="23" t="s">
        <v>3684</v>
      </c>
      <c r="U2064" s="23" t="s">
        <v>2726</v>
      </c>
      <c r="V2064" s="23" t="s">
        <v>299</v>
      </c>
      <c r="W2064" s="23" t="s">
        <v>11033</v>
      </c>
      <c r="Y2064" s="37">
        <v>18000</v>
      </c>
      <c r="Z2064" s="38">
        <v>342000</v>
      </c>
      <c r="AB2064" s="23" t="s">
        <v>97</v>
      </c>
      <c r="AC2064" s="23">
        <v>9</v>
      </c>
      <c r="AD2064" s="23">
        <v>0</v>
      </c>
      <c r="AE2064" s="23">
        <v>1</v>
      </c>
      <c r="AF2064" s="23" t="s">
        <v>97</v>
      </c>
      <c r="AG2064" s="23" t="s">
        <v>11034</v>
      </c>
      <c r="AH2064" s="39">
        <v>45063</v>
      </c>
      <c r="AI2064" s="53" t="s">
        <v>10426</v>
      </c>
      <c r="AJ2064" s="75" t="s">
        <v>11171</v>
      </c>
      <c r="AK2064" s="53">
        <v>45065</v>
      </c>
    </row>
    <row r="2065" spans="1:37">
      <c r="A2065" s="104" t="s">
        <v>11035</v>
      </c>
      <c r="B2065" s="23" t="s">
        <v>11036</v>
      </c>
      <c r="C2065" s="140">
        <v>45056</v>
      </c>
      <c r="D2065" s="23" t="s">
        <v>729</v>
      </c>
      <c r="E2065" s="23" t="s">
        <v>752</v>
      </c>
      <c r="F2065" s="23" t="s">
        <v>57</v>
      </c>
      <c r="G2065" s="23" t="s">
        <v>57</v>
      </c>
      <c r="H2065" s="23" t="s">
        <v>11037</v>
      </c>
      <c r="I2065" s="23" t="s">
        <v>11037</v>
      </c>
      <c r="J2065" s="140">
        <v>45054</v>
      </c>
      <c r="K2065" s="23" t="s">
        <v>11038</v>
      </c>
      <c r="L2065" s="140">
        <v>45062</v>
      </c>
      <c r="P2065" s="23" t="s">
        <v>11044</v>
      </c>
      <c r="Q2065" s="141" t="s">
        <v>11045</v>
      </c>
      <c r="S2065" s="23" t="s">
        <v>183</v>
      </c>
      <c r="T2065" s="23" t="s">
        <v>305</v>
      </c>
      <c r="U2065" s="23" t="s">
        <v>305</v>
      </c>
      <c r="V2065" s="23" t="s">
        <v>233</v>
      </c>
      <c r="W2065" s="23" t="s">
        <v>143</v>
      </c>
      <c r="X2065" s="23">
        <v>49370.1</v>
      </c>
      <c r="Y2065" s="23">
        <v>49684.800000000003</v>
      </c>
      <c r="Z2065" s="23">
        <v>50511.57</v>
      </c>
      <c r="AA2065" s="23">
        <v>47916.57</v>
      </c>
      <c r="AB2065" s="23" t="s">
        <v>11039</v>
      </c>
      <c r="AC2065" s="23" t="s">
        <v>8668</v>
      </c>
      <c r="AD2065" s="23">
        <v>0</v>
      </c>
      <c r="AE2065" s="23">
        <v>3</v>
      </c>
      <c r="AF2065" s="23" t="s">
        <v>5478</v>
      </c>
      <c r="AG2065" s="23" t="s">
        <v>792</v>
      </c>
      <c r="AH2065" s="39">
        <v>45065</v>
      </c>
    </row>
    <row r="2066" spans="1:37" ht="32">
      <c r="A2066" s="75" t="s">
        <v>11046</v>
      </c>
      <c r="B2066" s="23" t="s">
        <v>11048</v>
      </c>
      <c r="C2066" s="140">
        <v>45061</v>
      </c>
      <c r="D2066" s="23" t="s">
        <v>729</v>
      </c>
      <c r="E2066" s="23" t="s">
        <v>2919</v>
      </c>
      <c r="F2066" s="23" t="s">
        <v>10952</v>
      </c>
      <c r="G2066" s="23" t="s">
        <v>1989</v>
      </c>
      <c r="H2066" s="23" t="s">
        <v>11047</v>
      </c>
      <c r="I2066" s="23" t="s">
        <v>11047</v>
      </c>
      <c r="J2066" s="140">
        <v>45058</v>
      </c>
      <c r="T2066" s="23" t="s">
        <v>3684</v>
      </c>
      <c r="U2066" s="23" t="s">
        <v>2726</v>
      </c>
      <c r="V2066" s="23" t="s">
        <v>299</v>
      </c>
      <c r="W2066" s="19" t="s">
        <v>11049</v>
      </c>
      <c r="AB2066" s="23" t="s">
        <v>8561</v>
      </c>
      <c r="AC2066" s="23">
        <v>1</v>
      </c>
      <c r="AF2066" s="23" t="s">
        <v>8561</v>
      </c>
      <c r="AG2066" s="23" t="s">
        <v>11050</v>
      </c>
      <c r="AH2066" s="39">
        <v>45068</v>
      </c>
      <c r="AI2066" s="53" t="s">
        <v>10426</v>
      </c>
      <c r="AJ2066" s="75" t="s">
        <v>11172</v>
      </c>
      <c r="AK2066" s="53">
        <v>45071</v>
      </c>
    </row>
    <row r="2067" spans="1:37" ht="32">
      <c r="A2067" s="104" t="s">
        <v>11051</v>
      </c>
      <c r="B2067" s="23" t="s">
        <v>11060</v>
      </c>
      <c r="C2067" s="140">
        <v>45075</v>
      </c>
      <c r="D2067" s="23" t="s">
        <v>729</v>
      </c>
      <c r="E2067" s="23" t="s">
        <v>752</v>
      </c>
      <c r="F2067" s="23" t="s">
        <v>57</v>
      </c>
      <c r="G2067" s="23" t="s">
        <v>57</v>
      </c>
      <c r="H2067" s="23" t="s">
        <v>11061</v>
      </c>
      <c r="I2067" s="23" t="s">
        <v>11061</v>
      </c>
      <c r="J2067" s="140">
        <v>45068</v>
      </c>
      <c r="P2067" s="23" t="s">
        <v>11099</v>
      </c>
      <c r="S2067" s="23" t="s">
        <v>184</v>
      </c>
      <c r="T2067" s="23" t="s">
        <v>302</v>
      </c>
      <c r="U2067" s="23" t="s">
        <v>302</v>
      </c>
      <c r="V2067" s="23" t="s">
        <v>233</v>
      </c>
      <c r="W2067" s="19" t="s">
        <v>11062</v>
      </c>
      <c r="X2067" s="23">
        <v>10509.6</v>
      </c>
      <c r="Y2067" s="23">
        <v>10733.2</v>
      </c>
      <c r="Z2067" s="23">
        <v>19003.27</v>
      </c>
      <c r="AA2067" s="23">
        <v>17656.97</v>
      </c>
      <c r="AB2067" s="23" t="s">
        <v>11063</v>
      </c>
      <c r="AC2067" s="23" t="s">
        <v>799</v>
      </c>
      <c r="AD2067" s="23">
        <v>0</v>
      </c>
      <c r="AE2067" s="23">
        <v>1</v>
      </c>
      <c r="AF2067" s="23" t="s">
        <v>5478</v>
      </c>
      <c r="AG2067" s="23" t="s">
        <v>787</v>
      </c>
      <c r="AH2067" s="39">
        <v>45071</v>
      </c>
    </row>
    <row r="2068" spans="1:37">
      <c r="A2068" s="75" t="s">
        <v>11052</v>
      </c>
      <c r="B2068" s="23" t="s">
        <v>11055</v>
      </c>
      <c r="C2068" s="140">
        <v>45049</v>
      </c>
      <c r="D2068" s="23" t="s">
        <v>729</v>
      </c>
      <c r="E2068" s="23" t="s">
        <v>752</v>
      </c>
      <c r="F2068" s="23" t="s">
        <v>2200</v>
      </c>
      <c r="G2068" s="23" t="s">
        <v>301</v>
      </c>
      <c r="H2068" s="23">
        <v>55014367</v>
      </c>
      <c r="I2068" s="23">
        <v>55014367</v>
      </c>
      <c r="J2068" s="140">
        <v>45043</v>
      </c>
      <c r="K2068" s="23" t="s">
        <v>11056</v>
      </c>
      <c r="L2068" s="140">
        <v>45070</v>
      </c>
      <c r="P2068" s="23" t="s">
        <v>11057</v>
      </c>
      <c r="Q2068" s="141" t="s">
        <v>11058</v>
      </c>
      <c r="T2068" s="23" t="s">
        <v>305</v>
      </c>
      <c r="U2068" s="23" t="s">
        <v>305</v>
      </c>
      <c r="V2068" s="23" t="s">
        <v>298</v>
      </c>
      <c r="W2068" s="23" t="s">
        <v>3141</v>
      </c>
      <c r="Y2068" s="38">
        <v>7200</v>
      </c>
      <c r="Z2068" s="38">
        <v>58605</v>
      </c>
      <c r="AB2068" s="23" t="s">
        <v>11059</v>
      </c>
      <c r="AC2068" s="23" t="s">
        <v>8462</v>
      </c>
      <c r="AD2068" s="23">
        <v>0</v>
      </c>
      <c r="AE2068" s="23">
        <v>1</v>
      </c>
      <c r="AF2068" s="23" t="s">
        <v>5478</v>
      </c>
      <c r="AG2068" s="23" t="s">
        <v>5602</v>
      </c>
      <c r="AH2068" s="39">
        <v>45075</v>
      </c>
      <c r="AJ2068" s="75" t="s">
        <v>7842</v>
      </c>
      <c r="AK2068" s="53">
        <v>45080</v>
      </c>
    </row>
    <row r="2069" spans="1:37">
      <c r="A2069" s="75" t="s">
        <v>11064</v>
      </c>
      <c r="B2069" s="23" t="s">
        <v>11065</v>
      </c>
      <c r="C2069" s="140">
        <v>45063</v>
      </c>
      <c r="D2069" s="23" t="s">
        <v>729</v>
      </c>
      <c r="E2069" s="23" t="s">
        <v>752</v>
      </c>
      <c r="F2069" s="23" t="s">
        <v>11066</v>
      </c>
      <c r="G2069" s="23" t="s">
        <v>3469</v>
      </c>
      <c r="H2069" s="23" t="s">
        <v>11067</v>
      </c>
      <c r="I2069" s="23" t="s">
        <v>11067</v>
      </c>
      <c r="J2069" s="140">
        <v>45051</v>
      </c>
      <c r="T2069" s="23" t="s">
        <v>12031</v>
      </c>
      <c r="U2069" s="23" t="s">
        <v>12031</v>
      </c>
      <c r="V2069" s="23" t="s">
        <v>299</v>
      </c>
      <c r="W2069" s="23" t="s">
        <v>11068</v>
      </c>
      <c r="AB2069" s="23" t="s">
        <v>8561</v>
      </c>
      <c r="AC2069" s="23">
        <v>2</v>
      </c>
      <c r="AF2069" s="23" t="s">
        <v>8561</v>
      </c>
      <c r="AG2069" s="23" t="s">
        <v>11069</v>
      </c>
      <c r="AH2069" s="39">
        <v>45082</v>
      </c>
      <c r="AI2069" s="53" t="s">
        <v>299</v>
      </c>
      <c r="AJ2069" s="75" t="s">
        <v>11158</v>
      </c>
      <c r="AK2069" s="53">
        <v>45085</v>
      </c>
    </row>
    <row r="2070" spans="1:37">
      <c r="A2070" s="75" t="s">
        <v>11070</v>
      </c>
      <c r="B2070" s="23" t="s">
        <v>11071</v>
      </c>
      <c r="C2070" s="140">
        <v>45063</v>
      </c>
      <c r="D2070" s="23" t="s">
        <v>729</v>
      </c>
      <c r="E2070" s="23" t="s">
        <v>752</v>
      </c>
      <c r="F2070" s="23" t="s">
        <v>11066</v>
      </c>
      <c r="G2070" s="23" t="s">
        <v>3469</v>
      </c>
      <c r="H2070" s="23" t="s">
        <v>11072</v>
      </c>
      <c r="I2070" s="23" t="s">
        <v>11072</v>
      </c>
      <c r="J2070" s="140">
        <v>45058</v>
      </c>
      <c r="T2070" s="23" t="s">
        <v>12031</v>
      </c>
      <c r="U2070" s="23" t="s">
        <v>12031</v>
      </c>
      <c r="V2070" s="23" t="s">
        <v>299</v>
      </c>
      <c r="W2070" s="23" t="s">
        <v>11073</v>
      </c>
      <c r="AB2070" s="23" t="s">
        <v>8561</v>
      </c>
      <c r="AC2070" s="23">
        <v>2</v>
      </c>
      <c r="AF2070" s="23" t="s">
        <v>8561</v>
      </c>
      <c r="AG2070" s="23" t="s">
        <v>11074</v>
      </c>
      <c r="AH2070" s="39">
        <v>45082</v>
      </c>
      <c r="AI2070" s="53" t="s">
        <v>299</v>
      </c>
      <c r="AJ2070" s="75" t="s">
        <v>11159</v>
      </c>
      <c r="AK2070" s="53">
        <v>45085</v>
      </c>
    </row>
    <row r="2071" spans="1:37">
      <c r="A2071" s="104" t="s">
        <v>11079</v>
      </c>
      <c r="B2071" s="23" t="s">
        <v>11089</v>
      </c>
      <c r="C2071" s="140">
        <v>45091</v>
      </c>
      <c r="D2071" s="23" t="s">
        <v>729</v>
      </c>
      <c r="E2071" s="23" t="s">
        <v>752</v>
      </c>
      <c r="F2071" s="23" t="s">
        <v>57</v>
      </c>
      <c r="G2071" s="23" t="s">
        <v>57</v>
      </c>
      <c r="H2071" s="23" t="s">
        <v>11090</v>
      </c>
      <c r="I2071" s="23" t="s">
        <v>11090</v>
      </c>
      <c r="J2071" s="140">
        <v>45089</v>
      </c>
      <c r="K2071" s="23" t="s">
        <v>11091</v>
      </c>
      <c r="L2071" s="140">
        <v>45099</v>
      </c>
      <c r="P2071" s="23" t="s">
        <v>11092</v>
      </c>
      <c r="Q2071" s="141" t="s">
        <v>11103</v>
      </c>
      <c r="S2071" s="23" t="s">
        <v>183</v>
      </c>
      <c r="T2071" s="23" t="s">
        <v>305</v>
      </c>
      <c r="U2071" s="23" t="s">
        <v>305</v>
      </c>
      <c r="V2071" s="23" t="s">
        <v>233</v>
      </c>
      <c r="W2071" s="23" t="s">
        <v>143</v>
      </c>
      <c r="X2071" s="23">
        <v>45798.5</v>
      </c>
      <c r="Y2071" s="23">
        <v>46112.3</v>
      </c>
      <c r="Z2071" s="23">
        <v>46377.25</v>
      </c>
      <c r="AA2071" s="23">
        <v>44457.25</v>
      </c>
      <c r="AB2071" s="23" t="s">
        <v>11093</v>
      </c>
      <c r="AC2071" s="23" t="s">
        <v>8668</v>
      </c>
      <c r="AD2071" s="23">
        <v>0</v>
      </c>
      <c r="AE2071" s="23">
        <v>3</v>
      </c>
      <c r="AF2071" s="23" t="s">
        <v>5478</v>
      </c>
      <c r="AG2071" s="23" t="s">
        <v>792</v>
      </c>
      <c r="AH2071" s="39">
        <v>45099</v>
      </c>
    </row>
    <row r="2072" spans="1:37">
      <c r="A2072" s="75" t="s">
        <v>11082</v>
      </c>
      <c r="B2072" s="23" t="s">
        <v>11083</v>
      </c>
      <c r="C2072" s="140">
        <v>45083</v>
      </c>
      <c r="D2072" s="23" t="s">
        <v>729</v>
      </c>
      <c r="E2072" s="23" t="s">
        <v>752</v>
      </c>
      <c r="F2072" s="23" t="s">
        <v>2200</v>
      </c>
      <c r="G2072" s="23" t="s">
        <v>301</v>
      </c>
      <c r="H2072" s="23" t="s">
        <v>11084</v>
      </c>
      <c r="I2072" s="23" t="s">
        <v>11084</v>
      </c>
      <c r="J2072" s="140">
        <v>45066</v>
      </c>
      <c r="K2072" s="23" t="s">
        <v>11085</v>
      </c>
      <c r="L2072" s="140">
        <v>45083</v>
      </c>
      <c r="P2072" s="23" t="s">
        <v>11086</v>
      </c>
      <c r="Q2072" s="141" t="s">
        <v>11087</v>
      </c>
      <c r="S2072" s="23" t="s">
        <v>300</v>
      </c>
      <c r="T2072" s="23" t="s">
        <v>12031</v>
      </c>
      <c r="U2072" s="23" t="s">
        <v>12031</v>
      </c>
      <c r="V2072" s="23" t="s">
        <v>298</v>
      </c>
      <c r="W2072" s="23" t="s">
        <v>11094</v>
      </c>
      <c r="X2072" s="23">
        <v>5500</v>
      </c>
      <c r="Y2072" s="23">
        <v>5500</v>
      </c>
      <c r="Z2072" s="23">
        <v>23200</v>
      </c>
      <c r="AB2072" s="23" t="s">
        <v>8561</v>
      </c>
      <c r="AC2072" s="23" t="s">
        <v>131</v>
      </c>
      <c r="AD2072" s="23">
        <v>0</v>
      </c>
      <c r="AE2072" s="23">
        <v>0</v>
      </c>
      <c r="AF2072" s="23" t="s">
        <v>8561</v>
      </c>
      <c r="AG2072" s="23" t="s">
        <v>11088</v>
      </c>
      <c r="AH2072" s="39">
        <v>45099</v>
      </c>
      <c r="AJ2072" s="75" t="s">
        <v>11160</v>
      </c>
      <c r="AK2072" s="53">
        <v>45104</v>
      </c>
    </row>
    <row r="2073" spans="1:37" ht="112">
      <c r="A2073" s="75" t="s">
        <v>11095</v>
      </c>
      <c r="B2073" s="23" t="s">
        <v>11096</v>
      </c>
      <c r="C2073" s="140">
        <v>45091</v>
      </c>
      <c r="D2073" s="23" t="s">
        <v>729</v>
      </c>
      <c r="E2073" s="23" t="s">
        <v>752</v>
      </c>
      <c r="F2073" s="23" t="s">
        <v>2200</v>
      </c>
      <c r="G2073" s="23" t="s">
        <v>301</v>
      </c>
      <c r="H2073" s="23">
        <v>20478699</v>
      </c>
      <c r="I2073" s="23">
        <v>20478699</v>
      </c>
      <c r="J2073" s="140">
        <v>45089</v>
      </c>
      <c r="K2073" s="23" t="s">
        <v>11100</v>
      </c>
      <c r="L2073" s="140">
        <v>45098</v>
      </c>
      <c r="P2073" s="23" t="s">
        <v>11104</v>
      </c>
      <c r="Q2073" s="141" t="s">
        <v>11105</v>
      </c>
      <c r="S2073" s="23" t="s">
        <v>300</v>
      </c>
      <c r="T2073" s="23" t="s">
        <v>305</v>
      </c>
      <c r="U2073" s="23" t="s">
        <v>305</v>
      </c>
      <c r="V2073" s="23" t="s">
        <v>299</v>
      </c>
      <c r="W2073" s="19" t="s">
        <v>11097</v>
      </c>
      <c r="Y2073" s="23">
        <v>28952</v>
      </c>
      <c r="Z2073" s="23">
        <v>291200</v>
      </c>
      <c r="AB2073" s="19" t="s">
        <v>11098</v>
      </c>
      <c r="AC2073" s="23">
        <v>14</v>
      </c>
      <c r="AD2073" s="23">
        <v>0</v>
      </c>
      <c r="AE2073" s="23">
        <v>7</v>
      </c>
      <c r="AF2073" s="23" t="s">
        <v>9622</v>
      </c>
      <c r="AG2073" s="23" t="s">
        <v>659</v>
      </c>
      <c r="AH2073" s="39">
        <v>45100</v>
      </c>
      <c r="AI2073" s="53" t="s">
        <v>5851</v>
      </c>
      <c r="AJ2073" s="75" t="s">
        <v>7943</v>
      </c>
      <c r="AK2073" s="53">
        <v>45104</v>
      </c>
    </row>
    <row r="2074" spans="1:37">
      <c r="A2074" s="75" t="s">
        <v>11101</v>
      </c>
      <c r="B2074" s="23">
        <v>227688140</v>
      </c>
      <c r="C2074" s="140">
        <v>45091</v>
      </c>
      <c r="D2074" s="23" t="s">
        <v>729</v>
      </c>
      <c r="E2074" s="23" t="s">
        <v>752</v>
      </c>
      <c r="F2074" s="23" t="s">
        <v>11066</v>
      </c>
      <c r="G2074" s="23" t="s">
        <v>3469</v>
      </c>
      <c r="H2074" s="23" t="s">
        <v>11102</v>
      </c>
      <c r="I2074" s="23" t="s">
        <v>11102</v>
      </c>
      <c r="J2074" s="140">
        <v>45064</v>
      </c>
      <c r="T2074" s="23" t="s">
        <v>12031</v>
      </c>
      <c r="U2074" s="23" t="s">
        <v>12031</v>
      </c>
      <c r="V2074" s="23" t="s">
        <v>299</v>
      </c>
      <c r="W2074" s="23" t="s">
        <v>11106</v>
      </c>
      <c r="AB2074" s="23" t="s">
        <v>11128</v>
      </c>
      <c r="AC2074" s="23">
        <v>2</v>
      </c>
      <c r="AD2074" s="23">
        <v>0</v>
      </c>
      <c r="AE2074" s="23">
        <v>1</v>
      </c>
      <c r="AF2074" s="23" t="s">
        <v>5478</v>
      </c>
      <c r="AG2074" s="23" t="s">
        <v>11107</v>
      </c>
      <c r="AH2074" s="39">
        <v>45104</v>
      </c>
      <c r="AI2074" s="53" t="s">
        <v>299</v>
      </c>
      <c r="AJ2074" s="75" t="s">
        <v>8067</v>
      </c>
      <c r="AK2074" s="53">
        <v>45107</v>
      </c>
    </row>
    <row r="2075" spans="1:37">
      <c r="A2075" s="75" t="s">
        <v>11108</v>
      </c>
      <c r="B2075" s="23" t="s">
        <v>11109</v>
      </c>
      <c r="C2075" s="140">
        <v>45077</v>
      </c>
      <c r="D2075" s="23" t="s">
        <v>729</v>
      </c>
      <c r="E2075" s="23" t="s">
        <v>752</v>
      </c>
      <c r="F2075" s="23" t="s">
        <v>2200</v>
      </c>
      <c r="G2075" s="23" t="s">
        <v>301</v>
      </c>
      <c r="H2075" s="23">
        <v>55014751</v>
      </c>
      <c r="I2075" s="23">
        <v>55014751</v>
      </c>
      <c r="J2075" s="140">
        <v>45073</v>
      </c>
      <c r="K2075" s="23" t="s">
        <v>11110</v>
      </c>
      <c r="L2075" s="140">
        <v>45092</v>
      </c>
      <c r="P2075" s="23" t="s">
        <v>11116</v>
      </c>
      <c r="Q2075" s="141" t="s">
        <v>11111</v>
      </c>
      <c r="T2075" s="23" t="s">
        <v>305</v>
      </c>
      <c r="U2075" s="23" t="s">
        <v>305</v>
      </c>
      <c r="V2075" s="23" t="s">
        <v>298</v>
      </c>
      <c r="W2075" s="23" t="s">
        <v>3141</v>
      </c>
      <c r="Y2075" s="23">
        <v>5640</v>
      </c>
      <c r="Z2075" s="23">
        <v>43580</v>
      </c>
      <c r="AB2075" s="23" t="s">
        <v>11112</v>
      </c>
      <c r="AC2075" s="23" t="s">
        <v>11113</v>
      </c>
      <c r="AD2075" s="23">
        <v>0</v>
      </c>
      <c r="AE2075" s="23">
        <v>1</v>
      </c>
      <c r="AF2075" s="23" t="s">
        <v>9622</v>
      </c>
      <c r="AG2075" s="23" t="s">
        <v>11114</v>
      </c>
      <c r="AH2075" s="39">
        <v>45106</v>
      </c>
      <c r="AJ2075" s="75" t="s">
        <v>11161</v>
      </c>
      <c r="AK2075" s="53">
        <v>45111</v>
      </c>
    </row>
    <row r="2076" spans="1:37">
      <c r="A2076" s="75" t="s">
        <v>11115</v>
      </c>
      <c r="B2076" s="23" t="s">
        <v>11124</v>
      </c>
      <c r="C2076" s="140">
        <v>45077</v>
      </c>
      <c r="D2076" s="23" t="s">
        <v>729</v>
      </c>
      <c r="E2076" s="23" t="s">
        <v>752</v>
      </c>
      <c r="F2076" s="23" t="s">
        <v>2200</v>
      </c>
      <c r="G2076" s="23" t="s">
        <v>301</v>
      </c>
      <c r="H2076" s="23">
        <v>55014738</v>
      </c>
      <c r="I2076" s="23">
        <v>55014738</v>
      </c>
      <c r="J2076" s="140">
        <v>45072</v>
      </c>
      <c r="K2076" s="23" t="s">
        <v>11125</v>
      </c>
      <c r="L2076" s="140">
        <v>45092</v>
      </c>
      <c r="P2076" s="23" t="s">
        <v>11116</v>
      </c>
      <c r="Q2076" s="141" t="s">
        <v>11111</v>
      </c>
      <c r="T2076" s="23" t="s">
        <v>305</v>
      </c>
      <c r="U2076" s="23" t="s">
        <v>305</v>
      </c>
      <c r="V2076" s="23" t="s">
        <v>298</v>
      </c>
      <c r="W2076" s="23" t="s">
        <v>3141</v>
      </c>
      <c r="Y2076" s="23">
        <v>8712</v>
      </c>
      <c r="Z2076" s="23">
        <v>70525</v>
      </c>
      <c r="AB2076" s="23" t="s">
        <v>11126</v>
      </c>
      <c r="AC2076" s="23" t="s">
        <v>11127</v>
      </c>
      <c r="AD2076" s="23">
        <v>0</v>
      </c>
      <c r="AE2076" s="23">
        <v>1</v>
      </c>
      <c r="AF2076" s="23" t="s">
        <v>9622</v>
      </c>
      <c r="AG2076" s="23" t="s">
        <v>11114</v>
      </c>
      <c r="AH2076" s="39">
        <v>45106</v>
      </c>
    </row>
    <row r="2077" spans="1:37">
      <c r="A2077" s="75" t="s">
        <v>11118</v>
      </c>
      <c r="B2077" s="23" t="s">
        <v>11119</v>
      </c>
      <c r="C2077" s="140">
        <v>45099</v>
      </c>
      <c r="D2077" s="23" t="s">
        <v>729</v>
      </c>
      <c r="E2077" s="23" t="s">
        <v>752</v>
      </c>
      <c r="F2077" s="23" t="s">
        <v>6113</v>
      </c>
      <c r="G2077" s="23" t="s">
        <v>5538</v>
      </c>
      <c r="H2077" s="23" t="s">
        <v>11120</v>
      </c>
      <c r="I2077" s="23" t="s">
        <v>11120</v>
      </c>
      <c r="J2077" s="140">
        <v>45091</v>
      </c>
      <c r="T2077" s="23" t="s">
        <v>12031</v>
      </c>
      <c r="U2077" s="23" t="s">
        <v>12031</v>
      </c>
      <c r="V2077" s="23" t="s">
        <v>299</v>
      </c>
      <c r="W2077" s="23" t="s">
        <v>11121</v>
      </c>
      <c r="AB2077" s="23" t="s">
        <v>8561</v>
      </c>
      <c r="AC2077" s="23">
        <v>3</v>
      </c>
      <c r="AF2077" s="23" t="s">
        <v>8561</v>
      </c>
      <c r="AG2077" s="23" t="s">
        <v>11122</v>
      </c>
      <c r="AH2077" s="39">
        <v>45111</v>
      </c>
      <c r="AI2077" s="53" t="s">
        <v>9962</v>
      </c>
      <c r="AJ2077" s="75" t="s">
        <v>11162</v>
      </c>
      <c r="AK2077" s="53">
        <v>45112</v>
      </c>
    </row>
    <row r="2078" spans="1:37">
      <c r="A2078" s="104" t="s">
        <v>11123</v>
      </c>
      <c r="B2078" s="23" t="s">
        <v>11129</v>
      </c>
      <c r="C2078" s="140">
        <v>45112</v>
      </c>
      <c r="D2078" s="23" t="s">
        <v>729</v>
      </c>
      <c r="E2078" s="23" t="s">
        <v>752</v>
      </c>
      <c r="F2078" s="23" t="s">
        <v>57</v>
      </c>
      <c r="G2078" s="23" t="s">
        <v>57</v>
      </c>
      <c r="H2078" s="23" t="s">
        <v>11130</v>
      </c>
      <c r="I2078" s="23" t="s">
        <v>11130</v>
      </c>
      <c r="J2078" s="140">
        <v>45104</v>
      </c>
      <c r="P2078" s="23" t="s">
        <v>11131</v>
      </c>
      <c r="Q2078" s="141" t="s">
        <v>11132</v>
      </c>
      <c r="S2078" s="23" t="s">
        <v>184</v>
      </c>
      <c r="T2078" s="23" t="s">
        <v>302</v>
      </c>
      <c r="U2078" s="23" t="s">
        <v>302</v>
      </c>
      <c r="V2078" s="23" t="s">
        <v>233</v>
      </c>
      <c r="W2078" s="23" t="s">
        <v>11133</v>
      </c>
      <c r="X2078" s="37">
        <v>10180.950000000001</v>
      </c>
      <c r="Y2078" s="37">
        <v>10381.299999999999</v>
      </c>
      <c r="Z2078" s="23">
        <v>16743.919999999998</v>
      </c>
      <c r="AA2078" s="23">
        <v>15411.91</v>
      </c>
      <c r="AB2078" s="23" t="s">
        <v>11134</v>
      </c>
      <c r="AC2078" s="23" t="s">
        <v>9692</v>
      </c>
      <c r="AD2078" s="23">
        <v>0</v>
      </c>
      <c r="AE2078" s="23">
        <v>1</v>
      </c>
      <c r="AF2078" s="23" t="s">
        <v>3297</v>
      </c>
      <c r="AG2078" s="23" t="s">
        <v>787</v>
      </c>
      <c r="AH2078" s="39">
        <v>45114</v>
      </c>
    </row>
    <row r="2079" spans="1:37">
      <c r="A2079" s="104" t="s">
        <v>11173</v>
      </c>
      <c r="B2079" s="23" t="s">
        <v>11174</v>
      </c>
      <c r="C2079" s="140">
        <v>45116</v>
      </c>
      <c r="D2079" s="23" t="s">
        <v>729</v>
      </c>
      <c r="E2079" s="23" t="s">
        <v>752</v>
      </c>
      <c r="F2079" s="23" t="s">
        <v>57</v>
      </c>
      <c r="G2079" s="23" t="s">
        <v>57</v>
      </c>
      <c r="H2079" s="23" t="s">
        <v>11175</v>
      </c>
      <c r="I2079" s="23" t="s">
        <v>11175</v>
      </c>
      <c r="J2079" s="140">
        <v>45113</v>
      </c>
      <c r="K2079" s="23" t="s">
        <v>11176</v>
      </c>
      <c r="L2079" s="140">
        <v>45119</v>
      </c>
      <c r="P2079" s="23" t="s">
        <v>11177</v>
      </c>
      <c r="Q2079" s="141" t="s">
        <v>11178</v>
      </c>
      <c r="S2079" s="23" t="s">
        <v>183</v>
      </c>
      <c r="T2079" s="23" t="s">
        <v>305</v>
      </c>
      <c r="U2079" s="23" t="s">
        <v>305</v>
      </c>
      <c r="V2079" s="23" t="s">
        <v>233</v>
      </c>
      <c r="W2079" s="23" t="s">
        <v>112</v>
      </c>
      <c r="X2079" s="23">
        <v>48600.3</v>
      </c>
      <c r="Y2079" s="37">
        <v>48913.5</v>
      </c>
      <c r="Z2079" s="23">
        <v>48211.5</v>
      </c>
      <c r="AA2079" s="23">
        <v>46321.5</v>
      </c>
      <c r="AB2079" s="23" t="s">
        <v>11179</v>
      </c>
      <c r="AC2079" s="23" t="s">
        <v>173</v>
      </c>
      <c r="AD2079" s="23">
        <v>0</v>
      </c>
      <c r="AE2079" s="23">
        <v>3</v>
      </c>
      <c r="AF2079" s="23" t="s">
        <v>3297</v>
      </c>
      <c r="AG2079" s="23" t="s">
        <v>792</v>
      </c>
      <c r="AH2079" s="39">
        <v>45120</v>
      </c>
    </row>
    <row r="2080" spans="1:37" ht="64">
      <c r="A2080" s="75" t="s">
        <v>11182</v>
      </c>
      <c r="B2080" s="23" t="s">
        <v>11188</v>
      </c>
      <c r="C2080" s="140">
        <v>45118</v>
      </c>
      <c r="D2080" s="23" t="s">
        <v>729</v>
      </c>
      <c r="E2080" s="23" t="s">
        <v>752</v>
      </c>
      <c r="F2080" s="23" t="s">
        <v>2200</v>
      </c>
      <c r="G2080" s="23" t="s">
        <v>301</v>
      </c>
      <c r="H2080" s="23" t="s">
        <v>11192</v>
      </c>
      <c r="I2080" s="23" t="s">
        <v>11192</v>
      </c>
      <c r="J2080" s="140">
        <v>45112</v>
      </c>
      <c r="K2080" s="23" t="s">
        <v>11191</v>
      </c>
      <c r="L2080" s="140">
        <v>45135</v>
      </c>
      <c r="P2080" s="23" t="s">
        <v>11193</v>
      </c>
      <c r="Q2080" s="141" t="s">
        <v>11178</v>
      </c>
      <c r="T2080" s="23" t="s">
        <v>305</v>
      </c>
      <c r="U2080" s="23" t="s">
        <v>305</v>
      </c>
      <c r="V2080" s="23" t="s">
        <v>298</v>
      </c>
      <c r="W2080" s="23" t="s">
        <v>11022</v>
      </c>
      <c r="Y2080" s="38">
        <v>16020</v>
      </c>
      <c r="Z2080" s="23">
        <v>136.32</v>
      </c>
      <c r="AB2080" s="19" t="s">
        <v>11189</v>
      </c>
      <c r="AC2080" s="23" t="s">
        <v>11190</v>
      </c>
      <c r="AD2080" s="23">
        <v>0</v>
      </c>
      <c r="AE2080" s="23">
        <v>2</v>
      </c>
      <c r="AF2080" s="23" t="s">
        <v>5478</v>
      </c>
      <c r="AG2080" s="23" t="s">
        <v>11024</v>
      </c>
      <c r="AH2080" s="39">
        <v>45121</v>
      </c>
    </row>
    <row r="2081" spans="1:37">
      <c r="A2081" s="104" t="s">
        <v>11183</v>
      </c>
      <c r="B2081" s="23" t="s">
        <v>11184</v>
      </c>
      <c r="C2081" s="140">
        <v>45124</v>
      </c>
      <c r="D2081" s="23" t="s">
        <v>729</v>
      </c>
      <c r="E2081" s="23" t="s">
        <v>752</v>
      </c>
      <c r="F2081" s="23" t="s">
        <v>57</v>
      </c>
      <c r="G2081" s="23" t="s">
        <v>57</v>
      </c>
      <c r="H2081" s="23" t="s">
        <v>11185</v>
      </c>
      <c r="I2081" s="23" t="s">
        <v>11185</v>
      </c>
      <c r="J2081" s="140">
        <v>45122</v>
      </c>
      <c r="K2081" s="23" t="s">
        <v>11186</v>
      </c>
      <c r="L2081" s="140">
        <v>45126</v>
      </c>
      <c r="P2081" s="23" t="s">
        <v>11205</v>
      </c>
      <c r="S2081" s="23" t="s">
        <v>183</v>
      </c>
      <c r="T2081" s="23" t="s">
        <v>305</v>
      </c>
      <c r="U2081" s="23" t="s">
        <v>305</v>
      </c>
      <c r="V2081" s="23" t="s">
        <v>233</v>
      </c>
      <c r="W2081" s="168" t="s">
        <v>112</v>
      </c>
      <c r="X2081" s="37">
        <v>16037.1</v>
      </c>
      <c r="Y2081" s="37">
        <v>16141.5</v>
      </c>
      <c r="Z2081" s="23">
        <v>15908.8</v>
      </c>
      <c r="AB2081" s="23" t="s">
        <v>11187</v>
      </c>
      <c r="AC2081" s="23" t="s">
        <v>8007</v>
      </c>
      <c r="AD2081" s="23">
        <v>0</v>
      </c>
      <c r="AE2081" s="23">
        <v>1</v>
      </c>
      <c r="AF2081" s="23" t="s">
        <v>3297</v>
      </c>
      <c r="AG2081" s="23" t="s">
        <v>792</v>
      </c>
      <c r="AH2081" s="39">
        <v>45128</v>
      </c>
    </row>
    <row r="2082" spans="1:37">
      <c r="A2082" s="104" t="s">
        <v>11194</v>
      </c>
      <c r="B2082" s="23" t="s">
        <v>11196</v>
      </c>
      <c r="C2082" s="140">
        <v>45127</v>
      </c>
      <c r="D2082" s="23" t="s">
        <v>729</v>
      </c>
      <c r="E2082" s="23" t="s">
        <v>3773</v>
      </c>
      <c r="F2082" s="23" t="s">
        <v>11066</v>
      </c>
      <c r="G2082" s="23" t="s">
        <v>3469</v>
      </c>
      <c r="H2082" s="23" t="s">
        <v>11195</v>
      </c>
      <c r="I2082" s="23" t="s">
        <v>11195</v>
      </c>
      <c r="J2082" s="140">
        <v>45126</v>
      </c>
      <c r="T2082" s="23" t="s">
        <v>12031</v>
      </c>
      <c r="U2082" s="23" t="s">
        <v>12031</v>
      </c>
      <c r="V2082" s="23" t="s">
        <v>299</v>
      </c>
      <c r="W2082" s="23" t="s">
        <v>11073</v>
      </c>
      <c r="Y2082" s="23">
        <v>32200</v>
      </c>
      <c r="AB2082" s="23" t="s">
        <v>8561</v>
      </c>
      <c r="AC2082" s="23">
        <v>2</v>
      </c>
      <c r="AD2082" s="23">
        <v>0</v>
      </c>
      <c r="AE2082" s="23">
        <v>0</v>
      </c>
      <c r="AF2082" s="23" t="s">
        <v>8561</v>
      </c>
      <c r="AG2082" s="23" t="s">
        <v>8958</v>
      </c>
      <c r="AH2082" s="39">
        <v>45138</v>
      </c>
      <c r="AI2082" s="53" t="s">
        <v>299</v>
      </c>
      <c r="AJ2082" s="75" t="s">
        <v>11333</v>
      </c>
      <c r="AK2082" s="53">
        <v>45139</v>
      </c>
    </row>
    <row r="2083" spans="1:37">
      <c r="A2083" s="75" t="s">
        <v>11197</v>
      </c>
      <c r="B2083" s="23" t="s">
        <v>11198</v>
      </c>
      <c r="C2083" s="140">
        <v>45127</v>
      </c>
      <c r="D2083" s="23" t="s">
        <v>729</v>
      </c>
      <c r="E2083" s="23" t="s">
        <v>3773</v>
      </c>
      <c r="F2083" s="23" t="s">
        <v>11066</v>
      </c>
      <c r="G2083" s="23" t="s">
        <v>3469</v>
      </c>
      <c r="H2083" s="23" t="s">
        <v>11199</v>
      </c>
      <c r="I2083" s="23" t="s">
        <v>11199</v>
      </c>
      <c r="J2083" s="140">
        <v>45107</v>
      </c>
      <c r="T2083" s="23" t="s">
        <v>12031</v>
      </c>
      <c r="U2083" s="23" t="s">
        <v>12031</v>
      </c>
      <c r="V2083" s="23" t="s">
        <v>299</v>
      </c>
      <c r="W2083" s="23" t="s">
        <v>11068</v>
      </c>
      <c r="Y2083" s="23">
        <v>41810</v>
      </c>
      <c r="AB2083" s="23" t="s">
        <v>8561</v>
      </c>
      <c r="AC2083" s="23">
        <v>2</v>
      </c>
      <c r="AF2083" s="23" t="s">
        <v>8561</v>
      </c>
      <c r="AG2083" s="23" t="s">
        <v>11069</v>
      </c>
      <c r="AH2083" s="39">
        <v>45138</v>
      </c>
      <c r="AI2083" s="53" t="s">
        <v>299</v>
      </c>
      <c r="AJ2083" s="75" t="s">
        <v>11334</v>
      </c>
      <c r="AK2083" s="53">
        <v>45139</v>
      </c>
    </row>
    <row r="2084" spans="1:37">
      <c r="A2084" s="75" t="s">
        <v>11200</v>
      </c>
      <c r="B2084" s="23" t="s">
        <v>11201</v>
      </c>
      <c r="C2084" s="140">
        <v>45133</v>
      </c>
      <c r="D2084" s="23" t="s">
        <v>729</v>
      </c>
      <c r="E2084" s="23" t="s">
        <v>752</v>
      </c>
      <c r="F2084" s="23" t="s">
        <v>57</v>
      </c>
      <c r="G2084" s="23" t="s">
        <v>57</v>
      </c>
      <c r="H2084" s="23" t="s">
        <v>11202</v>
      </c>
      <c r="I2084" s="23" t="s">
        <v>11202</v>
      </c>
      <c r="J2084" s="140">
        <v>45131</v>
      </c>
      <c r="K2084" s="23" t="s">
        <v>11203</v>
      </c>
      <c r="L2084" s="140">
        <v>45135</v>
      </c>
      <c r="P2084" s="23" t="s">
        <v>11204</v>
      </c>
      <c r="Q2084" s="141" t="s">
        <v>11206</v>
      </c>
      <c r="S2084" s="23" t="s">
        <v>183</v>
      </c>
      <c r="T2084" s="23" t="s">
        <v>305</v>
      </c>
      <c r="U2084" s="23" t="s">
        <v>305</v>
      </c>
      <c r="V2084" s="23" t="s">
        <v>233</v>
      </c>
      <c r="W2084" s="168" t="s">
        <v>112</v>
      </c>
      <c r="X2084" s="23">
        <v>16246.9</v>
      </c>
      <c r="Y2084" s="23">
        <v>16351.3</v>
      </c>
      <c r="Z2084" s="23">
        <v>16116.92</v>
      </c>
      <c r="AA2084" s="23">
        <v>15486.92</v>
      </c>
      <c r="AB2084" s="59" t="s">
        <v>11207</v>
      </c>
      <c r="AC2084" s="23" t="s">
        <v>8007</v>
      </c>
      <c r="AD2084" s="23">
        <v>0</v>
      </c>
      <c r="AE2084" s="23">
        <v>1</v>
      </c>
      <c r="AF2084" s="23" t="s">
        <v>3297</v>
      </c>
      <c r="AG2084" s="23" t="s">
        <v>792</v>
      </c>
      <c r="AH2084" s="39">
        <v>45139</v>
      </c>
    </row>
    <row r="2085" spans="1:37" ht="32">
      <c r="A2085" s="75" t="s">
        <v>11208</v>
      </c>
      <c r="B2085" s="23" t="s">
        <v>11209</v>
      </c>
      <c r="C2085" s="140">
        <v>45134</v>
      </c>
      <c r="D2085" s="23" t="s">
        <v>729</v>
      </c>
      <c r="E2085" s="23" t="s">
        <v>752</v>
      </c>
      <c r="F2085" s="23" t="s">
        <v>6113</v>
      </c>
      <c r="G2085" s="23" t="s">
        <v>5538</v>
      </c>
      <c r="H2085" s="23" t="s">
        <v>11210</v>
      </c>
      <c r="I2085" s="23" t="s">
        <v>11210</v>
      </c>
      <c r="J2085" s="140">
        <v>45122</v>
      </c>
      <c r="Q2085" s="140" t="s">
        <v>11211</v>
      </c>
      <c r="T2085" s="23" t="s">
        <v>12031</v>
      </c>
      <c r="U2085" s="23" t="s">
        <v>12031</v>
      </c>
      <c r="V2085" s="23" t="s">
        <v>299</v>
      </c>
      <c r="W2085" s="23" t="s">
        <v>11213</v>
      </c>
      <c r="Y2085" s="23">
        <v>9030</v>
      </c>
      <c r="AB2085" s="19" t="s">
        <v>11212</v>
      </c>
      <c r="AC2085" s="23">
        <v>6</v>
      </c>
      <c r="AD2085" s="23">
        <v>0</v>
      </c>
      <c r="AE2085" s="23">
        <v>2</v>
      </c>
      <c r="AF2085" s="23" t="s">
        <v>9622</v>
      </c>
      <c r="AG2085" s="23" t="s">
        <v>5388</v>
      </c>
      <c r="AH2085" s="39">
        <v>45141</v>
      </c>
      <c r="AI2085" s="53" t="s">
        <v>9962</v>
      </c>
      <c r="AJ2085" s="75" t="s">
        <v>11335</v>
      </c>
      <c r="AK2085" s="53">
        <v>45141</v>
      </c>
    </row>
    <row r="2086" spans="1:37" ht="96">
      <c r="A2086" s="75" t="s">
        <v>11214</v>
      </c>
      <c r="B2086" s="23" t="s">
        <v>11215</v>
      </c>
      <c r="C2086" s="140">
        <v>45133</v>
      </c>
      <c r="D2086" s="23" t="s">
        <v>729</v>
      </c>
      <c r="E2086" s="23" t="s">
        <v>752</v>
      </c>
      <c r="F2086" s="23" t="s">
        <v>2200</v>
      </c>
      <c r="G2086" s="23" t="s">
        <v>301</v>
      </c>
      <c r="H2086" s="23" t="s">
        <v>11216</v>
      </c>
      <c r="I2086" s="23" t="s">
        <v>11216</v>
      </c>
      <c r="J2086" s="140">
        <v>45132</v>
      </c>
      <c r="K2086" s="23" t="s">
        <v>11217</v>
      </c>
      <c r="L2086" s="140">
        <v>45142</v>
      </c>
      <c r="T2086" s="23" t="s">
        <v>305</v>
      </c>
      <c r="U2086" s="23" t="s">
        <v>305</v>
      </c>
      <c r="V2086" s="23" t="s">
        <v>299</v>
      </c>
      <c r="W2086" s="23" t="s">
        <v>10246</v>
      </c>
      <c r="Y2086" s="23">
        <v>26350</v>
      </c>
      <c r="Z2086" s="23">
        <v>242.726</v>
      </c>
      <c r="AB2086" s="19" t="s">
        <v>11239</v>
      </c>
      <c r="AC2086" s="23">
        <v>17</v>
      </c>
      <c r="AD2086" s="23">
        <v>0</v>
      </c>
      <c r="AE2086" s="23">
        <v>6</v>
      </c>
      <c r="AF2086" s="23" t="s">
        <v>9622</v>
      </c>
      <c r="AG2086" s="23" t="s">
        <v>1553</v>
      </c>
      <c r="AH2086" s="39">
        <v>45146</v>
      </c>
      <c r="AI2086" s="53" t="s">
        <v>5851</v>
      </c>
      <c r="AJ2086" s="75" t="s">
        <v>11336</v>
      </c>
      <c r="AK2086" s="53">
        <v>45153</v>
      </c>
    </row>
    <row r="2087" spans="1:37" ht="80">
      <c r="A2087" s="75" t="s">
        <v>11218</v>
      </c>
      <c r="B2087" s="23" t="s">
        <v>11219</v>
      </c>
      <c r="C2087" s="140">
        <v>45133</v>
      </c>
      <c r="D2087" s="23" t="s">
        <v>729</v>
      </c>
      <c r="E2087" s="23" t="s">
        <v>752</v>
      </c>
      <c r="F2087" s="23" t="s">
        <v>2200</v>
      </c>
      <c r="G2087" s="23" t="s">
        <v>301</v>
      </c>
      <c r="H2087" s="23" t="s">
        <v>11220</v>
      </c>
      <c r="I2087" s="23" t="s">
        <v>11220</v>
      </c>
      <c r="J2087" s="140">
        <v>45132</v>
      </c>
      <c r="K2087" s="23" t="s">
        <v>11221</v>
      </c>
      <c r="L2087" s="140">
        <v>45142</v>
      </c>
      <c r="T2087" s="23" t="s">
        <v>305</v>
      </c>
      <c r="U2087" s="23" t="s">
        <v>305</v>
      </c>
      <c r="V2087" s="23" t="s">
        <v>299</v>
      </c>
      <c r="W2087" s="19" t="s">
        <v>11222</v>
      </c>
      <c r="Y2087" s="23">
        <v>15390</v>
      </c>
      <c r="Z2087" s="23">
        <v>145.76</v>
      </c>
      <c r="AB2087" s="19" t="s">
        <v>11238</v>
      </c>
      <c r="AC2087" s="23">
        <v>10</v>
      </c>
      <c r="AD2087" s="23">
        <v>0</v>
      </c>
      <c r="AE2087" s="23">
        <v>3</v>
      </c>
      <c r="AF2087" s="23" t="s">
        <v>9622</v>
      </c>
      <c r="AG2087" s="23" t="s">
        <v>1553</v>
      </c>
      <c r="AH2087" s="39">
        <v>45146</v>
      </c>
      <c r="AI2087" s="53" t="s">
        <v>5851</v>
      </c>
      <c r="AJ2087" s="75" t="s">
        <v>11337</v>
      </c>
      <c r="AK2087" s="53">
        <v>45153</v>
      </c>
    </row>
    <row r="2088" spans="1:37">
      <c r="A2088" s="75" t="s">
        <v>11226</v>
      </c>
      <c r="B2088" s="23" t="s">
        <v>11223</v>
      </c>
      <c r="C2088" s="140">
        <v>45137</v>
      </c>
      <c r="D2088" s="23" t="s">
        <v>729</v>
      </c>
      <c r="E2088" s="23" t="s">
        <v>752</v>
      </c>
      <c r="F2088" s="23" t="s">
        <v>2200</v>
      </c>
      <c r="G2088" s="23" t="s">
        <v>301</v>
      </c>
      <c r="H2088" s="23">
        <v>20487553</v>
      </c>
      <c r="I2088" s="23">
        <v>20487553</v>
      </c>
      <c r="J2088" s="140">
        <v>45136</v>
      </c>
      <c r="K2088" s="23" t="s">
        <v>11235</v>
      </c>
      <c r="L2088" s="140">
        <v>45142</v>
      </c>
      <c r="T2088" s="23" t="s">
        <v>305</v>
      </c>
      <c r="U2088" s="23" t="s">
        <v>305</v>
      </c>
      <c r="V2088" s="23" t="s">
        <v>299</v>
      </c>
      <c r="W2088" s="23" t="s">
        <v>11224</v>
      </c>
      <c r="Y2088" s="23">
        <v>3370</v>
      </c>
      <c r="Z2088" s="23">
        <v>47600</v>
      </c>
      <c r="AB2088" s="59" t="s">
        <v>11225</v>
      </c>
      <c r="AC2088" s="23">
        <v>2</v>
      </c>
      <c r="AD2088" s="23">
        <v>0</v>
      </c>
      <c r="AE2088" s="23">
        <v>1</v>
      </c>
      <c r="AF2088" s="23" t="s">
        <v>9622</v>
      </c>
      <c r="AG2088" s="23" t="s">
        <v>1553</v>
      </c>
      <c r="AH2088" s="39">
        <v>45146</v>
      </c>
      <c r="AI2088" s="53" t="s">
        <v>5851</v>
      </c>
      <c r="AJ2088" s="75" t="s">
        <v>11338</v>
      </c>
      <c r="AK2088" s="53">
        <v>45153</v>
      </c>
    </row>
    <row r="2089" spans="1:37">
      <c r="A2089" s="75" t="s">
        <v>11227</v>
      </c>
      <c r="B2089" s="23" t="s">
        <v>11228</v>
      </c>
      <c r="C2089" s="140">
        <v>45143</v>
      </c>
      <c r="D2089" s="23" t="s">
        <v>729</v>
      </c>
      <c r="E2089" s="23" t="s">
        <v>752</v>
      </c>
      <c r="F2089" s="23" t="s">
        <v>2200</v>
      </c>
      <c r="G2089" s="23" t="s">
        <v>301</v>
      </c>
      <c r="H2089" s="23">
        <v>20487323</v>
      </c>
      <c r="I2089" s="23">
        <v>20487323</v>
      </c>
      <c r="J2089" s="140">
        <v>45132</v>
      </c>
      <c r="P2089" s="23" t="s">
        <v>11236</v>
      </c>
      <c r="Q2089" s="141" t="s">
        <v>11237</v>
      </c>
      <c r="T2089" s="23" t="s">
        <v>12031</v>
      </c>
      <c r="U2089" s="23" t="s">
        <v>12031</v>
      </c>
      <c r="V2089" s="23" t="s">
        <v>298</v>
      </c>
      <c r="W2089" s="23" t="s">
        <v>11229</v>
      </c>
      <c r="Y2089" s="23">
        <v>2100</v>
      </c>
      <c r="Z2089" s="23">
        <v>21.201000000000001</v>
      </c>
      <c r="AB2089" s="23" t="s">
        <v>11230</v>
      </c>
      <c r="AC2089" s="23">
        <v>3</v>
      </c>
      <c r="AD2089" s="23">
        <v>0</v>
      </c>
      <c r="AE2089" s="23">
        <v>1</v>
      </c>
      <c r="AF2089" s="23" t="s">
        <v>9622</v>
      </c>
      <c r="AG2089" s="23" t="s">
        <v>1553</v>
      </c>
      <c r="AH2089" s="39">
        <v>45146</v>
      </c>
    </row>
    <row r="2090" spans="1:37">
      <c r="A2090" s="75" t="s">
        <v>11231</v>
      </c>
      <c r="B2090" s="23">
        <v>228903207</v>
      </c>
      <c r="C2090" s="140">
        <v>45126</v>
      </c>
      <c r="D2090" s="23" t="s">
        <v>729</v>
      </c>
      <c r="E2090" s="23" t="s">
        <v>752</v>
      </c>
      <c r="F2090" s="23" t="s">
        <v>11066</v>
      </c>
      <c r="G2090" s="23" t="s">
        <v>3469</v>
      </c>
      <c r="H2090" s="23" t="s">
        <v>11232</v>
      </c>
      <c r="I2090" s="23" t="s">
        <v>11232</v>
      </c>
      <c r="J2090" s="140">
        <v>45106</v>
      </c>
      <c r="T2090" s="23" t="s">
        <v>12031</v>
      </c>
      <c r="U2090" s="23" t="s">
        <v>12031</v>
      </c>
      <c r="V2090" s="23" t="s">
        <v>299</v>
      </c>
      <c r="W2090" s="23" t="s">
        <v>11106</v>
      </c>
      <c r="Y2090" s="38">
        <v>17800</v>
      </c>
      <c r="AB2090" s="23" t="s">
        <v>11233</v>
      </c>
      <c r="AC2090" s="23">
        <v>2</v>
      </c>
      <c r="AD2090" s="23">
        <v>0</v>
      </c>
      <c r="AE2090" s="23">
        <v>1</v>
      </c>
      <c r="AF2090" s="23" t="s">
        <v>9622</v>
      </c>
      <c r="AG2090" s="23" t="s">
        <v>11234</v>
      </c>
      <c r="AH2090" s="39">
        <v>45148</v>
      </c>
      <c r="AI2090" s="53" t="s">
        <v>299</v>
      </c>
      <c r="AJ2090" s="75" t="s">
        <v>11339</v>
      </c>
    </row>
    <row r="2091" spans="1:37">
      <c r="A2091" s="75" t="s">
        <v>11240</v>
      </c>
      <c r="B2091" s="23" t="s">
        <v>11241</v>
      </c>
      <c r="C2091" s="140">
        <v>45156</v>
      </c>
      <c r="D2091" s="23" t="s">
        <v>729</v>
      </c>
      <c r="E2091" s="23" t="s">
        <v>752</v>
      </c>
      <c r="F2091" s="23" t="s">
        <v>8377</v>
      </c>
      <c r="G2091" s="23" t="s">
        <v>5538</v>
      </c>
      <c r="H2091" s="23" t="s">
        <v>11242</v>
      </c>
      <c r="I2091" s="23" t="s">
        <v>11242</v>
      </c>
      <c r="J2091" s="140">
        <v>45149</v>
      </c>
      <c r="T2091" s="23" t="s">
        <v>12031</v>
      </c>
      <c r="U2091" s="23" t="s">
        <v>12031</v>
      </c>
      <c r="V2091" s="23" t="s">
        <v>299</v>
      </c>
      <c r="W2091" s="23" t="s">
        <v>11243</v>
      </c>
      <c r="X2091" s="23">
        <v>3140</v>
      </c>
      <c r="Y2091" s="23">
        <v>3140</v>
      </c>
      <c r="AB2091" s="23" t="s">
        <v>11244</v>
      </c>
      <c r="AC2091" s="23">
        <v>2</v>
      </c>
      <c r="AD2091" s="23">
        <v>0</v>
      </c>
      <c r="AE2091" s="23">
        <v>1</v>
      </c>
      <c r="AF2091" s="23" t="s">
        <v>9622</v>
      </c>
      <c r="AG2091" s="23" t="s">
        <v>637</v>
      </c>
      <c r="AH2091" s="39">
        <v>45160</v>
      </c>
      <c r="AI2091" s="53" t="s">
        <v>8387</v>
      </c>
      <c r="AJ2091" s="75" t="s">
        <v>11340</v>
      </c>
      <c r="AK2091" s="53">
        <v>45162</v>
      </c>
    </row>
    <row r="2092" spans="1:37" ht="112">
      <c r="A2092" s="75" t="s">
        <v>11245</v>
      </c>
      <c r="B2092" s="23" t="s">
        <v>11246</v>
      </c>
      <c r="C2092" s="140">
        <v>45158</v>
      </c>
      <c r="D2092" s="23" t="s">
        <v>729</v>
      </c>
      <c r="E2092" s="23" t="s">
        <v>752</v>
      </c>
      <c r="F2092" s="23" t="s">
        <v>2200</v>
      </c>
      <c r="G2092" s="23" t="s">
        <v>301</v>
      </c>
      <c r="H2092" s="23">
        <v>20489570</v>
      </c>
      <c r="I2092" s="23">
        <v>20489570</v>
      </c>
      <c r="J2092" s="140">
        <v>45146</v>
      </c>
      <c r="K2092" s="23" t="s">
        <v>11247</v>
      </c>
      <c r="L2092" s="140">
        <v>45160</v>
      </c>
      <c r="P2092" s="23" t="s">
        <v>11252</v>
      </c>
      <c r="Q2092" s="141" t="s">
        <v>11253</v>
      </c>
      <c r="T2092" s="23" t="s">
        <v>305</v>
      </c>
      <c r="U2092" s="23" t="s">
        <v>305</v>
      </c>
      <c r="V2092" s="23" t="s">
        <v>299</v>
      </c>
      <c r="W2092" s="23" t="s">
        <v>10640</v>
      </c>
      <c r="Y2092" s="23">
        <v>30780</v>
      </c>
      <c r="Z2092" s="23">
        <v>282000</v>
      </c>
      <c r="AB2092" s="60" t="s">
        <v>11248</v>
      </c>
      <c r="AC2092" s="23">
        <v>20</v>
      </c>
      <c r="AD2092" s="23">
        <v>0</v>
      </c>
      <c r="AE2092" s="23">
        <v>7</v>
      </c>
      <c r="AF2092" s="23" t="s">
        <v>9622</v>
      </c>
      <c r="AG2092" s="23" t="s">
        <v>1553</v>
      </c>
      <c r="AH2092" s="39">
        <v>45162</v>
      </c>
      <c r="AI2092" s="53" t="s">
        <v>5851</v>
      </c>
      <c r="AJ2092" s="75" t="s">
        <v>11341</v>
      </c>
      <c r="AK2092" s="53">
        <v>45173</v>
      </c>
    </row>
    <row r="2093" spans="1:37" ht="32">
      <c r="A2093" s="75" t="s">
        <v>11249</v>
      </c>
      <c r="B2093" s="23" t="s">
        <v>11250</v>
      </c>
      <c r="C2093" s="140">
        <v>45154</v>
      </c>
      <c r="D2093" s="23" t="s">
        <v>729</v>
      </c>
      <c r="E2093" s="23" t="s">
        <v>752</v>
      </c>
      <c r="F2093" s="23" t="s">
        <v>2200</v>
      </c>
      <c r="G2093" s="23" t="s">
        <v>301</v>
      </c>
      <c r="H2093" s="23">
        <v>20489586</v>
      </c>
      <c r="I2093" s="23">
        <v>20489586</v>
      </c>
      <c r="J2093" s="140">
        <v>45146</v>
      </c>
      <c r="K2093" s="23" t="s">
        <v>11251</v>
      </c>
      <c r="L2093" s="140">
        <v>45160</v>
      </c>
      <c r="P2093" s="23" t="s">
        <v>11254</v>
      </c>
      <c r="Q2093" s="141" t="s">
        <v>11255</v>
      </c>
      <c r="T2093" s="23" t="s">
        <v>305</v>
      </c>
      <c r="U2093" s="23" t="s">
        <v>305</v>
      </c>
      <c r="V2093" s="23" t="s">
        <v>299</v>
      </c>
      <c r="W2093" s="23" t="s">
        <v>11224</v>
      </c>
      <c r="Y2093" s="23">
        <v>10110</v>
      </c>
      <c r="Z2093" s="23">
        <v>142800</v>
      </c>
      <c r="AB2093" s="60" t="s">
        <v>11260</v>
      </c>
      <c r="AC2093" s="23">
        <v>6</v>
      </c>
      <c r="AD2093" s="23">
        <v>0</v>
      </c>
      <c r="AE2093" s="23">
        <v>2</v>
      </c>
      <c r="AF2093" s="23" t="s">
        <v>9622</v>
      </c>
      <c r="AG2093" s="23" t="s">
        <v>1553</v>
      </c>
      <c r="AH2093" s="39">
        <v>45162</v>
      </c>
      <c r="AI2093" s="53" t="s">
        <v>5851</v>
      </c>
      <c r="AJ2093" s="75" t="s">
        <v>11342</v>
      </c>
      <c r="AK2093" s="53">
        <v>45173</v>
      </c>
    </row>
    <row r="2094" spans="1:37" ht="64">
      <c r="A2094" s="75" t="s">
        <v>11256</v>
      </c>
      <c r="B2094" s="23" t="s">
        <v>11257</v>
      </c>
      <c r="C2094" s="140">
        <v>45168</v>
      </c>
      <c r="D2094" s="23" t="s">
        <v>729</v>
      </c>
      <c r="E2094" s="23" t="s">
        <v>752</v>
      </c>
      <c r="F2094" s="23" t="s">
        <v>2200</v>
      </c>
      <c r="G2094" s="23" t="s">
        <v>301</v>
      </c>
      <c r="H2094" s="23">
        <v>20492481</v>
      </c>
      <c r="I2094" s="23">
        <v>20492481</v>
      </c>
      <c r="J2094" s="140">
        <v>45163</v>
      </c>
      <c r="K2094" s="23" t="s">
        <v>11258</v>
      </c>
      <c r="L2094" s="140">
        <v>45174</v>
      </c>
      <c r="T2094" s="23" t="s">
        <v>305</v>
      </c>
      <c r="U2094" s="23" t="s">
        <v>305</v>
      </c>
      <c r="V2094" s="23" t="s">
        <v>299</v>
      </c>
      <c r="W2094" s="23" t="s">
        <v>11259</v>
      </c>
      <c r="Y2094" s="23">
        <v>16929</v>
      </c>
      <c r="AB2094" s="60" t="s">
        <v>11261</v>
      </c>
      <c r="AC2094" s="23">
        <v>11</v>
      </c>
      <c r="AD2094" s="23">
        <v>0</v>
      </c>
      <c r="AE2094" s="23">
        <v>4</v>
      </c>
      <c r="AF2094" s="23" t="s">
        <v>9622</v>
      </c>
      <c r="AG2094" s="23" t="s">
        <v>1553</v>
      </c>
      <c r="AH2094" s="39">
        <v>45177</v>
      </c>
      <c r="AI2094" s="53" t="s">
        <v>5851</v>
      </c>
      <c r="AJ2094" s="75" t="s">
        <v>11343</v>
      </c>
      <c r="AK2094" s="53">
        <v>45180</v>
      </c>
    </row>
    <row r="2095" spans="1:37" ht="64">
      <c r="A2095" s="75" t="s">
        <v>11262</v>
      </c>
      <c r="B2095" s="23" t="s">
        <v>11263</v>
      </c>
      <c r="C2095" s="140">
        <v>45195</v>
      </c>
      <c r="D2095" s="23" t="s">
        <v>729</v>
      </c>
      <c r="E2095" s="23" t="s">
        <v>752</v>
      </c>
      <c r="F2095" s="23" t="s">
        <v>6113</v>
      </c>
      <c r="G2095" s="23" t="s">
        <v>5538</v>
      </c>
      <c r="H2095" s="23" t="s">
        <v>11264</v>
      </c>
      <c r="I2095" s="23" t="s">
        <v>11264</v>
      </c>
      <c r="J2095" s="140">
        <v>45169</v>
      </c>
      <c r="T2095" s="23" t="s">
        <v>12031</v>
      </c>
      <c r="U2095" s="23" t="s">
        <v>12031</v>
      </c>
      <c r="V2095" s="23" t="s">
        <v>299</v>
      </c>
      <c r="W2095" s="29" t="s">
        <v>11265</v>
      </c>
      <c r="AB2095" s="59" t="s">
        <v>11266</v>
      </c>
      <c r="AC2095" s="23">
        <v>2</v>
      </c>
      <c r="AD2095" s="23">
        <v>0</v>
      </c>
      <c r="AE2095" s="23">
        <v>1</v>
      </c>
      <c r="AF2095" s="23" t="s">
        <v>9622</v>
      </c>
      <c r="AG2095" s="23" t="s">
        <v>5879</v>
      </c>
      <c r="AH2095" s="39">
        <v>45197</v>
      </c>
      <c r="AI2095" s="53" t="s">
        <v>9962</v>
      </c>
      <c r="AJ2095" s="75" t="s">
        <v>11344</v>
      </c>
      <c r="AK2095" s="53">
        <v>45201</v>
      </c>
    </row>
    <row r="2096" spans="1:37">
      <c r="A2096" s="75" t="s">
        <v>11267</v>
      </c>
      <c r="B2096" s="23" t="s">
        <v>11268</v>
      </c>
      <c r="C2096" s="140">
        <v>45187</v>
      </c>
      <c r="D2096" s="23" t="s">
        <v>729</v>
      </c>
      <c r="E2096" s="23" t="s">
        <v>752</v>
      </c>
      <c r="F2096" s="23" t="s">
        <v>10928</v>
      </c>
      <c r="G2096" s="23" t="s">
        <v>3469</v>
      </c>
      <c r="H2096" s="23" t="s">
        <v>11269</v>
      </c>
      <c r="I2096" s="23" t="s">
        <v>11269</v>
      </c>
      <c r="J2096" s="140">
        <v>45187</v>
      </c>
      <c r="T2096" s="23" t="s">
        <v>12031</v>
      </c>
      <c r="U2096" s="23" t="s">
        <v>12031</v>
      </c>
      <c r="V2096" s="23" t="s">
        <v>299</v>
      </c>
      <c r="W2096" s="23" t="s">
        <v>11270</v>
      </c>
      <c r="AB2096" s="23" t="s">
        <v>97</v>
      </c>
      <c r="AC2096" s="23">
        <v>15</v>
      </c>
      <c r="AD2096" s="23">
        <v>0</v>
      </c>
      <c r="AE2096" s="23">
        <v>0</v>
      </c>
      <c r="AF2096" s="23" t="s">
        <v>97</v>
      </c>
      <c r="AG2096" s="23" t="s">
        <v>8497</v>
      </c>
      <c r="AH2096" s="39">
        <v>45201</v>
      </c>
      <c r="AI2096" s="169" t="s">
        <v>5706</v>
      </c>
      <c r="AJ2096" s="75" t="s">
        <v>11345</v>
      </c>
      <c r="AK2096" s="53">
        <v>45215</v>
      </c>
    </row>
    <row r="2097" spans="1:37">
      <c r="A2097" s="75" t="s">
        <v>11271</v>
      </c>
      <c r="B2097" s="59" t="s">
        <v>11272</v>
      </c>
      <c r="C2097" s="140">
        <v>45198</v>
      </c>
      <c r="D2097" s="23" t="s">
        <v>729</v>
      </c>
      <c r="E2097" s="23" t="s">
        <v>752</v>
      </c>
      <c r="F2097" s="23" t="s">
        <v>8377</v>
      </c>
      <c r="G2097" s="23" t="s">
        <v>5538</v>
      </c>
      <c r="H2097" s="23" t="s">
        <v>11273</v>
      </c>
      <c r="I2097" s="23" t="s">
        <v>11273</v>
      </c>
      <c r="J2097" s="140">
        <v>45190</v>
      </c>
      <c r="T2097" s="23" t="s">
        <v>12031</v>
      </c>
      <c r="U2097" s="23" t="s">
        <v>12031</v>
      </c>
      <c r="V2097" s="23" t="s">
        <v>299</v>
      </c>
      <c r="W2097" s="23" t="s">
        <v>11274</v>
      </c>
      <c r="AB2097" s="59" t="s">
        <v>11275</v>
      </c>
      <c r="AC2097" s="23">
        <v>2</v>
      </c>
      <c r="AD2097" s="23">
        <v>0</v>
      </c>
      <c r="AE2097" s="23">
        <v>1</v>
      </c>
      <c r="AF2097" s="23" t="s">
        <v>9622</v>
      </c>
      <c r="AG2097" s="23" t="s">
        <v>11276</v>
      </c>
      <c r="AH2097" s="39">
        <v>45202</v>
      </c>
      <c r="AI2097" s="53" t="s">
        <v>8387</v>
      </c>
      <c r="AJ2097" s="75" t="s">
        <v>11347</v>
      </c>
      <c r="AK2097" s="53">
        <v>45204</v>
      </c>
    </row>
    <row r="2098" spans="1:37">
      <c r="A2098" s="75" t="s">
        <v>11278</v>
      </c>
      <c r="B2098" s="23" t="s">
        <v>11277</v>
      </c>
      <c r="C2098" s="140">
        <v>45198</v>
      </c>
      <c r="D2098" s="23" t="s">
        <v>729</v>
      </c>
      <c r="E2098" s="23" t="s">
        <v>752</v>
      </c>
      <c r="F2098" s="23" t="s">
        <v>57</v>
      </c>
      <c r="G2098" s="23" t="s">
        <v>57</v>
      </c>
      <c r="H2098" s="23" t="s">
        <v>11279</v>
      </c>
      <c r="I2098" s="23" t="s">
        <v>11279</v>
      </c>
      <c r="J2098" s="140">
        <v>45195</v>
      </c>
      <c r="K2098" s="23" t="s">
        <v>11280</v>
      </c>
      <c r="L2098" s="140">
        <v>45202</v>
      </c>
      <c r="P2098" s="23" t="s">
        <v>11281</v>
      </c>
      <c r="Q2098" s="141" t="s">
        <v>11293</v>
      </c>
      <c r="S2098" s="23" t="s">
        <v>183</v>
      </c>
      <c r="T2098" s="23" t="s">
        <v>305</v>
      </c>
      <c r="U2098" s="23" t="s">
        <v>305</v>
      </c>
      <c r="V2098" s="23" t="s">
        <v>233</v>
      </c>
      <c r="W2098" s="23" t="s">
        <v>112</v>
      </c>
      <c r="X2098" s="23">
        <v>17471.3</v>
      </c>
      <c r="Y2098" s="23">
        <v>17575.7</v>
      </c>
      <c r="Z2098" s="23">
        <v>17331.53</v>
      </c>
      <c r="AA2098" s="23">
        <v>16701.53</v>
      </c>
      <c r="AB2098" s="23" t="s">
        <v>11282</v>
      </c>
      <c r="AC2098" s="23" t="s">
        <v>8007</v>
      </c>
      <c r="AD2098" s="23">
        <v>0</v>
      </c>
      <c r="AE2098" s="23">
        <v>1</v>
      </c>
      <c r="AF2098" s="23" t="s">
        <v>5478</v>
      </c>
      <c r="AG2098" s="23" t="s">
        <v>792</v>
      </c>
      <c r="AH2098" s="39">
        <v>45203</v>
      </c>
    </row>
    <row r="2099" spans="1:37" ht="176">
      <c r="A2099" s="75" t="s">
        <v>11283</v>
      </c>
      <c r="B2099" s="23" t="s">
        <v>11285</v>
      </c>
      <c r="C2099" s="140">
        <v>45197</v>
      </c>
      <c r="D2099" s="23" t="s">
        <v>729</v>
      </c>
      <c r="E2099" s="23" t="s">
        <v>752</v>
      </c>
      <c r="F2099" s="23" t="s">
        <v>2200</v>
      </c>
      <c r="G2099" s="23" t="s">
        <v>301</v>
      </c>
      <c r="H2099" s="23" t="s">
        <v>11294</v>
      </c>
      <c r="I2099" s="23" t="s">
        <v>11294</v>
      </c>
      <c r="J2099" s="140">
        <v>45189</v>
      </c>
      <c r="K2099" s="23" t="s">
        <v>11296</v>
      </c>
      <c r="L2099" s="140">
        <v>45208</v>
      </c>
      <c r="P2099" s="23" t="s">
        <v>11302</v>
      </c>
      <c r="Q2099" s="141" t="s">
        <v>11303</v>
      </c>
      <c r="T2099" s="23" t="s">
        <v>305</v>
      </c>
      <c r="U2099" s="23" t="s">
        <v>305</v>
      </c>
      <c r="V2099" s="23" t="s">
        <v>299</v>
      </c>
      <c r="W2099" s="23" t="s">
        <v>11259</v>
      </c>
      <c r="Y2099" s="23">
        <v>47709</v>
      </c>
      <c r="Z2099" s="23">
        <v>437100</v>
      </c>
      <c r="AB2099" s="60" t="s">
        <v>11287</v>
      </c>
      <c r="AC2099" s="23">
        <v>31</v>
      </c>
      <c r="AD2099" s="23">
        <v>0</v>
      </c>
      <c r="AE2099" s="23">
        <v>11</v>
      </c>
      <c r="AF2099" s="23" t="s">
        <v>9622</v>
      </c>
      <c r="AG2099" s="23" t="s">
        <v>1553</v>
      </c>
      <c r="AH2099" s="39">
        <v>45204</v>
      </c>
      <c r="AI2099" s="53" t="s">
        <v>5851</v>
      </c>
      <c r="AJ2099" s="75" t="s">
        <v>11346</v>
      </c>
      <c r="AK2099" s="53">
        <v>45215</v>
      </c>
    </row>
    <row r="2100" spans="1:37" ht="96">
      <c r="A2100" s="75" t="s">
        <v>11284</v>
      </c>
      <c r="B2100" s="23" t="s">
        <v>11286</v>
      </c>
      <c r="C2100" s="140">
        <v>45197</v>
      </c>
      <c r="D2100" s="23" t="s">
        <v>729</v>
      </c>
      <c r="E2100" s="23" t="s">
        <v>752</v>
      </c>
      <c r="F2100" s="23" t="s">
        <v>2200</v>
      </c>
      <c r="G2100" s="23" t="s">
        <v>301</v>
      </c>
      <c r="H2100" s="23" t="s">
        <v>11295</v>
      </c>
      <c r="I2100" s="23" t="s">
        <v>11295</v>
      </c>
      <c r="J2100" s="140">
        <v>45189</v>
      </c>
      <c r="K2100" s="23" t="s">
        <v>11297</v>
      </c>
      <c r="L2100" s="140">
        <v>45208</v>
      </c>
      <c r="P2100" s="23" t="s">
        <v>11302</v>
      </c>
      <c r="Q2100" s="141" t="s">
        <v>11303</v>
      </c>
      <c r="T2100" s="23" t="s">
        <v>305</v>
      </c>
      <c r="U2100" s="23" t="s">
        <v>305</v>
      </c>
      <c r="V2100" s="23" t="s">
        <v>299</v>
      </c>
      <c r="W2100" s="23" t="s">
        <v>11259</v>
      </c>
      <c r="Y2100" s="23">
        <v>21546</v>
      </c>
      <c r="Z2100" s="23">
        <v>197400</v>
      </c>
      <c r="AB2100" s="60" t="s">
        <v>11288</v>
      </c>
      <c r="AC2100" s="23">
        <v>14</v>
      </c>
      <c r="AD2100" s="23">
        <v>0</v>
      </c>
      <c r="AE2100" s="23">
        <v>4</v>
      </c>
      <c r="AF2100" s="23" t="s">
        <v>9622</v>
      </c>
      <c r="AG2100" s="23" t="s">
        <v>1553</v>
      </c>
      <c r="AH2100" s="39">
        <v>45204</v>
      </c>
      <c r="AI2100" s="53" t="s">
        <v>5851</v>
      </c>
      <c r="AJ2100" s="75" t="s">
        <v>11348</v>
      </c>
      <c r="AK2100" s="53">
        <v>45215</v>
      </c>
    </row>
    <row r="2101" spans="1:37">
      <c r="A2101" s="75" t="s">
        <v>11298</v>
      </c>
      <c r="B2101" s="23" t="s">
        <v>11299</v>
      </c>
      <c r="C2101" s="140">
        <v>45180</v>
      </c>
      <c r="D2101" s="23" t="s">
        <v>729</v>
      </c>
      <c r="E2101" s="23" t="s">
        <v>752</v>
      </c>
      <c r="F2101" s="23" t="s">
        <v>2200</v>
      </c>
      <c r="G2101" s="23" t="s">
        <v>301</v>
      </c>
      <c r="H2101" s="23">
        <v>55016180</v>
      </c>
      <c r="I2101" s="23">
        <v>55016180</v>
      </c>
      <c r="J2101" s="140">
        <v>45173</v>
      </c>
      <c r="K2101" s="23" t="s">
        <v>11300</v>
      </c>
      <c r="L2101" s="140">
        <v>45183</v>
      </c>
      <c r="P2101" s="23" t="s">
        <v>11325</v>
      </c>
      <c r="Q2101" s="141" t="s">
        <v>11326</v>
      </c>
      <c r="T2101" s="23" t="s">
        <v>305</v>
      </c>
      <c r="U2101" s="23" t="s">
        <v>305</v>
      </c>
      <c r="V2101" s="23" t="s">
        <v>298</v>
      </c>
      <c r="W2101" s="23" t="s">
        <v>3141</v>
      </c>
      <c r="Y2101" s="23">
        <v>8252</v>
      </c>
      <c r="Z2101" s="23">
        <v>68805</v>
      </c>
      <c r="AB2101" s="59" t="s">
        <v>11301</v>
      </c>
      <c r="AC2101" s="23">
        <v>34</v>
      </c>
      <c r="AD2101" s="23">
        <v>0</v>
      </c>
      <c r="AE2101" s="23">
        <v>1</v>
      </c>
      <c r="AF2101" s="23" t="s">
        <v>9622</v>
      </c>
      <c r="AG2101" s="23" t="s">
        <v>5602</v>
      </c>
      <c r="AH2101" s="39">
        <v>45210</v>
      </c>
      <c r="AJ2101" s="75" t="s">
        <v>11349</v>
      </c>
      <c r="AK2101" s="53">
        <v>45219</v>
      </c>
    </row>
    <row r="2102" spans="1:37" ht="32">
      <c r="A2102" s="75" t="s">
        <v>11311</v>
      </c>
      <c r="B2102" s="23" t="s">
        <v>11313</v>
      </c>
      <c r="C2102" s="140">
        <v>45174</v>
      </c>
      <c r="D2102" s="23" t="s">
        <v>729</v>
      </c>
      <c r="E2102" s="23" t="s">
        <v>752</v>
      </c>
      <c r="F2102" s="23" t="s">
        <v>11304</v>
      </c>
      <c r="G2102" s="23" t="s">
        <v>11314</v>
      </c>
      <c r="H2102" s="23" t="s">
        <v>11321</v>
      </c>
      <c r="I2102" s="23" t="s">
        <v>11321</v>
      </c>
      <c r="J2102" s="140">
        <v>45167</v>
      </c>
      <c r="P2102" s="23" t="s">
        <v>11316</v>
      </c>
      <c r="Q2102" s="141" t="s">
        <v>11317</v>
      </c>
      <c r="T2102" s="23" t="s">
        <v>12031</v>
      </c>
      <c r="U2102" s="23" t="s">
        <v>12031</v>
      </c>
      <c r="V2102" s="23" t="s">
        <v>299</v>
      </c>
      <c r="W2102" s="23" t="s">
        <v>11318</v>
      </c>
      <c r="Y2102" s="23">
        <v>10760</v>
      </c>
      <c r="AB2102" s="19" t="s">
        <v>11319</v>
      </c>
      <c r="AC2102" s="23">
        <v>4</v>
      </c>
      <c r="AD2102" s="23">
        <v>0</v>
      </c>
      <c r="AE2102" s="23">
        <v>2</v>
      </c>
      <c r="AF2102" s="23" t="s">
        <v>9622</v>
      </c>
      <c r="AG2102" s="23" t="s">
        <v>11320</v>
      </c>
      <c r="AH2102" s="39">
        <v>45216</v>
      </c>
      <c r="AJ2102" s="75" t="s">
        <v>11350</v>
      </c>
      <c r="AK2102" s="53">
        <v>45219</v>
      </c>
    </row>
    <row r="2103" spans="1:37">
      <c r="A2103" s="75" t="s">
        <v>11312</v>
      </c>
      <c r="B2103" s="23" t="s">
        <v>11322</v>
      </c>
      <c r="C2103" s="140">
        <v>45174</v>
      </c>
      <c r="D2103" s="23" t="s">
        <v>729</v>
      </c>
      <c r="E2103" s="23" t="s">
        <v>752</v>
      </c>
      <c r="F2103" s="23" t="s">
        <v>11304</v>
      </c>
      <c r="G2103" s="23" t="s">
        <v>11314</v>
      </c>
      <c r="H2103" s="23" t="s">
        <v>11315</v>
      </c>
      <c r="I2103" s="23" t="s">
        <v>11315</v>
      </c>
      <c r="J2103" s="140">
        <v>45167</v>
      </c>
      <c r="P2103" s="23" t="s">
        <v>11316</v>
      </c>
      <c r="Q2103" s="141" t="s">
        <v>11317</v>
      </c>
      <c r="T2103" s="23" t="s">
        <v>12031</v>
      </c>
      <c r="U2103" s="23" t="s">
        <v>12031</v>
      </c>
      <c r="V2103" s="23" t="s">
        <v>299</v>
      </c>
      <c r="W2103" s="23" t="s">
        <v>11323</v>
      </c>
      <c r="Y2103" s="23">
        <v>5230</v>
      </c>
      <c r="AB2103" s="23" t="s">
        <v>11324</v>
      </c>
      <c r="AC2103" s="23">
        <v>2</v>
      </c>
      <c r="AD2103" s="23">
        <v>0</v>
      </c>
      <c r="AE2103" s="23">
        <v>1</v>
      </c>
      <c r="AF2103" s="23" t="s">
        <v>9622</v>
      </c>
      <c r="AG2103" s="23" t="s">
        <v>11320</v>
      </c>
      <c r="AH2103" s="39">
        <v>45216</v>
      </c>
      <c r="AJ2103" s="75" t="s">
        <v>11351</v>
      </c>
      <c r="AK2103" s="53">
        <v>45218</v>
      </c>
    </row>
    <row r="2104" spans="1:37" ht="48">
      <c r="A2104" s="75" t="s">
        <v>11327</v>
      </c>
      <c r="B2104" s="23" t="s">
        <v>11328</v>
      </c>
      <c r="C2104" s="140">
        <v>45218</v>
      </c>
      <c r="D2104" s="23" t="s">
        <v>729</v>
      </c>
      <c r="E2104" s="23" t="s">
        <v>752</v>
      </c>
      <c r="F2104" s="23" t="s">
        <v>6113</v>
      </c>
      <c r="G2104" s="23" t="s">
        <v>5538</v>
      </c>
      <c r="H2104" s="23" t="s">
        <v>11329</v>
      </c>
      <c r="I2104" s="23" t="s">
        <v>11329</v>
      </c>
      <c r="J2104" s="140">
        <v>45204</v>
      </c>
      <c r="T2104" s="23" t="s">
        <v>12031</v>
      </c>
      <c r="U2104" s="23" t="s">
        <v>12031</v>
      </c>
      <c r="V2104" s="23" t="s">
        <v>299</v>
      </c>
      <c r="W2104" s="19" t="s">
        <v>11330</v>
      </c>
      <c r="Y2104" s="23">
        <v>4600</v>
      </c>
      <c r="AB2104" s="59" t="s">
        <v>11331</v>
      </c>
      <c r="AC2104" s="23">
        <v>3</v>
      </c>
      <c r="AD2104" s="23">
        <v>0</v>
      </c>
      <c r="AE2104" s="23">
        <v>1</v>
      </c>
      <c r="AF2104" s="23" t="s">
        <v>9622</v>
      </c>
      <c r="AG2104" s="23" t="s">
        <v>11332</v>
      </c>
      <c r="AH2104" s="39">
        <v>45224</v>
      </c>
      <c r="AI2104" s="53" t="s">
        <v>9962</v>
      </c>
      <c r="AJ2104" s="75" t="s">
        <v>11458</v>
      </c>
      <c r="AK2104" s="53">
        <v>45226</v>
      </c>
    </row>
    <row r="2105" spans="1:37">
      <c r="A2105" s="75" t="s">
        <v>11352</v>
      </c>
      <c r="B2105" s="23" t="s">
        <v>11353</v>
      </c>
      <c r="C2105" s="140">
        <v>45223</v>
      </c>
      <c r="D2105" s="23" t="s">
        <v>729</v>
      </c>
      <c r="E2105" s="23" t="s">
        <v>752</v>
      </c>
      <c r="F2105" s="23" t="s">
        <v>57</v>
      </c>
      <c r="G2105" s="23" t="s">
        <v>57</v>
      </c>
      <c r="H2105" s="23" t="s">
        <v>11354</v>
      </c>
      <c r="I2105" s="23" t="s">
        <v>11354</v>
      </c>
      <c r="J2105" s="140">
        <v>45219</v>
      </c>
      <c r="K2105" s="23" t="s">
        <v>11356</v>
      </c>
      <c r="L2105" s="140">
        <v>45224</v>
      </c>
      <c r="P2105" s="23" t="s">
        <v>11365</v>
      </c>
      <c r="S2105" s="23" t="s">
        <v>183</v>
      </c>
      <c r="T2105" s="23" t="s">
        <v>305</v>
      </c>
      <c r="U2105" s="23" t="s">
        <v>305</v>
      </c>
      <c r="V2105" s="23" t="s">
        <v>233</v>
      </c>
      <c r="W2105" s="23" t="s">
        <v>112</v>
      </c>
      <c r="X2105" s="23">
        <v>16220</v>
      </c>
      <c r="Y2105" s="37">
        <v>16324.4</v>
      </c>
      <c r="Z2105" s="23">
        <v>16090.24</v>
      </c>
      <c r="AB2105" s="23" t="s">
        <v>11355</v>
      </c>
      <c r="AC2105" s="23" t="s">
        <v>8007</v>
      </c>
      <c r="AD2105" s="23">
        <v>0</v>
      </c>
      <c r="AE2105" s="23">
        <v>1</v>
      </c>
      <c r="AF2105" s="23" t="s">
        <v>9622</v>
      </c>
      <c r="AG2105" s="23" t="s">
        <v>792</v>
      </c>
      <c r="AH2105" s="39">
        <v>45226</v>
      </c>
    </row>
    <row r="2106" spans="1:37" ht="64">
      <c r="A2106" s="75" t="s">
        <v>11357</v>
      </c>
      <c r="B2106" s="23" t="s">
        <v>11358</v>
      </c>
      <c r="C2106" s="140">
        <v>45215</v>
      </c>
      <c r="D2106" s="23" t="s">
        <v>729</v>
      </c>
      <c r="E2106" s="23" t="s">
        <v>752</v>
      </c>
      <c r="F2106" s="23" t="s">
        <v>2200</v>
      </c>
      <c r="G2106" s="23" t="s">
        <v>301</v>
      </c>
      <c r="H2106" s="23">
        <v>20500822</v>
      </c>
      <c r="I2106" s="23">
        <v>20500822</v>
      </c>
      <c r="J2106" s="140">
        <v>45212</v>
      </c>
      <c r="K2106" s="23" t="s">
        <v>11359</v>
      </c>
      <c r="L2106" s="140">
        <v>45217</v>
      </c>
      <c r="T2106" s="23" t="s">
        <v>305</v>
      </c>
      <c r="U2106" s="23" t="s">
        <v>305</v>
      </c>
      <c r="V2106" s="23" t="s">
        <v>299</v>
      </c>
      <c r="W2106" s="23" t="s">
        <v>11259</v>
      </c>
      <c r="Y2106" s="23">
        <v>18468</v>
      </c>
      <c r="Z2106" s="23">
        <v>169200</v>
      </c>
      <c r="AB2106" s="19" t="s">
        <v>11364</v>
      </c>
      <c r="AC2106" s="23">
        <v>12</v>
      </c>
      <c r="AD2106" s="23">
        <v>0</v>
      </c>
      <c r="AE2106" s="23">
        <v>4</v>
      </c>
      <c r="AF2106" s="23" t="s">
        <v>9622</v>
      </c>
      <c r="AG2106" s="23" t="s">
        <v>659</v>
      </c>
      <c r="AH2106" s="39">
        <v>45227</v>
      </c>
      <c r="AI2106" s="53" t="s">
        <v>5851</v>
      </c>
      <c r="AJ2106" s="75" t="s">
        <v>11459</v>
      </c>
      <c r="AK2106" s="53">
        <v>45229</v>
      </c>
    </row>
    <row r="2107" spans="1:37">
      <c r="A2107" s="75" t="s">
        <v>11360</v>
      </c>
      <c r="B2107" s="23" t="s">
        <v>11361</v>
      </c>
      <c r="C2107" s="140">
        <v>45216</v>
      </c>
      <c r="D2107" s="23" t="s">
        <v>729</v>
      </c>
      <c r="E2107" s="23" t="s">
        <v>752</v>
      </c>
      <c r="F2107" s="23" t="s">
        <v>6113</v>
      </c>
      <c r="G2107" s="23" t="s">
        <v>5538</v>
      </c>
      <c r="H2107" s="23" t="s">
        <v>11362</v>
      </c>
      <c r="I2107" s="23" t="s">
        <v>11362</v>
      </c>
      <c r="J2107" s="140">
        <v>45204</v>
      </c>
      <c r="T2107" s="23" t="s">
        <v>12031</v>
      </c>
      <c r="U2107" s="23" t="s">
        <v>12031</v>
      </c>
      <c r="V2107" s="23" t="s">
        <v>299</v>
      </c>
      <c r="W2107" s="23" t="s">
        <v>11121</v>
      </c>
      <c r="AB2107" s="23" t="s">
        <v>97</v>
      </c>
      <c r="AC2107" s="23">
        <v>3</v>
      </c>
      <c r="AD2107" s="23">
        <v>0</v>
      </c>
      <c r="AE2107" s="23">
        <v>0</v>
      </c>
      <c r="AF2107" s="23" t="s">
        <v>97</v>
      </c>
      <c r="AG2107" s="23" t="s">
        <v>5388</v>
      </c>
      <c r="AH2107" s="39">
        <v>45233</v>
      </c>
      <c r="AI2107" s="53" t="s">
        <v>9962</v>
      </c>
    </row>
    <row r="2108" spans="1:37" ht="144">
      <c r="A2108" s="75" t="s">
        <v>11363</v>
      </c>
      <c r="B2108" s="23" t="s">
        <v>11379</v>
      </c>
      <c r="C2108" s="140">
        <v>45228</v>
      </c>
      <c r="D2108" s="23" t="s">
        <v>729</v>
      </c>
      <c r="E2108" s="23" t="s">
        <v>752</v>
      </c>
      <c r="F2108" s="23" t="s">
        <v>2200</v>
      </c>
      <c r="G2108" s="23" t="s">
        <v>301</v>
      </c>
      <c r="H2108" s="23">
        <v>20502442</v>
      </c>
      <c r="I2108" s="23">
        <v>20502442</v>
      </c>
      <c r="J2108" s="140">
        <v>45226</v>
      </c>
      <c r="K2108" s="23" t="s">
        <v>11397</v>
      </c>
      <c r="L2108" s="140">
        <v>45233</v>
      </c>
      <c r="T2108" s="23" t="s">
        <v>305</v>
      </c>
      <c r="U2108" s="23" t="s">
        <v>305</v>
      </c>
      <c r="V2108" s="23" t="s">
        <v>299</v>
      </c>
      <c r="W2108" s="23" t="s">
        <v>11259</v>
      </c>
      <c r="Y2108" s="23">
        <v>41553</v>
      </c>
      <c r="Z2108" s="23">
        <v>380700</v>
      </c>
      <c r="AB2108" s="19" t="s">
        <v>11380</v>
      </c>
      <c r="AC2108" s="23">
        <v>27</v>
      </c>
      <c r="AD2108" s="23">
        <v>0</v>
      </c>
      <c r="AE2108" s="23">
        <v>9</v>
      </c>
      <c r="AF2108" s="23" t="s">
        <v>9622</v>
      </c>
      <c r="AG2108" s="23" t="s">
        <v>1553</v>
      </c>
      <c r="AH2108" s="39">
        <v>45236</v>
      </c>
      <c r="AI2108" s="53" t="s">
        <v>5851</v>
      </c>
      <c r="AJ2108" s="75" t="s">
        <v>11460</v>
      </c>
      <c r="AK2108" s="53">
        <v>45240</v>
      </c>
    </row>
    <row r="2109" spans="1:37">
      <c r="A2109" s="75" t="s">
        <v>11366</v>
      </c>
      <c r="B2109" s="23" t="s">
        <v>11367</v>
      </c>
      <c r="C2109" s="140">
        <v>45231</v>
      </c>
      <c r="D2109" s="23" t="s">
        <v>729</v>
      </c>
      <c r="E2109" s="23" t="s">
        <v>752</v>
      </c>
      <c r="F2109" s="23" t="s">
        <v>10928</v>
      </c>
      <c r="G2109" s="23" t="s">
        <v>3469</v>
      </c>
      <c r="H2109" s="23" t="s">
        <v>11368</v>
      </c>
      <c r="I2109" s="23" t="s">
        <v>11368</v>
      </c>
      <c r="J2109" s="140">
        <v>45224</v>
      </c>
      <c r="T2109" s="23" t="s">
        <v>12031</v>
      </c>
      <c r="U2109" s="23" t="s">
        <v>12031</v>
      </c>
      <c r="V2109" s="23" t="s">
        <v>298</v>
      </c>
      <c r="W2109" s="23" t="s">
        <v>10930</v>
      </c>
      <c r="AB2109" s="23" t="s">
        <v>97</v>
      </c>
      <c r="AC2109" s="23">
        <v>50</v>
      </c>
      <c r="AD2109" s="23">
        <v>0</v>
      </c>
      <c r="AE2109" s="23">
        <v>0</v>
      </c>
      <c r="AF2109" s="23" t="s">
        <v>97</v>
      </c>
      <c r="AG2109" s="23" t="s">
        <v>8497</v>
      </c>
      <c r="AH2109" s="39">
        <v>45237</v>
      </c>
    </row>
    <row r="2110" spans="1:37">
      <c r="A2110" s="75" t="s">
        <v>11369</v>
      </c>
      <c r="B2110" s="23" t="s">
        <v>11370</v>
      </c>
      <c r="C2110" s="140">
        <v>45231</v>
      </c>
      <c r="D2110" s="23" t="s">
        <v>729</v>
      </c>
      <c r="E2110" s="23" t="s">
        <v>752</v>
      </c>
      <c r="F2110" s="23" t="s">
        <v>11371</v>
      </c>
      <c r="G2110" s="23" t="s">
        <v>3469</v>
      </c>
      <c r="H2110" s="23" t="s">
        <v>11372</v>
      </c>
      <c r="I2110" s="23" t="s">
        <v>11372</v>
      </c>
      <c r="J2110" s="140">
        <v>45231</v>
      </c>
      <c r="T2110" s="23" t="s">
        <v>12031</v>
      </c>
      <c r="U2110" s="23" t="s">
        <v>12031</v>
      </c>
      <c r="V2110" s="23" t="s">
        <v>298</v>
      </c>
      <c r="W2110" s="23" t="s">
        <v>11373</v>
      </c>
      <c r="AB2110" s="23" t="s">
        <v>97</v>
      </c>
      <c r="AC2110" s="23">
        <v>25</v>
      </c>
      <c r="AD2110" s="23">
        <v>0</v>
      </c>
      <c r="AE2110" s="23">
        <v>0</v>
      </c>
      <c r="AF2110" s="23" t="s">
        <v>97</v>
      </c>
      <c r="AG2110" s="23" t="s">
        <v>11374</v>
      </c>
      <c r="AH2110" s="39">
        <v>45237</v>
      </c>
    </row>
    <row r="2111" spans="1:37">
      <c r="A2111" s="75" t="s">
        <v>11375</v>
      </c>
      <c r="B2111" s="23" t="s">
        <v>11376</v>
      </c>
      <c r="C2111" s="140">
        <v>45231</v>
      </c>
      <c r="D2111" s="23" t="s">
        <v>729</v>
      </c>
      <c r="E2111" s="23" t="s">
        <v>752</v>
      </c>
      <c r="F2111" s="23" t="s">
        <v>11371</v>
      </c>
      <c r="G2111" s="23" t="s">
        <v>3469</v>
      </c>
      <c r="H2111" s="23" t="s">
        <v>11377</v>
      </c>
      <c r="I2111" s="23" t="s">
        <v>11377</v>
      </c>
      <c r="J2111" s="140">
        <v>45224</v>
      </c>
      <c r="T2111" s="23" t="s">
        <v>12031</v>
      </c>
      <c r="U2111" s="23" t="s">
        <v>12031</v>
      </c>
      <c r="V2111" s="23" t="s">
        <v>298</v>
      </c>
      <c r="W2111" s="23" t="s">
        <v>11378</v>
      </c>
      <c r="AB2111" s="23" t="s">
        <v>97</v>
      </c>
      <c r="AC2111" s="23">
        <v>2</v>
      </c>
      <c r="AD2111" s="23">
        <v>0</v>
      </c>
      <c r="AE2111" s="23">
        <v>0</v>
      </c>
      <c r="AF2111" s="23" t="s">
        <v>97</v>
      </c>
      <c r="AG2111" s="23" t="s">
        <v>8497</v>
      </c>
      <c r="AH2111" s="39">
        <v>45237</v>
      </c>
    </row>
    <row r="2112" spans="1:37">
      <c r="A2112" s="75" t="s">
        <v>11387</v>
      </c>
      <c r="B2112" s="23" t="s">
        <v>11388</v>
      </c>
      <c r="C2112" s="140">
        <v>45232</v>
      </c>
      <c r="D2112" s="23" t="s">
        <v>729</v>
      </c>
      <c r="E2112" s="23" t="s">
        <v>752</v>
      </c>
      <c r="F2112" s="23" t="s">
        <v>57</v>
      </c>
      <c r="G2112" s="23" t="s">
        <v>57</v>
      </c>
      <c r="H2112" s="23" t="s">
        <v>11389</v>
      </c>
      <c r="I2112" s="23" t="s">
        <v>11389</v>
      </c>
      <c r="J2112" s="140">
        <v>45226</v>
      </c>
      <c r="K2112" s="23" t="s">
        <v>11393</v>
      </c>
      <c r="L2112" s="140">
        <v>45238</v>
      </c>
      <c r="P2112" s="23" t="s">
        <v>11394</v>
      </c>
      <c r="Q2112" s="141" t="s">
        <v>11395</v>
      </c>
      <c r="S2112" s="23" t="s">
        <v>183</v>
      </c>
      <c r="T2112" s="23" t="s">
        <v>305</v>
      </c>
      <c r="U2112" s="23" t="s">
        <v>305</v>
      </c>
      <c r="V2112" s="23" t="s">
        <v>233</v>
      </c>
      <c r="W2112" s="23" t="s">
        <v>143</v>
      </c>
      <c r="X2112" s="170" t="s">
        <v>11390</v>
      </c>
      <c r="Y2112" s="37">
        <v>49021.3</v>
      </c>
      <c r="Z2112" s="23">
        <v>53597.49</v>
      </c>
      <c r="AB2112" s="23" t="s">
        <v>11391</v>
      </c>
      <c r="AC2112" s="23" t="s">
        <v>11392</v>
      </c>
      <c r="AD2112" s="23">
        <v>0</v>
      </c>
      <c r="AE2112" s="23">
        <v>3</v>
      </c>
      <c r="AF2112" s="23" t="s">
        <v>5478</v>
      </c>
      <c r="AG2112" s="23" t="s">
        <v>792</v>
      </c>
      <c r="AH2112" s="39">
        <v>45238</v>
      </c>
    </row>
    <row r="2113" spans="1:42">
      <c r="A2113" s="75" t="s">
        <v>11396</v>
      </c>
      <c r="B2113" s="23" t="s">
        <v>11404</v>
      </c>
      <c r="C2113" s="140">
        <v>45239</v>
      </c>
      <c r="D2113" s="23" t="s">
        <v>729</v>
      </c>
      <c r="E2113" s="23" t="s">
        <v>752</v>
      </c>
      <c r="F2113" s="23" t="s">
        <v>57</v>
      </c>
      <c r="G2113" s="23" t="s">
        <v>57</v>
      </c>
      <c r="H2113" s="23" t="s">
        <v>11405</v>
      </c>
      <c r="I2113" s="23" t="s">
        <v>11405</v>
      </c>
      <c r="J2113" s="140">
        <v>45233</v>
      </c>
      <c r="P2113" s="23" t="s">
        <v>11406</v>
      </c>
      <c r="Q2113" s="141" t="s">
        <v>11395</v>
      </c>
      <c r="S2113" s="23" t="s">
        <v>184</v>
      </c>
      <c r="T2113" s="23" t="s">
        <v>302</v>
      </c>
      <c r="U2113" s="23" t="s">
        <v>302</v>
      </c>
      <c r="V2113" s="23" t="s">
        <v>233</v>
      </c>
      <c r="W2113" s="23" t="s">
        <v>11407</v>
      </c>
      <c r="X2113" s="23">
        <v>8538.91</v>
      </c>
      <c r="Y2113" s="23">
        <v>8716.7199999999993</v>
      </c>
      <c r="Z2113" s="23">
        <v>15514.34</v>
      </c>
      <c r="AB2113" s="23" t="s">
        <v>11063</v>
      </c>
      <c r="AC2113" s="23" t="s">
        <v>9692</v>
      </c>
      <c r="AD2113" s="23">
        <v>0</v>
      </c>
      <c r="AE2113" s="23">
        <v>1</v>
      </c>
      <c r="AF2113" s="23" t="s">
        <v>5478</v>
      </c>
      <c r="AG2113" s="23" t="s">
        <v>787</v>
      </c>
      <c r="AH2113" s="39">
        <v>45238</v>
      </c>
    </row>
    <row r="2114" spans="1:42" ht="32">
      <c r="A2114" s="75" t="s">
        <v>11398</v>
      </c>
      <c r="B2114" s="23" t="s">
        <v>11399</v>
      </c>
      <c r="C2114" s="140">
        <v>45239</v>
      </c>
      <c r="D2114" s="23" t="s">
        <v>729</v>
      </c>
      <c r="E2114" s="23" t="s">
        <v>752</v>
      </c>
      <c r="F2114" s="23" t="s">
        <v>8377</v>
      </c>
      <c r="G2114" s="23" t="s">
        <v>5538</v>
      </c>
      <c r="H2114" s="23" t="s">
        <v>11400</v>
      </c>
      <c r="I2114" s="23" t="s">
        <v>11400</v>
      </c>
      <c r="J2114" s="140">
        <v>45224</v>
      </c>
      <c r="T2114" s="23" t="s">
        <v>12031</v>
      </c>
      <c r="U2114" s="23" t="s">
        <v>12031</v>
      </c>
      <c r="V2114" s="23" t="s">
        <v>299</v>
      </c>
      <c r="W2114" s="23" t="s">
        <v>11401</v>
      </c>
      <c r="AB2114" s="19" t="s">
        <v>11402</v>
      </c>
      <c r="AC2114" s="23">
        <v>4</v>
      </c>
      <c r="AD2114" s="23">
        <v>0</v>
      </c>
      <c r="AE2114" s="23">
        <v>2</v>
      </c>
      <c r="AF2114" s="23" t="s">
        <v>9622</v>
      </c>
      <c r="AG2114" s="23" t="s">
        <v>11403</v>
      </c>
      <c r="AH2114" s="39">
        <v>45244</v>
      </c>
      <c r="AI2114" s="53" t="s">
        <v>8387</v>
      </c>
      <c r="AJ2114" s="75" t="s">
        <v>11461</v>
      </c>
      <c r="AK2114" s="53">
        <v>45246</v>
      </c>
    </row>
    <row r="2115" spans="1:42">
      <c r="A2115" s="75" t="s">
        <v>11408</v>
      </c>
      <c r="B2115" s="23" t="s">
        <v>11409</v>
      </c>
      <c r="C2115" s="140">
        <v>45252</v>
      </c>
      <c r="D2115" s="23" t="s">
        <v>729</v>
      </c>
      <c r="E2115" s="23" t="s">
        <v>752</v>
      </c>
      <c r="F2115" s="23" t="s">
        <v>2200</v>
      </c>
      <c r="G2115" s="23" t="s">
        <v>301</v>
      </c>
      <c r="H2115" s="23">
        <v>70350293</v>
      </c>
      <c r="I2115" s="23">
        <v>70350293</v>
      </c>
      <c r="J2115" s="140">
        <v>45252</v>
      </c>
      <c r="K2115" s="23" t="s">
        <v>11410</v>
      </c>
      <c r="L2115" s="140">
        <v>45272</v>
      </c>
      <c r="P2115" s="23" t="s">
        <v>11454</v>
      </c>
      <c r="Q2115" s="141" t="s">
        <v>11455</v>
      </c>
      <c r="T2115" s="23" t="s">
        <v>305</v>
      </c>
      <c r="U2115" s="23" t="s">
        <v>305</v>
      </c>
      <c r="V2115" s="23" t="s">
        <v>298</v>
      </c>
      <c r="W2115" s="23" t="s">
        <v>11022</v>
      </c>
      <c r="X2115" s="23">
        <v>6210</v>
      </c>
      <c r="Y2115" s="23">
        <v>8010</v>
      </c>
      <c r="Z2115" s="23">
        <v>92250</v>
      </c>
      <c r="AB2115" s="23" t="s">
        <v>11411</v>
      </c>
      <c r="AC2115" s="23">
        <v>45</v>
      </c>
      <c r="AD2115" s="23">
        <v>0</v>
      </c>
      <c r="AE2115" s="23">
        <v>1</v>
      </c>
      <c r="AF2115" s="23" t="s">
        <v>9622</v>
      </c>
      <c r="AG2115" s="23" t="s">
        <v>11412</v>
      </c>
      <c r="AH2115" s="39">
        <v>45259</v>
      </c>
    </row>
    <row r="2116" spans="1:42" ht="96">
      <c r="A2116" s="75" t="s">
        <v>11413</v>
      </c>
      <c r="B2116" s="23" t="s">
        <v>11414</v>
      </c>
      <c r="C2116" s="140">
        <v>45251</v>
      </c>
      <c r="D2116" s="23" t="s">
        <v>729</v>
      </c>
      <c r="E2116" s="23" t="s">
        <v>752</v>
      </c>
      <c r="F2116" s="23" t="s">
        <v>2200</v>
      </c>
      <c r="G2116" s="23" t="s">
        <v>301</v>
      </c>
      <c r="H2116" s="23">
        <v>20507883</v>
      </c>
      <c r="I2116" s="23">
        <v>20507883</v>
      </c>
      <c r="J2116" s="140">
        <v>45246</v>
      </c>
      <c r="K2116" s="23" t="s">
        <v>11424</v>
      </c>
      <c r="L2116" s="140">
        <v>45254</v>
      </c>
      <c r="T2116" s="23" t="s">
        <v>305</v>
      </c>
      <c r="U2116" s="23" t="s">
        <v>305</v>
      </c>
      <c r="V2116" s="23" t="s">
        <v>299</v>
      </c>
      <c r="W2116" s="23" t="s">
        <v>11415</v>
      </c>
      <c r="Y2116" s="23">
        <v>24816</v>
      </c>
      <c r="Z2116" s="23">
        <v>249600</v>
      </c>
      <c r="AB2116" s="19" t="s">
        <v>11416</v>
      </c>
      <c r="AC2116" s="23">
        <v>12</v>
      </c>
      <c r="AD2116" s="23">
        <v>0</v>
      </c>
      <c r="AE2116" s="23">
        <v>6</v>
      </c>
      <c r="AF2116" s="23" t="s">
        <v>9622</v>
      </c>
      <c r="AG2116" s="23" t="s">
        <v>659</v>
      </c>
      <c r="AH2116" s="39">
        <v>45259</v>
      </c>
      <c r="AI2116" s="53" t="s">
        <v>5851</v>
      </c>
      <c r="AJ2116" s="75" t="s">
        <v>11463</v>
      </c>
      <c r="AK2116" s="53">
        <v>45261</v>
      </c>
    </row>
    <row r="2117" spans="1:42" ht="160">
      <c r="A2117" s="75" t="s">
        <v>11417</v>
      </c>
      <c r="B2117" s="23" t="s">
        <v>11418</v>
      </c>
      <c r="C2117" s="140">
        <v>45251</v>
      </c>
      <c r="D2117" s="23" t="s">
        <v>729</v>
      </c>
      <c r="E2117" s="23" t="s">
        <v>752</v>
      </c>
      <c r="F2117" s="23" t="s">
        <v>2200</v>
      </c>
      <c r="G2117" s="23" t="s">
        <v>301</v>
      </c>
      <c r="H2117" s="23">
        <v>20507884</v>
      </c>
      <c r="I2117" s="23">
        <v>20507884</v>
      </c>
      <c r="J2117" s="140">
        <v>45246</v>
      </c>
      <c r="K2117" s="23" t="s">
        <v>11423</v>
      </c>
      <c r="L2117" s="140">
        <v>45254</v>
      </c>
      <c r="T2117" s="23" t="s">
        <v>305</v>
      </c>
      <c r="U2117" s="23" t="s">
        <v>305</v>
      </c>
      <c r="V2117" s="23" t="s">
        <v>299</v>
      </c>
      <c r="W2117" s="23" t="s">
        <v>11259</v>
      </c>
      <c r="Y2117" s="23">
        <v>44631</v>
      </c>
      <c r="Z2117" s="23">
        <v>408900</v>
      </c>
      <c r="AB2117" s="19" t="s">
        <v>11419</v>
      </c>
      <c r="AC2117" s="23">
        <v>29</v>
      </c>
      <c r="AD2117" s="23">
        <v>0</v>
      </c>
      <c r="AE2117" s="23">
        <v>10</v>
      </c>
      <c r="AF2117" s="23" t="s">
        <v>9622</v>
      </c>
      <c r="AG2117" s="23" t="s">
        <v>659</v>
      </c>
      <c r="AH2117" s="39">
        <v>45259</v>
      </c>
      <c r="AI2117" s="53" t="s">
        <v>5851</v>
      </c>
      <c r="AJ2117" s="75" t="s">
        <v>11464</v>
      </c>
      <c r="AK2117" s="53">
        <v>45262</v>
      </c>
    </row>
    <row r="2118" spans="1:42" ht="32">
      <c r="A2118" s="75" t="s">
        <v>11420</v>
      </c>
      <c r="B2118" s="23" t="s">
        <v>11421</v>
      </c>
      <c r="C2118" s="140">
        <v>45253</v>
      </c>
      <c r="D2118" s="23" t="s">
        <v>729</v>
      </c>
      <c r="E2118" s="23" t="s">
        <v>752</v>
      </c>
      <c r="F2118" s="23" t="s">
        <v>6113</v>
      </c>
      <c r="G2118" s="23" t="s">
        <v>5538</v>
      </c>
      <c r="H2118" s="23" t="s">
        <v>11422</v>
      </c>
      <c r="I2118" s="23" t="s">
        <v>11422</v>
      </c>
      <c r="J2118" s="140">
        <v>45243</v>
      </c>
      <c r="T2118" s="23" t="s">
        <v>12031</v>
      </c>
      <c r="U2118" s="23" t="s">
        <v>12031</v>
      </c>
      <c r="V2118" s="23" t="s">
        <v>299</v>
      </c>
      <c r="W2118" s="23" t="s">
        <v>11121</v>
      </c>
      <c r="AB2118" s="19" t="s">
        <v>11425</v>
      </c>
      <c r="AC2118" s="23">
        <v>4</v>
      </c>
      <c r="AD2118" s="23">
        <v>0</v>
      </c>
      <c r="AE2118" s="23">
        <v>2</v>
      </c>
      <c r="AF2118" s="23" t="s">
        <v>9622</v>
      </c>
      <c r="AG2118" s="23" t="s">
        <v>5388</v>
      </c>
      <c r="AH2118" s="39">
        <v>45259</v>
      </c>
      <c r="AI2118" s="53" t="s">
        <v>9962</v>
      </c>
      <c r="AJ2118" s="75" t="s">
        <v>11462</v>
      </c>
      <c r="AK2118" s="53">
        <v>45262</v>
      </c>
    </row>
    <row r="2119" spans="1:42">
      <c r="A2119" s="75" t="s">
        <v>11426</v>
      </c>
      <c r="B2119" s="23" t="s">
        <v>11427</v>
      </c>
      <c r="C2119" s="140">
        <v>45257</v>
      </c>
      <c r="D2119" s="23" t="s">
        <v>729</v>
      </c>
      <c r="E2119" s="23" t="s">
        <v>752</v>
      </c>
      <c r="F2119" s="23" t="s">
        <v>57</v>
      </c>
      <c r="G2119" s="23" t="s">
        <v>57</v>
      </c>
      <c r="H2119" s="23" t="s">
        <v>11428</v>
      </c>
      <c r="I2119" s="23" t="s">
        <v>11428</v>
      </c>
      <c r="J2119" s="140">
        <v>45254</v>
      </c>
      <c r="K2119" s="23" t="s">
        <v>11433</v>
      </c>
      <c r="L2119" s="26">
        <v>45261</v>
      </c>
      <c r="P2119" s="23" t="s">
        <v>11431</v>
      </c>
      <c r="Q2119" s="141" t="s">
        <v>11432</v>
      </c>
      <c r="S2119" s="23" t="s">
        <v>183</v>
      </c>
      <c r="T2119" s="23" t="s">
        <v>305</v>
      </c>
      <c r="U2119" s="23" t="s">
        <v>305</v>
      </c>
      <c r="V2119" s="23" t="s">
        <v>233</v>
      </c>
      <c r="W2119" s="23" t="s">
        <v>143</v>
      </c>
      <c r="X2119" s="23">
        <v>31169.5</v>
      </c>
      <c r="Y2119" s="37">
        <v>31381.9</v>
      </c>
      <c r="Z2119" s="23">
        <v>34252.36</v>
      </c>
      <c r="AB2119" s="59" t="s">
        <v>11429</v>
      </c>
      <c r="AC2119" s="23" t="s">
        <v>11430</v>
      </c>
      <c r="AD2119" s="23">
        <v>0</v>
      </c>
      <c r="AE2119" s="23">
        <v>2</v>
      </c>
      <c r="AF2119" s="23" t="s">
        <v>5478</v>
      </c>
      <c r="AG2119" s="23" t="s">
        <v>792</v>
      </c>
      <c r="AH2119" s="39">
        <v>44938</v>
      </c>
    </row>
    <row r="2120" spans="1:42" ht="224">
      <c r="A2120" s="75" t="s">
        <v>11434</v>
      </c>
      <c r="B2120" s="23" t="s">
        <v>11435</v>
      </c>
      <c r="C2120" s="140">
        <v>45263</v>
      </c>
      <c r="D2120" s="23" t="s">
        <v>729</v>
      </c>
      <c r="E2120" s="23" t="s">
        <v>752</v>
      </c>
      <c r="F2120" s="23" t="s">
        <v>2200</v>
      </c>
      <c r="G2120" s="23" t="s">
        <v>301</v>
      </c>
      <c r="H2120" s="23">
        <v>20510705</v>
      </c>
      <c r="I2120" s="23">
        <v>20510705</v>
      </c>
      <c r="J2120" s="140">
        <v>45260</v>
      </c>
      <c r="K2120" s="23" t="s">
        <v>11437</v>
      </c>
      <c r="L2120" s="140">
        <v>45265</v>
      </c>
      <c r="T2120" s="23" t="s">
        <v>305</v>
      </c>
      <c r="U2120" s="23" t="s">
        <v>305</v>
      </c>
      <c r="V2120" s="23" t="s">
        <v>299</v>
      </c>
      <c r="W2120" s="23" t="s">
        <v>9762</v>
      </c>
      <c r="Y2120" s="23">
        <v>52720</v>
      </c>
      <c r="Z2120" s="23">
        <v>480000</v>
      </c>
      <c r="AB2120" s="19" t="s">
        <v>11436</v>
      </c>
      <c r="AC2120" s="23">
        <v>40</v>
      </c>
      <c r="AD2120" s="23">
        <v>1</v>
      </c>
      <c r="AE2120" s="23">
        <v>13</v>
      </c>
      <c r="AF2120" s="23" t="s">
        <v>9622</v>
      </c>
      <c r="AG2120" s="23" t="s">
        <v>1553</v>
      </c>
      <c r="AH2120" s="39">
        <v>45272</v>
      </c>
      <c r="AI2120" s="53" t="s">
        <v>5851</v>
      </c>
      <c r="AJ2120" s="75" t="s">
        <v>11465</v>
      </c>
      <c r="AK2120" s="53">
        <v>45275</v>
      </c>
    </row>
    <row r="2121" spans="1:42" ht="32">
      <c r="A2121" s="75" t="s">
        <v>11438</v>
      </c>
      <c r="B2121" s="23" t="s">
        <v>11439</v>
      </c>
      <c r="C2121" s="140">
        <v>45268</v>
      </c>
      <c r="D2121" s="23" t="s">
        <v>729</v>
      </c>
      <c r="E2121" s="23" t="s">
        <v>752</v>
      </c>
      <c r="F2121" s="23" t="s">
        <v>6113</v>
      </c>
      <c r="G2121" s="23" t="s">
        <v>5538</v>
      </c>
      <c r="H2121" s="23" t="s">
        <v>11440</v>
      </c>
      <c r="I2121" s="23" t="s">
        <v>11440</v>
      </c>
      <c r="J2121" s="140">
        <v>45260</v>
      </c>
      <c r="T2121" s="23" t="s">
        <v>12031</v>
      </c>
      <c r="U2121" s="23" t="s">
        <v>12031</v>
      </c>
      <c r="V2121" s="23" t="s">
        <v>299</v>
      </c>
      <c r="W2121" s="23" t="s">
        <v>11441</v>
      </c>
      <c r="Y2121" s="23">
        <v>5530</v>
      </c>
      <c r="AB2121" s="19" t="s">
        <v>11453</v>
      </c>
      <c r="AC2121" s="23">
        <v>2</v>
      </c>
      <c r="AD2121" s="23">
        <v>2</v>
      </c>
      <c r="AE2121" s="23">
        <v>0</v>
      </c>
      <c r="AF2121" s="23" t="s">
        <v>9622</v>
      </c>
      <c r="AG2121" s="23" t="s">
        <v>5879</v>
      </c>
      <c r="AH2121" s="39">
        <v>45272</v>
      </c>
      <c r="AI2121" s="53" t="s">
        <v>9962</v>
      </c>
      <c r="AJ2121" s="75" t="s">
        <v>11467</v>
      </c>
      <c r="AK2121" s="53">
        <v>45275</v>
      </c>
    </row>
    <row r="2122" spans="1:42">
      <c r="A2122" s="75" t="s">
        <v>11442</v>
      </c>
      <c r="B2122" s="23">
        <v>233856254</v>
      </c>
      <c r="C2122" s="140">
        <v>45270</v>
      </c>
      <c r="D2122" s="23" t="s">
        <v>729</v>
      </c>
      <c r="E2122" s="23" t="s">
        <v>752</v>
      </c>
      <c r="F2122" s="23" t="s">
        <v>11443</v>
      </c>
      <c r="G2122" s="23" t="s">
        <v>11314</v>
      </c>
      <c r="H2122" s="23" t="s">
        <v>11444</v>
      </c>
      <c r="I2122" s="23" t="s">
        <v>11444</v>
      </c>
      <c r="J2122" s="140">
        <v>45261</v>
      </c>
      <c r="T2122" s="23" t="s">
        <v>12031</v>
      </c>
      <c r="U2122" s="23" t="s">
        <v>12031</v>
      </c>
      <c r="V2122" s="23" t="s">
        <v>299</v>
      </c>
      <c r="W2122" s="23" t="s">
        <v>11445</v>
      </c>
      <c r="AB2122" s="23" t="s">
        <v>11446</v>
      </c>
      <c r="AC2122" s="23">
        <v>3</v>
      </c>
      <c r="AD2122" s="23">
        <v>0</v>
      </c>
      <c r="AE2122" s="23">
        <v>1</v>
      </c>
      <c r="AF2122" s="23" t="s">
        <v>9622</v>
      </c>
      <c r="AG2122" s="23" t="s">
        <v>11447</v>
      </c>
      <c r="AH2122" s="39">
        <v>45274</v>
      </c>
      <c r="AI2122" s="53" t="s">
        <v>11456</v>
      </c>
      <c r="AJ2122" s="75" t="s">
        <v>11466</v>
      </c>
      <c r="AK2122" s="53">
        <v>45275</v>
      </c>
    </row>
    <row r="2123" spans="1:42" ht="32">
      <c r="A2123" s="75" t="s">
        <v>11468</v>
      </c>
      <c r="B2123" s="23" t="s">
        <v>11469</v>
      </c>
      <c r="C2123" s="140">
        <v>45284</v>
      </c>
      <c r="D2123" s="23" t="s">
        <v>729</v>
      </c>
      <c r="E2123" s="23" t="s">
        <v>752</v>
      </c>
      <c r="F2123" s="23" t="s">
        <v>6113</v>
      </c>
      <c r="G2123" s="23" t="s">
        <v>5538</v>
      </c>
      <c r="H2123" s="23" t="s">
        <v>11470</v>
      </c>
      <c r="I2123" s="23" t="s">
        <v>11470</v>
      </c>
      <c r="J2123" s="140">
        <v>45260</v>
      </c>
      <c r="T2123" s="23" t="s">
        <v>12031</v>
      </c>
      <c r="U2123" s="23" t="s">
        <v>12031</v>
      </c>
      <c r="V2123" s="23" t="s">
        <v>299</v>
      </c>
      <c r="W2123" s="23" t="s">
        <v>11441</v>
      </c>
      <c r="AB2123" s="19" t="s">
        <v>11471</v>
      </c>
      <c r="AC2123" s="23">
        <v>4</v>
      </c>
      <c r="AD2123" s="23">
        <v>0</v>
      </c>
      <c r="AE2123" s="23">
        <v>2</v>
      </c>
      <c r="AF2123" s="23" t="s">
        <v>97</v>
      </c>
      <c r="AG2123" s="23" t="s">
        <v>11472</v>
      </c>
      <c r="AH2123" s="39">
        <v>45286</v>
      </c>
      <c r="AI2123" s="53" t="s">
        <v>9962</v>
      </c>
      <c r="AJ2123" s="75" t="s">
        <v>11586</v>
      </c>
      <c r="AK2123" s="53">
        <v>45288</v>
      </c>
      <c r="AP2123" s="39">
        <v>45292</v>
      </c>
    </row>
    <row r="2124" spans="1:42" ht="32">
      <c r="A2124" s="75" t="s">
        <v>11473</v>
      </c>
      <c r="B2124" s="23" t="s">
        <v>12044</v>
      </c>
      <c r="C2124" s="140">
        <v>45286</v>
      </c>
      <c r="D2124" s="23" t="s">
        <v>729</v>
      </c>
      <c r="E2124" s="23" t="s">
        <v>752</v>
      </c>
      <c r="F2124" s="23" t="s">
        <v>6113</v>
      </c>
      <c r="G2124" s="23" t="s">
        <v>5538</v>
      </c>
      <c r="H2124" s="23" t="s">
        <v>11474</v>
      </c>
      <c r="I2124" s="23" t="s">
        <v>11474</v>
      </c>
      <c r="J2124" s="140">
        <v>45273</v>
      </c>
      <c r="T2124" s="23" t="s">
        <v>12031</v>
      </c>
      <c r="U2124" s="23" t="s">
        <v>12031</v>
      </c>
      <c r="V2124" s="23" t="s">
        <v>299</v>
      </c>
      <c r="W2124" s="19" t="s">
        <v>11475</v>
      </c>
      <c r="AB2124" s="19" t="s">
        <v>11476</v>
      </c>
      <c r="AC2124" s="23">
        <v>2</v>
      </c>
      <c r="AD2124" s="23">
        <v>0</v>
      </c>
      <c r="AE2124" s="23">
        <v>1</v>
      </c>
      <c r="AF2124" s="23" t="s">
        <v>9622</v>
      </c>
      <c r="AG2124" s="23" t="s">
        <v>11472</v>
      </c>
      <c r="AH2124" s="39">
        <v>45293</v>
      </c>
      <c r="AI2124" s="53" t="s">
        <v>9962</v>
      </c>
      <c r="AJ2124" s="75" t="s">
        <v>11587</v>
      </c>
      <c r="AK2124" s="53">
        <v>45294</v>
      </c>
      <c r="AP2124" s="39">
        <v>45292</v>
      </c>
    </row>
    <row r="2125" spans="1:42" ht="48">
      <c r="A2125" s="75" t="s">
        <v>11477</v>
      </c>
      <c r="B2125" s="23" t="s">
        <v>12032</v>
      </c>
      <c r="C2125" s="140">
        <v>45286</v>
      </c>
      <c r="D2125" s="23" t="s">
        <v>729</v>
      </c>
      <c r="E2125" s="23" t="s">
        <v>752</v>
      </c>
      <c r="F2125" s="23" t="s">
        <v>6113</v>
      </c>
      <c r="G2125" s="23" t="s">
        <v>5538</v>
      </c>
      <c r="H2125" s="23" t="s">
        <v>11478</v>
      </c>
      <c r="I2125" s="23" t="s">
        <v>11478</v>
      </c>
      <c r="J2125" s="140">
        <v>45274</v>
      </c>
      <c r="T2125" s="23" t="s">
        <v>12031</v>
      </c>
      <c r="U2125" s="23" t="s">
        <v>12031</v>
      </c>
      <c r="V2125" s="23" t="s">
        <v>299</v>
      </c>
      <c r="W2125" s="23" t="s">
        <v>11479</v>
      </c>
      <c r="AB2125" s="19" t="s">
        <v>11480</v>
      </c>
      <c r="AC2125" s="23">
        <v>4</v>
      </c>
      <c r="AD2125" s="23">
        <v>0</v>
      </c>
      <c r="AE2125" s="23">
        <v>2</v>
      </c>
      <c r="AF2125" s="23" t="s">
        <v>9622</v>
      </c>
      <c r="AG2125" s="23" t="s">
        <v>11472</v>
      </c>
      <c r="AH2125" s="39">
        <v>45293</v>
      </c>
      <c r="AI2125" s="53" t="s">
        <v>9962</v>
      </c>
      <c r="AJ2125" s="75" t="s">
        <v>11588</v>
      </c>
      <c r="AK2125" s="53">
        <v>45294</v>
      </c>
      <c r="AP2125" s="39">
        <v>45292</v>
      </c>
    </row>
    <row r="2126" spans="1:42">
      <c r="A2126" s="75" t="s">
        <v>11481</v>
      </c>
      <c r="B2126" s="23" t="s">
        <v>11482</v>
      </c>
      <c r="C2126" s="140">
        <v>45273</v>
      </c>
      <c r="D2126" s="23" t="s">
        <v>729</v>
      </c>
      <c r="E2126" s="23" t="s">
        <v>752</v>
      </c>
      <c r="F2126" s="23" t="s">
        <v>2200</v>
      </c>
      <c r="G2126" s="23" t="s">
        <v>301</v>
      </c>
      <c r="H2126" s="23">
        <v>55017027</v>
      </c>
      <c r="I2126" s="23">
        <v>55017027</v>
      </c>
      <c r="J2126" s="140">
        <v>45255</v>
      </c>
      <c r="K2126" s="23" t="s">
        <v>11483</v>
      </c>
      <c r="L2126" s="140">
        <v>45275</v>
      </c>
      <c r="P2126" s="23" t="s">
        <v>11507</v>
      </c>
      <c r="Q2126" s="141" t="s">
        <v>11484</v>
      </c>
      <c r="T2126" s="23" t="s">
        <v>305</v>
      </c>
      <c r="U2126" s="23" t="s">
        <v>305</v>
      </c>
      <c r="V2126" s="23" t="s">
        <v>298</v>
      </c>
      <c r="W2126" s="23" t="s">
        <v>3141</v>
      </c>
      <c r="Y2126" s="23">
        <v>8280</v>
      </c>
      <c r="Z2126" s="23">
        <v>68985</v>
      </c>
      <c r="AB2126" s="23" t="s">
        <v>11485</v>
      </c>
      <c r="AC2126" s="23" t="s">
        <v>11486</v>
      </c>
      <c r="AD2126" s="23">
        <v>0</v>
      </c>
      <c r="AE2126" s="23">
        <v>1</v>
      </c>
      <c r="AF2126" s="23" t="s">
        <v>9622</v>
      </c>
      <c r="AG2126" s="23" t="s">
        <v>5602</v>
      </c>
      <c r="AH2126" s="39">
        <v>45294</v>
      </c>
    </row>
    <row r="2127" spans="1:42">
      <c r="A2127" s="75" t="s">
        <v>11489</v>
      </c>
      <c r="B2127" s="23" t="s">
        <v>11509</v>
      </c>
      <c r="C2127" s="140">
        <v>45293</v>
      </c>
      <c r="D2127" s="23" t="s">
        <v>729</v>
      </c>
      <c r="E2127" s="23" t="s">
        <v>752</v>
      </c>
      <c r="F2127" s="23" t="s">
        <v>11066</v>
      </c>
      <c r="G2127" s="23" t="s">
        <v>3469</v>
      </c>
      <c r="H2127" s="23" t="s">
        <v>11510</v>
      </c>
      <c r="I2127" s="23" t="s">
        <v>11510</v>
      </c>
      <c r="J2127" s="140">
        <v>45275</v>
      </c>
      <c r="T2127" s="23" t="s">
        <v>12031</v>
      </c>
      <c r="U2127" s="23" t="s">
        <v>12031</v>
      </c>
      <c r="V2127" s="23" t="s">
        <v>299</v>
      </c>
      <c r="W2127" s="23" t="s">
        <v>11511</v>
      </c>
      <c r="AB2127" s="23" t="s">
        <v>97</v>
      </c>
      <c r="AC2127" s="23">
        <v>2</v>
      </c>
      <c r="AD2127" s="23">
        <v>0</v>
      </c>
      <c r="AE2127" s="23">
        <v>0</v>
      </c>
      <c r="AF2127" s="23" t="s">
        <v>97</v>
      </c>
      <c r="AG2127" s="23" t="s">
        <v>11512</v>
      </c>
      <c r="AH2127" s="39">
        <v>45301</v>
      </c>
      <c r="AI2127" s="53" t="s">
        <v>11488</v>
      </c>
      <c r="AJ2127" s="75" t="s">
        <v>11589</v>
      </c>
      <c r="AK2127" s="53">
        <v>45303</v>
      </c>
      <c r="AP2127" s="39">
        <v>45292</v>
      </c>
    </row>
    <row r="2128" spans="1:42" ht="224">
      <c r="A2128" s="75" t="s">
        <v>11493</v>
      </c>
      <c r="B2128" s="23" t="s">
        <v>11498</v>
      </c>
      <c r="C2128" s="140">
        <v>45293</v>
      </c>
      <c r="D2128" s="23" t="s">
        <v>729</v>
      </c>
      <c r="E2128" s="23" t="s">
        <v>752</v>
      </c>
      <c r="F2128" s="23" t="s">
        <v>2200</v>
      </c>
      <c r="G2128" s="23" t="s">
        <v>301</v>
      </c>
      <c r="H2128" s="23" t="s">
        <v>11499</v>
      </c>
      <c r="I2128" s="23" t="s">
        <v>11499</v>
      </c>
      <c r="J2128" s="140">
        <v>45288</v>
      </c>
      <c r="K2128" s="23" t="s">
        <v>11517</v>
      </c>
      <c r="L2128" s="140">
        <v>45299</v>
      </c>
      <c r="T2128" s="23" t="s">
        <v>305</v>
      </c>
      <c r="U2128" s="23" t="s">
        <v>305</v>
      </c>
      <c r="V2128" s="23" t="s">
        <v>299</v>
      </c>
      <c r="W2128" s="23" t="s">
        <v>9762</v>
      </c>
      <c r="Y2128" s="23">
        <v>54038</v>
      </c>
      <c r="Z2128" s="23">
        <v>492000</v>
      </c>
      <c r="AB2128" s="19" t="s">
        <v>11500</v>
      </c>
      <c r="AC2128" s="23">
        <v>41</v>
      </c>
      <c r="AD2128" s="23">
        <v>0</v>
      </c>
      <c r="AE2128" s="23">
        <v>14</v>
      </c>
      <c r="AF2128" s="23" t="s">
        <v>9622</v>
      </c>
      <c r="AG2128" s="23" t="s">
        <v>659</v>
      </c>
      <c r="AH2128" s="39">
        <v>45296</v>
      </c>
      <c r="AI2128" s="53" t="s">
        <v>5851</v>
      </c>
      <c r="AP2128" s="39">
        <v>45292</v>
      </c>
    </row>
    <row r="2129" spans="1:42">
      <c r="A2129" s="75" t="s">
        <v>11501</v>
      </c>
      <c r="B2129" s="23" t="s">
        <v>11502</v>
      </c>
      <c r="C2129" s="140">
        <v>45294</v>
      </c>
      <c r="D2129" s="23" t="s">
        <v>729</v>
      </c>
      <c r="E2129" s="23" t="s">
        <v>752</v>
      </c>
      <c r="F2129" s="23" t="s">
        <v>11371</v>
      </c>
      <c r="G2129" s="23" t="s">
        <v>3469</v>
      </c>
      <c r="H2129" s="23" t="s">
        <v>11503</v>
      </c>
      <c r="I2129" s="23" t="s">
        <v>11503</v>
      </c>
      <c r="J2129" s="140">
        <v>45285</v>
      </c>
      <c r="P2129" s="23" t="s">
        <v>11508</v>
      </c>
      <c r="Q2129" s="141" t="s">
        <v>11506</v>
      </c>
      <c r="T2129" s="23" t="s">
        <v>12031</v>
      </c>
      <c r="U2129" s="23" t="s">
        <v>12031</v>
      </c>
      <c r="V2129" s="23" t="s">
        <v>298</v>
      </c>
      <c r="W2129" s="23" t="s">
        <v>11504</v>
      </c>
      <c r="Z2129" s="23">
        <v>840.33</v>
      </c>
      <c r="AB2129" s="23" t="s">
        <v>97</v>
      </c>
      <c r="AC2129" s="23">
        <v>12</v>
      </c>
      <c r="AD2129" s="23">
        <v>0</v>
      </c>
      <c r="AE2129" s="23">
        <v>0</v>
      </c>
      <c r="AF2129" s="23" t="s">
        <v>97</v>
      </c>
      <c r="AG2129" s="23" t="s">
        <v>11505</v>
      </c>
      <c r="AH2129" s="39">
        <v>45300</v>
      </c>
    </row>
    <row r="2130" spans="1:42">
      <c r="A2130" s="75" t="s">
        <v>11518</v>
      </c>
      <c r="B2130" s="23" t="s">
        <v>11519</v>
      </c>
      <c r="C2130" s="140">
        <v>45291</v>
      </c>
      <c r="D2130" s="23" t="s">
        <v>729</v>
      </c>
      <c r="E2130" s="23" t="s">
        <v>752</v>
      </c>
      <c r="F2130" s="23" t="s">
        <v>57</v>
      </c>
      <c r="G2130" s="23" t="s">
        <v>57</v>
      </c>
      <c r="H2130" s="23" t="s">
        <v>11520</v>
      </c>
      <c r="I2130" s="23" t="s">
        <v>11520</v>
      </c>
      <c r="J2130" s="140">
        <v>45287</v>
      </c>
      <c r="K2130" s="23" t="s">
        <v>11521</v>
      </c>
      <c r="L2130" s="140">
        <v>45295</v>
      </c>
      <c r="P2130" s="23" t="s">
        <v>11522</v>
      </c>
      <c r="Q2130" s="141" t="s">
        <v>11523</v>
      </c>
      <c r="S2130" s="23" t="s">
        <v>183</v>
      </c>
      <c r="T2130" s="23" t="s">
        <v>305</v>
      </c>
      <c r="U2130" s="23" t="s">
        <v>305</v>
      </c>
      <c r="V2130" s="23" t="s">
        <v>233</v>
      </c>
      <c r="W2130" s="23" t="s">
        <v>143</v>
      </c>
      <c r="X2130" s="37">
        <v>29562.9</v>
      </c>
      <c r="Y2130" s="37">
        <v>29775.3</v>
      </c>
      <c r="Z2130" s="37">
        <v>26972.76</v>
      </c>
      <c r="AB2130" s="59" t="s">
        <v>11524</v>
      </c>
      <c r="AC2130" s="23" t="s">
        <v>791</v>
      </c>
      <c r="AD2130" s="23">
        <v>0</v>
      </c>
      <c r="AE2130" s="23">
        <v>2</v>
      </c>
      <c r="AF2130" s="23" t="s">
        <v>9622</v>
      </c>
      <c r="AG2130" s="23" t="s">
        <v>792</v>
      </c>
      <c r="AH2130" s="39">
        <v>45302</v>
      </c>
    </row>
    <row r="2131" spans="1:42">
      <c r="A2131" s="75" t="s">
        <v>11528</v>
      </c>
      <c r="B2131" s="23" t="s">
        <v>11529</v>
      </c>
      <c r="C2131" s="140">
        <v>45304</v>
      </c>
      <c r="D2131" s="23" t="s">
        <v>729</v>
      </c>
      <c r="E2131" s="23" t="s">
        <v>752</v>
      </c>
      <c r="F2131" s="23" t="s">
        <v>57</v>
      </c>
      <c r="G2131" s="23" t="s">
        <v>57</v>
      </c>
      <c r="H2131" s="23" t="s">
        <v>11530</v>
      </c>
      <c r="I2131" s="23" t="s">
        <v>11530</v>
      </c>
      <c r="J2131" s="140">
        <v>45299</v>
      </c>
      <c r="P2131" s="23" t="s">
        <v>11531</v>
      </c>
      <c r="Q2131" s="141" t="s">
        <v>11532</v>
      </c>
      <c r="S2131" s="23" t="s">
        <v>184</v>
      </c>
      <c r="T2131" s="23" t="s">
        <v>302</v>
      </c>
      <c r="U2131" s="23" t="s">
        <v>302</v>
      </c>
      <c r="V2131" s="23" t="s">
        <v>233</v>
      </c>
      <c r="W2131" s="23" t="s">
        <v>11533</v>
      </c>
      <c r="X2131" s="37">
        <v>9063.49</v>
      </c>
      <c r="Y2131" s="37">
        <v>9246.5</v>
      </c>
      <c r="Z2131" s="37">
        <v>20754.689999999999</v>
      </c>
      <c r="AB2131" s="23" t="s">
        <v>10753</v>
      </c>
      <c r="AC2131" s="23" t="s">
        <v>9692</v>
      </c>
      <c r="AD2131" s="23">
        <v>0</v>
      </c>
      <c r="AE2131" s="23">
        <v>1</v>
      </c>
      <c r="AF2131" s="23" t="s">
        <v>9622</v>
      </c>
      <c r="AG2131" s="23" t="s">
        <v>787</v>
      </c>
      <c r="AH2131" s="39">
        <v>45306</v>
      </c>
    </row>
    <row r="2132" spans="1:42">
      <c r="A2132" s="75" t="s">
        <v>11525</v>
      </c>
      <c r="B2132" s="23" t="s">
        <v>11534</v>
      </c>
      <c r="C2132" s="140">
        <v>45281</v>
      </c>
      <c r="D2132" s="23" t="s">
        <v>729</v>
      </c>
      <c r="E2132" s="23" t="s">
        <v>752</v>
      </c>
      <c r="F2132" s="23" t="s">
        <v>11066</v>
      </c>
      <c r="G2132" s="23" t="s">
        <v>3469</v>
      </c>
      <c r="H2132" s="23" t="s">
        <v>11526</v>
      </c>
      <c r="I2132" s="23" t="s">
        <v>11526</v>
      </c>
      <c r="J2132" s="140">
        <v>45259</v>
      </c>
      <c r="T2132" s="23" t="s">
        <v>12031</v>
      </c>
      <c r="U2132" s="23" t="s">
        <v>12031</v>
      </c>
      <c r="V2132" s="23" t="s">
        <v>299</v>
      </c>
      <c r="W2132" s="23" t="s">
        <v>11106</v>
      </c>
      <c r="AB2132" s="23" t="s">
        <v>11527</v>
      </c>
      <c r="AC2132" s="23">
        <v>2</v>
      </c>
      <c r="AD2132" s="23">
        <v>0</v>
      </c>
      <c r="AE2132" s="23">
        <v>1</v>
      </c>
      <c r="AF2132" s="23" t="s">
        <v>9622</v>
      </c>
      <c r="AG2132" s="23" t="s">
        <v>11107</v>
      </c>
      <c r="AH2132" s="39">
        <v>45308</v>
      </c>
      <c r="AJ2132" s="75" t="s">
        <v>11591</v>
      </c>
      <c r="AK2132" s="53">
        <v>45310</v>
      </c>
      <c r="AP2132" s="39">
        <v>45292</v>
      </c>
    </row>
    <row r="2133" spans="1:42" ht="80">
      <c r="A2133" s="75" t="s">
        <v>11535</v>
      </c>
      <c r="B2133" s="23" t="s">
        <v>11536</v>
      </c>
      <c r="C2133" s="140">
        <v>45305</v>
      </c>
      <c r="D2133" s="23" t="s">
        <v>729</v>
      </c>
      <c r="E2133" s="23" t="s">
        <v>752</v>
      </c>
      <c r="F2133" s="23" t="s">
        <v>8377</v>
      </c>
      <c r="G2133" s="23" t="s">
        <v>5538</v>
      </c>
      <c r="H2133" s="23" t="s">
        <v>11537</v>
      </c>
      <c r="I2133" s="23" t="s">
        <v>11537</v>
      </c>
      <c r="J2133" s="140">
        <v>45283</v>
      </c>
      <c r="T2133" s="23" t="s">
        <v>12031</v>
      </c>
      <c r="U2133" s="23" t="s">
        <v>12031</v>
      </c>
      <c r="V2133" s="23" t="s">
        <v>299</v>
      </c>
      <c r="W2133" s="19" t="s">
        <v>11538</v>
      </c>
      <c r="AB2133" s="60" t="s">
        <v>11539</v>
      </c>
      <c r="AC2133" s="23">
        <v>11</v>
      </c>
      <c r="AD2133" s="23">
        <v>0</v>
      </c>
      <c r="AE2133" s="23">
        <v>5</v>
      </c>
      <c r="AF2133" s="23" t="s">
        <v>9622</v>
      </c>
      <c r="AG2133" s="23" t="s">
        <v>11540</v>
      </c>
      <c r="AH2133" s="39">
        <v>45310</v>
      </c>
      <c r="AI2133" s="53" t="s">
        <v>8387</v>
      </c>
      <c r="AJ2133" s="75" t="s">
        <v>11590</v>
      </c>
      <c r="AK2133" s="53">
        <v>45313</v>
      </c>
      <c r="AP2133" s="39">
        <v>45292</v>
      </c>
    </row>
    <row r="2134" spans="1:42" ht="160">
      <c r="A2134" s="75" t="s">
        <v>11541</v>
      </c>
      <c r="B2134" s="23" t="s">
        <v>11542</v>
      </c>
      <c r="C2134" s="140">
        <v>45313</v>
      </c>
      <c r="D2134" s="23" t="s">
        <v>729</v>
      </c>
      <c r="E2134" s="23" t="s">
        <v>752</v>
      </c>
      <c r="F2134" s="23" t="s">
        <v>2200</v>
      </c>
      <c r="G2134" s="23" t="s">
        <v>301</v>
      </c>
      <c r="H2134" s="23">
        <v>20518647</v>
      </c>
      <c r="I2134" s="23">
        <v>20518647</v>
      </c>
      <c r="J2134" s="140">
        <v>45306</v>
      </c>
      <c r="K2134" s="23" t="s">
        <v>11561</v>
      </c>
      <c r="L2134" s="140">
        <v>45320</v>
      </c>
      <c r="T2134" s="23" t="s">
        <v>305</v>
      </c>
      <c r="U2134" s="23" t="s">
        <v>305</v>
      </c>
      <c r="V2134" s="23" t="s">
        <v>298</v>
      </c>
      <c r="W2134" s="23" t="s">
        <v>11259</v>
      </c>
      <c r="Y2134" s="23">
        <v>46170</v>
      </c>
      <c r="Z2134" s="23">
        <v>423000</v>
      </c>
      <c r="AB2134" s="19" t="s">
        <v>11650</v>
      </c>
      <c r="AC2134" s="23">
        <v>30</v>
      </c>
      <c r="AD2134" s="23">
        <v>0</v>
      </c>
      <c r="AE2134" s="23">
        <v>10</v>
      </c>
      <c r="AF2134" s="23" t="s">
        <v>9622</v>
      </c>
      <c r="AG2134" s="23" t="s">
        <v>659</v>
      </c>
      <c r="AH2134" s="39">
        <v>45313</v>
      </c>
    </row>
    <row r="2135" spans="1:42" ht="16">
      <c r="A2135" s="75" t="s">
        <v>11543</v>
      </c>
      <c r="B2135" s="23" t="s">
        <v>11544</v>
      </c>
      <c r="C2135" s="140">
        <v>45313</v>
      </c>
      <c r="D2135" s="23" t="s">
        <v>729</v>
      </c>
      <c r="E2135" s="23" t="s">
        <v>752</v>
      </c>
      <c r="F2135" s="23" t="s">
        <v>2200</v>
      </c>
      <c r="G2135" s="23" t="s">
        <v>301</v>
      </c>
      <c r="H2135" s="23">
        <v>20518646</v>
      </c>
      <c r="I2135" s="23">
        <v>20518646</v>
      </c>
      <c r="J2135" s="140">
        <v>45308</v>
      </c>
      <c r="K2135" s="23" t="s">
        <v>11562</v>
      </c>
      <c r="L2135" s="140">
        <v>45320</v>
      </c>
      <c r="P2135" s="23" t="s">
        <v>11568</v>
      </c>
      <c r="Q2135" s="141" t="s">
        <v>11569</v>
      </c>
      <c r="T2135" s="23" t="s">
        <v>305</v>
      </c>
      <c r="U2135" s="23" t="s">
        <v>305</v>
      </c>
      <c r="V2135" s="23" t="s">
        <v>298</v>
      </c>
      <c r="W2135" s="27" t="s">
        <v>11571</v>
      </c>
      <c r="Y2135" s="23">
        <v>4650</v>
      </c>
      <c r="Z2135" s="23">
        <v>41400</v>
      </c>
      <c r="AB2135" s="60" t="s">
        <v>11545</v>
      </c>
      <c r="AC2135" s="23">
        <v>3</v>
      </c>
      <c r="AD2135" s="23">
        <v>0</v>
      </c>
      <c r="AE2135" s="23">
        <v>1</v>
      </c>
      <c r="AF2135" s="23" t="s">
        <v>9622</v>
      </c>
      <c r="AG2135" s="23" t="s">
        <v>659</v>
      </c>
      <c r="AH2135" s="39">
        <v>45313</v>
      </c>
    </row>
    <row r="2136" spans="1:42" ht="32">
      <c r="A2136" s="75" t="s">
        <v>11546</v>
      </c>
      <c r="B2136" s="23" t="s">
        <v>11547</v>
      </c>
      <c r="C2136" s="140">
        <v>45312</v>
      </c>
      <c r="D2136" s="23" t="s">
        <v>729</v>
      </c>
      <c r="E2136" s="23" t="s">
        <v>752</v>
      </c>
      <c r="F2136" s="23" t="s">
        <v>6113</v>
      </c>
      <c r="G2136" s="23" t="s">
        <v>5538</v>
      </c>
      <c r="H2136" s="23" t="s">
        <v>11548</v>
      </c>
      <c r="I2136" s="23" t="s">
        <v>11548</v>
      </c>
      <c r="J2136" s="140">
        <v>45294</v>
      </c>
      <c r="Q2136" s="141" t="s">
        <v>11553</v>
      </c>
      <c r="T2136" s="23" t="s">
        <v>12031</v>
      </c>
      <c r="U2136" s="23" t="s">
        <v>12031</v>
      </c>
      <c r="V2136" s="23" t="s">
        <v>299</v>
      </c>
      <c r="W2136" s="23" t="s">
        <v>11549</v>
      </c>
      <c r="Y2136" s="23">
        <v>9540</v>
      </c>
      <c r="AB2136" s="19" t="s">
        <v>11580</v>
      </c>
      <c r="AC2136" s="23">
        <v>6</v>
      </c>
      <c r="AD2136" s="23">
        <v>0</v>
      </c>
      <c r="AE2136" s="23">
        <v>2</v>
      </c>
      <c r="AF2136" s="23" t="s">
        <v>9622</v>
      </c>
      <c r="AG2136" s="23" t="s">
        <v>5388</v>
      </c>
      <c r="AH2136" s="39">
        <v>45316</v>
      </c>
      <c r="AI2136" s="53" t="s">
        <v>9962</v>
      </c>
      <c r="AJ2136" s="75" t="s">
        <v>11592</v>
      </c>
      <c r="AK2136" s="53">
        <v>45317</v>
      </c>
      <c r="AO2136" s="23" t="s">
        <v>11690</v>
      </c>
      <c r="AP2136" s="140">
        <v>45324</v>
      </c>
    </row>
    <row r="2137" spans="1:42">
      <c r="A2137" s="75" t="s">
        <v>11550</v>
      </c>
      <c r="B2137" s="23" t="s">
        <v>11551</v>
      </c>
      <c r="C2137" s="140">
        <v>45312</v>
      </c>
      <c r="D2137" s="23" t="s">
        <v>729</v>
      </c>
      <c r="E2137" s="23" t="s">
        <v>752</v>
      </c>
      <c r="F2137" s="23" t="s">
        <v>6113</v>
      </c>
      <c r="G2137" s="23" t="s">
        <v>5538</v>
      </c>
      <c r="H2137" s="23" t="s">
        <v>11552</v>
      </c>
      <c r="I2137" s="23" t="s">
        <v>11552</v>
      </c>
      <c r="J2137" s="140">
        <v>45286</v>
      </c>
      <c r="Q2137" s="141" t="s">
        <v>11553</v>
      </c>
      <c r="T2137" s="23" t="s">
        <v>12031</v>
      </c>
      <c r="U2137" s="23" t="s">
        <v>12031</v>
      </c>
      <c r="V2137" s="23" t="s">
        <v>299</v>
      </c>
      <c r="W2137" s="23" t="s">
        <v>11554</v>
      </c>
      <c r="Y2137" s="23">
        <v>5600</v>
      </c>
      <c r="AB2137" s="59" t="s">
        <v>11555</v>
      </c>
      <c r="AC2137" s="23">
        <v>2</v>
      </c>
      <c r="AD2137" s="23">
        <v>0</v>
      </c>
      <c r="AE2137" s="23">
        <v>1</v>
      </c>
      <c r="AF2137" s="23" t="s">
        <v>9622</v>
      </c>
      <c r="AG2137" s="23" t="s">
        <v>11472</v>
      </c>
      <c r="AH2137" s="39">
        <v>45316</v>
      </c>
      <c r="AI2137" s="53" t="s">
        <v>9962</v>
      </c>
      <c r="AJ2137" s="75" t="s">
        <v>11593</v>
      </c>
      <c r="AK2137" s="53">
        <v>45317</v>
      </c>
      <c r="AO2137" s="23" t="s">
        <v>11689</v>
      </c>
      <c r="AP2137" s="140">
        <v>45324</v>
      </c>
    </row>
    <row r="2138" spans="1:42">
      <c r="A2138" s="75" t="s">
        <v>11556</v>
      </c>
      <c r="B2138" s="23" t="s">
        <v>11557</v>
      </c>
      <c r="C2138" s="140">
        <v>45297</v>
      </c>
      <c r="D2138" s="23" t="s">
        <v>729</v>
      </c>
      <c r="E2138" s="23" t="s">
        <v>752</v>
      </c>
      <c r="F2138" s="23" t="s">
        <v>2200</v>
      </c>
      <c r="G2138" s="23" t="s">
        <v>301</v>
      </c>
      <c r="H2138" s="23">
        <v>55017398</v>
      </c>
      <c r="I2138" s="23">
        <v>55017398</v>
      </c>
      <c r="J2138" s="140">
        <v>45293</v>
      </c>
      <c r="K2138" s="23" t="s">
        <v>11607</v>
      </c>
      <c r="L2138" s="140">
        <v>45329</v>
      </c>
      <c r="P2138" s="23" t="s">
        <v>11558</v>
      </c>
      <c r="Q2138" s="141" t="s">
        <v>11553</v>
      </c>
      <c r="T2138" s="23" t="s">
        <v>305</v>
      </c>
      <c r="U2138" s="23" t="s">
        <v>305</v>
      </c>
      <c r="V2138" s="23" t="s">
        <v>298</v>
      </c>
      <c r="W2138" s="23" t="s">
        <v>11559</v>
      </c>
      <c r="Y2138" s="23">
        <v>8566</v>
      </c>
      <c r="Z2138" s="23">
        <v>74612</v>
      </c>
      <c r="AB2138" s="59" t="s">
        <v>11560</v>
      </c>
      <c r="AC2138" s="23" t="s">
        <v>11486</v>
      </c>
      <c r="AD2138" s="23">
        <v>0</v>
      </c>
      <c r="AE2138" s="23">
        <v>1</v>
      </c>
      <c r="AF2138" s="23" t="s">
        <v>9622</v>
      </c>
      <c r="AG2138" s="23" t="s">
        <v>5602</v>
      </c>
      <c r="AH2138" s="39">
        <v>45317</v>
      </c>
    </row>
    <row r="2139" spans="1:42" ht="48">
      <c r="A2139" s="75" t="s">
        <v>11563</v>
      </c>
      <c r="B2139" s="23" t="s">
        <v>11564</v>
      </c>
      <c r="C2139" s="140">
        <v>45319</v>
      </c>
      <c r="D2139" s="23" t="s">
        <v>729</v>
      </c>
      <c r="E2139" s="23" t="s">
        <v>752</v>
      </c>
      <c r="F2139" s="23" t="s">
        <v>3456</v>
      </c>
      <c r="G2139" s="23" t="s">
        <v>1989</v>
      </c>
      <c r="H2139" s="23" t="s">
        <v>11565</v>
      </c>
      <c r="I2139" s="23" t="s">
        <v>11565</v>
      </c>
      <c r="J2139" s="140">
        <v>45314</v>
      </c>
      <c r="T2139" s="23" t="s">
        <v>12031</v>
      </c>
      <c r="U2139" s="23" t="s">
        <v>12031</v>
      </c>
      <c r="V2139" s="23" t="s">
        <v>299</v>
      </c>
      <c r="W2139" s="19" t="s">
        <v>11566</v>
      </c>
      <c r="AB2139" s="19" t="s">
        <v>11567</v>
      </c>
      <c r="AC2139" s="23">
        <v>6</v>
      </c>
      <c r="AD2139" s="23">
        <v>0</v>
      </c>
      <c r="AE2139" s="23">
        <v>3</v>
      </c>
      <c r="AF2139" s="23" t="s">
        <v>9622</v>
      </c>
      <c r="AG2139" s="23" t="s">
        <v>3459</v>
      </c>
      <c r="AH2139" s="39">
        <v>45325</v>
      </c>
      <c r="AI2139" s="53" t="s">
        <v>3857</v>
      </c>
      <c r="AJ2139" s="75" t="s">
        <v>11594</v>
      </c>
      <c r="AK2139" s="53">
        <v>45327</v>
      </c>
      <c r="AO2139" s="23" t="s">
        <v>11691</v>
      </c>
      <c r="AP2139" s="140">
        <v>45329</v>
      </c>
    </row>
    <row r="2140" spans="1:42" ht="96">
      <c r="A2140" s="75" t="s">
        <v>11572</v>
      </c>
      <c r="B2140" s="23" t="s">
        <v>11573</v>
      </c>
      <c r="C2140" s="140">
        <v>45324</v>
      </c>
      <c r="D2140" s="23" t="s">
        <v>729</v>
      </c>
      <c r="E2140" s="23" t="s">
        <v>752</v>
      </c>
      <c r="F2140" s="23" t="s">
        <v>2200</v>
      </c>
      <c r="G2140" s="23" t="s">
        <v>301</v>
      </c>
      <c r="H2140" s="23">
        <v>20520446</v>
      </c>
      <c r="I2140" s="23">
        <v>20520446</v>
      </c>
      <c r="J2140" s="140">
        <v>45316</v>
      </c>
      <c r="K2140" s="23" t="s">
        <v>11575</v>
      </c>
      <c r="L2140" s="140">
        <v>45326</v>
      </c>
      <c r="T2140" s="23" t="s">
        <v>12031</v>
      </c>
      <c r="U2140" s="23" t="s">
        <v>12031</v>
      </c>
      <c r="V2140" s="23" t="s">
        <v>299</v>
      </c>
      <c r="W2140" s="23" t="s">
        <v>11574</v>
      </c>
      <c r="Y2140" s="23">
        <v>27900</v>
      </c>
      <c r="Z2140" s="23">
        <v>248400</v>
      </c>
      <c r="AB2140" s="19" t="s">
        <v>11651</v>
      </c>
      <c r="AC2140" s="23">
        <v>18</v>
      </c>
      <c r="AD2140" s="23">
        <v>0</v>
      </c>
      <c r="AE2140" s="23">
        <v>6</v>
      </c>
      <c r="AF2140" s="23" t="s">
        <v>9622</v>
      </c>
      <c r="AG2140" s="23" t="s">
        <v>659</v>
      </c>
      <c r="AH2140" s="39">
        <v>45327</v>
      </c>
      <c r="AI2140" s="53" t="s">
        <v>5851</v>
      </c>
      <c r="AO2140" s="23" t="s">
        <v>11692</v>
      </c>
      <c r="AP2140" s="140">
        <v>45335</v>
      </c>
    </row>
    <row r="2141" spans="1:42">
      <c r="A2141" s="75" t="s">
        <v>11576</v>
      </c>
      <c r="B2141" s="23" t="s">
        <v>11577</v>
      </c>
      <c r="C2141" s="140">
        <v>45318</v>
      </c>
      <c r="D2141" s="23" t="s">
        <v>729</v>
      </c>
      <c r="E2141" s="23" t="s">
        <v>752</v>
      </c>
      <c r="F2141" s="23" t="s">
        <v>11066</v>
      </c>
      <c r="G2141" s="23" t="s">
        <v>3469</v>
      </c>
      <c r="H2141" s="23" t="s">
        <v>11578</v>
      </c>
      <c r="I2141" s="23" t="s">
        <v>11578</v>
      </c>
      <c r="J2141" s="140">
        <v>45303</v>
      </c>
      <c r="T2141" s="23" t="s">
        <v>12031</v>
      </c>
      <c r="U2141" s="23" t="s">
        <v>12031</v>
      </c>
      <c r="V2141" s="23" t="s">
        <v>299</v>
      </c>
      <c r="W2141" s="23" t="s">
        <v>11579</v>
      </c>
      <c r="AB2141" s="23" t="s">
        <v>97</v>
      </c>
      <c r="AC2141" s="23">
        <v>2</v>
      </c>
      <c r="AD2141" s="23">
        <v>0</v>
      </c>
      <c r="AE2141" s="23">
        <v>0</v>
      </c>
      <c r="AF2141" s="23" t="s">
        <v>97</v>
      </c>
      <c r="AG2141" s="23" t="s">
        <v>10695</v>
      </c>
      <c r="AH2141" s="39">
        <v>45328</v>
      </c>
      <c r="AI2141" s="53" t="s">
        <v>299</v>
      </c>
      <c r="AJ2141" s="75" t="s">
        <v>11919</v>
      </c>
      <c r="AK2141" s="53">
        <v>45334</v>
      </c>
      <c r="AO2141" s="23" t="s">
        <v>11700</v>
      </c>
      <c r="AP2141" s="140">
        <v>45348</v>
      </c>
    </row>
    <row r="2142" spans="1:42">
      <c r="A2142" s="75" t="s">
        <v>11581</v>
      </c>
      <c r="B2142" s="23" t="s">
        <v>11582</v>
      </c>
      <c r="C2142" s="140">
        <v>45322</v>
      </c>
      <c r="D2142" s="23" t="s">
        <v>729</v>
      </c>
      <c r="E2142" s="23" t="s">
        <v>752</v>
      </c>
      <c r="F2142" s="23" t="s">
        <v>57</v>
      </c>
      <c r="G2142" s="23" t="s">
        <v>57</v>
      </c>
      <c r="H2142" s="23" t="s">
        <v>11583</v>
      </c>
      <c r="I2142" s="23" t="s">
        <v>11583</v>
      </c>
      <c r="J2142" s="140">
        <v>45320</v>
      </c>
      <c r="K2142" s="23" t="s">
        <v>11585</v>
      </c>
      <c r="L2142" s="140">
        <v>45324</v>
      </c>
      <c r="S2142" s="23" t="s">
        <v>183</v>
      </c>
      <c r="T2142" s="23" t="s">
        <v>305</v>
      </c>
      <c r="U2142" s="23" t="s">
        <v>305</v>
      </c>
      <c r="V2142" s="23" t="s">
        <v>233</v>
      </c>
      <c r="W2142" s="23" t="s">
        <v>143</v>
      </c>
      <c r="X2142" s="23">
        <v>47829.5</v>
      </c>
      <c r="Y2142" s="37">
        <v>48144.800000000003</v>
      </c>
      <c r="Z2142" s="23">
        <v>44185.49</v>
      </c>
      <c r="AB2142" s="59" t="s">
        <v>11584</v>
      </c>
      <c r="AC2142" s="23" t="s">
        <v>8668</v>
      </c>
      <c r="AD2142" s="23">
        <v>0</v>
      </c>
      <c r="AE2142" s="23">
        <v>3</v>
      </c>
      <c r="AF2142" s="23" t="s">
        <v>9622</v>
      </c>
      <c r="AG2142" s="23" t="s">
        <v>792</v>
      </c>
      <c r="AH2142" s="39">
        <v>45328</v>
      </c>
    </row>
    <row r="2143" spans="1:42" ht="32">
      <c r="A2143" s="75" t="s">
        <v>11595</v>
      </c>
      <c r="B2143" s="23" t="s">
        <v>11596</v>
      </c>
      <c r="C2143" s="140">
        <v>45325</v>
      </c>
      <c r="D2143" s="23" t="s">
        <v>729</v>
      </c>
      <c r="E2143" s="23" t="s">
        <v>752</v>
      </c>
      <c r="F2143" s="23" t="s">
        <v>11597</v>
      </c>
      <c r="G2143" s="23" t="s">
        <v>11636</v>
      </c>
      <c r="H2143" s="23" t="s">
        <v>11635</v>
      </c>
      <c r="I2143" s="23" t="s">
        <v>11635</v>
      </c>
      <c r="J2143" s="140">
        <v>45324</v>
      </c>
      <c r="T2143" s="23" t="s">
        <v>12031</v>
      </c>
      <c r="U2143" s="23" t="s">
        <v>12031</v>
      </c>
      <c r="V2143" s="23" t="s">
        <v>299</v>
      </c>
      <c r="W2143" s="29" t="s">
        <v>12820</v>
      </c>
      <c r="AB2143" s="23" t="s">
        <v>11598</v>
      </c>
      <c r="AC2143" s="23">
        <v>2</v>
      </c>
      <c r="AD2143" s="23">
        <v>0</v>
      </c>
      <c r="AE2143" s="23">
        <v>1</v>
      </c>
      <c r="AF2143" s="23" t="s">
        <v>9622</v>
      </c>
      <c r="AG2143" s="23" t="s">
        <v>11599</v>
      </c>
      <c r="AH2143" s="39">
        <v>45335</v>
      </c>
      <c r="AI2143" s="53" t="s">
        <v>11609</v>
      </c>
      <c r="AJ2143" s="75" t="s">
        <v>11916</v>
      </c>
      <c r="AK2143" s="53">
        <v>45338</v>
      </c>
      <c r="AO2143" s="23" t="s">
        <v>11694</v>
      </c>
      <c r="AP2143" s="140">
        <v>45341</v>
      </c>
    </row>
    <row r="2144" spans="1:42" ht="208">
      <c r="A2144" s="75" t="s">
        <v>11600</v>
      </c>
      <c r="B2144" s="23" t="s">
        <v>11601</v>
      </c>
      <c r="C2144" s="140">
        <v>45330</v>
      </c>
      <c r="D2144" s="23" t="s">
        <v>729</v>
      </c>
      <c r="E2144" s="23" t="s">
        <v>752</v>
      </c>
      <c r="F2144" s="23" t="s">
        <v>2200</v>
      </c>
      <c r="G2144" s="23" t="s">
        <v>301</v>
      </c>
      <c r="H2144" s="23">
        <v>20523234</v>
      </c>
      <c r="I2144" s="23">
        <v>20523234</v>
      </c>
      <c r="J2144" s="140">
        <v>45329</v>
      </c>
      <c r="K2144" s="23" t="s">
        <v>11664</v>
      </c>
      <c r="L2144" s="140">
        <v>45341</v>
      </c>
      <c r="T2144" s="23" t="s">
        <v>305</v>
      </c>
      <c r="U2144" s="23" t="s">
        <v>305</v>
      </c>
      <c r="V2144" s="23" t="s">
        <v>299</v>
      </c>
      <c r="W2144" s="23" t="s">
        <v>11608</v>
      </c>
      <c r="Y2144" s="23">
        <v>51402</v>
      </c>
      <c r="Z2144" s="23">
        <v>351000</v>
      </c>
      <c r="AB2144" s="19" t="s">
        <v>11687</v>
      </c>
      <c r="AC2144" s="23">
        <v>39</v>
      </c>
      <c r="AD2144" s="23">
        <v>0</v>
      </c>
      <c r="AE2144" s="23">
        <v>13</v>
      </c>
      <c r="AF2144" s="23" t="s">
        <v>9622</v>
      </c>
      <c r="AG2144" s="23" t="s">
        <v>659</v>
      </c>
      <c r="AH2144" s="39">
        <v>45335</v>
      </c>
      <c r="AI2144" s="53" t="s">
        <v>5851</v>
      </c>
      <c r="AJ2144" s="75" t="s">
        <v>12725</v>
      </c>
      <c r="AK2144" s="53">
        <v>45342</v>
      </c>
      <c r="AO2144" s="23" t="s">
        <v>11699</v>
      </c>
      <c r="AP2144" s="140">
        <v>45344</v>
      </c>
    </row>
    <row r="2145" spans="1:42">
      <c r="A2145" s="75" t="s">
        <v>11611</v>
      </c>
      <c r="B2145" s="23" t="s">
        <v>11638</v>
      </c>
      <c r="C2145" s="140">
        <v>45300</v>
      </c>
      <c r="D2145" s="23" t="s">
        <v>729</v>
      </c>
      <c r="E2145" s="23" t="s">
        <v>752</v>
      </c>
      <c r="F2145" s="23" t="s">
        <v>11612</v>
      </c>
      <c r="G2145" s="23" t="s">
        <v>11637</v>
      </c>
      <c r="H2145" s="23" t="s">
        <v>11613</v>
      </c>
      <c r="I2145" s="23" t="s">
        <v>11613</v>
      </c>
      <c r="J2145" s="140">
        <v>45296</v>
      </c>
      <c r="T2145" s="23" t="s">
        <v>12031</v>
      </c>
      <c r="U2145" s="23" t="s">
        <v>12031</v>
      </c>
      <c r="V2145" s="23" t="s">
        <v>299</v>
      </c>
      <c r="W2145" s="23" t="s">
        <v>11614</v>
      </c>
      <c r="AB2145" s="23" t="s">
        <v>11615</v>
      </c>
      <c r="AC2145" s="23">
        <v>1</v>
      </c>
      <c r="AD2145" s="23">
        <v>0</v>
      </c>
      <c r="AE2145" s="23">
        <v>1</v>
      </c>
      <c r="AF2145" s="23" t="s">
        <v>9622</v>
      </c>
      <c r="AG2145" s="23" t="s">
        <v>11616</v>
      </c>
      <c r="AH2145" s="39">
        <v>45336</v>
      </c>
      <c r="AI2145" s="53" t="s">
        <v>11634</v>
      </c>
      <c r="AO2145" s="23" t="s">
        <v>11697</v>
      </c>
      <c r="AP2145" s="140">
        <v>45342</v>
      </c>
    </row>
    <row r="2146" spans="1:42">
      <c r="A2146" s="75" t="s">
        <v>11617</v>
      </c>
      <c r="B2146" s="23" t="s">
        <v>11639</v>
      </c>
      <c r="C2146" s="140">
        <v>45300</v>
      </c>
      <c r="D2146" s="23" t="s">
        <v>729</v>
      </c>
      <c r="E2146" s="23" t="s">
        <v>752</v>
      </c>
      <c r="F2146" s="23" t="s">
        <v>11612</v>
      </c>
      <c r="G2146" s="23" t="s">
        <v>11637</v>
      </c>
      <c r="H2146" s="23" t="s">
        <v>11618</v>
      </c>
      <c r="I2146" s="23" t="s">
        <v>11618</v>
      </c>
      <c r="J2146" s="140">
        <v>45296</v>
      </c>
      <c r="T2146" s="23" t="s">
        <v>12031</v>
      </c>
      <c r="U2146" s="23" t="s">
        <v>12031</v>
      </c>
      <c r="V2146" s="23" t="s">
        <v>299</v>
      </c>
      <c r="W2146" s="23" t="s">
        <v>11614</v>
      </c>
      <c r="AB2146" s="23" t="s">
        <v>11620</v>
      </c>
      <c r="AC2146" s="23">
        <v>1</v>
      </c>
      <c r="AD2146" s="23">
        <v>0</v>
      </c>
      <c r="AE2146" s="23">
        <v>0</v>
      </c>
      <c r="AF2146" s="23" t="s">
        <v>10241</v>
      </c>
      <c r="AG2146" s="23" t="s">
        <v>11619</v>
      </c>
      <c r="AH2146" s="39">
        <v>45336</v>
      </c>
      <c r="AI2146" s="53" t="s">
        <v>11634</v>
      </c>
      <c r="AJ2146" s="75" t="s">
        <v>11917</v>
      </c>
      <c r="AK2146" s="53">
        <v>45338</v>
      </c>
      <c r="AO2146" s="23" t="s">
        <v>11696</v>
      </c>
      <c r="AP2146" s="140">
        <v>45342</v>
      </c>
    </row>
    <row r="2147" spans="1:42" ht="32">
      <c r="A2147" s="75" t="s">
        <v>11627</v>
      </c>
      <c r="B2147" s="23" t="s">
        <v>11628</v>
      </c>
      <c r="C2147" s="140">
        <v>45323</v>
      </c>
      <c r="D2147" s="23" t="s">
        <v>729</v>
      </c>
      <c r="E2147" s="23" t="s">
        <v>752</v>
      </c>
      <c r="F2147" s="23" t="s">
        <v>6113</v>
      </c>
      <c r="G2147" s="23" t="s">
        <v>5538</v>
      </c>
      <c r="H2147" s="23" t="s">
        <v>11629</v>
      </c>
      <c r="I2147" s="23" t="s">
        <v>11629</v>
      </c>
      <c r="J2147" s="140">
        <v>45307</v>
      </c>
      <c r="T2147" s="23" t="s">
        <v>12031</v>
      </c>
      <c r="U2147" s="23" t="s">
        <v>12031</v>
      </c>
      <c r="V2147" s="23" t="s">
        <v>299</v>
      </c>
      <c r="W2147" s="23" t="s">
        <v>11630</v>
      </c>
      <c r="AB2147" s="19" t="s">
        <v>11653</v>
      </c>
      <c r="AC2147" s="23">
        <v>4</v>
      </c>
      <c r="AD2147" s="23">
        <v>0</v>
      </c>
      <c r="AE2147" s="23">
        <v>2</v>
      </c>
      <c r="AF2147" s="23" t="s">
        <v>9622</v>
      </c>
      <c r="AG2147" s="23" t="s">
        <v>11472</v>
      </c>
      <c r="AH2147" s="39">
        <v>45336</v>
      </c>
      <c r="AI2147" s="53" t="s">
        <v>9962</v>
      </c>
      <c r="AJ2147" s="75" t="s">
        <v>11915</v>
      </c>
      <c r="AK2147" s="53">
        <v>45337</v>
      </c>
      <c r="AO2147" s="23" t="s">
        <v>11693</v>
      </c>
      <c r="AP2147" s="140">
        <v>45339</v>
      </c>
    </row>
    <row r="2148" spans="1:42" ht="32">
      <c r="A2148" s="75" t="s">
        <v>11631</v>
      </c>
      <c r="B2148" s="23" t="s">
        <v>11632</v>
      </c>
      <c r="C2148" s="140">
        <v>45330</v>
      </c>
      <c r="D2148" s="23" t="s">
        <v>729</v>
      </c>
      <c r="E2148" s="23" t="s">
        <v>752</v>
      </c>
      <c r="F2148" s="23" t="s">
        <v>6113</v>
      </c>
      <c r="G2148" s="23" t="s">
        <v>5538</v>
      </c>
      <c r="H2148" s="23" t="s">
        <v>11633</v>
      </c>
      <c r="I2148" s="23" t="s">
        <v>11633</v>
      </c>
      <c r="J2148" s="140">
        <v>45310</v>
      </c>
      <c r="T2148" s="23" t="s">
        <v>12031</v>
      </c>
      <c r="U2148" s="23" t="s">
        <v>12031</v>
      </c>
      <c r="V2148" s="23" t="s">
        <v>299</v>
      </c>
      <c r="W2148" s="23" t="s">
        <v>11630</v>
      </c>
      <c r="AB2148" s="19" t="s">
        <v>11654</v>
      </c>
      <c r="AC2148" s="23">
        <v>4</v>
      </c>
      <c r="AD2148" s="23">
        <v>0</v>
      </c>
      <c r="AE2148" s="23">
        <v>2</v>
      </c>
      <c r="AF2148" s="23" t="s">
        <v>9622</v>
      </c>
      <c r="AG2148" s="23" t="s">
        <v>11472</v>
      </c>
      <c r="AH2148" s="39">
        <v>45336</v>
      </c>
      <c r="AI2148" s="53" t="s">
        <v>9962</v>
      </c>
      <c r="AJ2148" s="75" t="s">
        <v>11918</v>
      </c>
      <c r="AK2148" s="53">
        <v>45338</v>
      </c>
      <c r="AO2148" s="23" t="s">
        <v>11695</v>
      </c>
      <c r="AP2148" s="140">
        <v>45342</v>
      </c>
    </row>
    <row r="2149" spans="1:42">
      <c r="A2149" s="75" t="s">
        <v>11640</v>
      </c>
      <c r="B2149" s="23" t="s">
        <v>11641</v>
      </c>
      <c r="C2149" s="140">
        <v>45330</v>
      </c>
      <c r="D2149" s="23" t="s">
        <v>729</v>
      </c>
      <c r="E2149" s="23" t="s">
        <v>752</v>
      </c>
      <c r="F2149" s="23" t="s">
        <v>2200</v>
      </c>
      <c r="G2149" s="23" t="s">
        <v>301</v>
      </c>
      <c r="H2149" s="23">
        <v>20523235</v>
      </c>
      <c r="I2149" s="23">
        <v>20523235</v>
      </c>
      <c r="J2149" s="140">
        <v>45328</v>
      </c>
      <c r="K2149" s="23" t="s">
        <v>11652</v>
      </c>
      <c r="L2149" s="140">
        <v>45341</v>
      </c>
      <c r="P2149" s="23" t="s">
        <v>11642</v>
      </c>
      <c r="Q2149" s="140" t="s">
        <v>11643</v>
      </c>
      <c r="T2149" s="23" t="s">
        <v>305</v>
      </c>
      <c r="U2149" s="23" t="s">
        <v>305</v>
      </c>
      <c r="V2149" s="23" t="s">
        <v>299</v>
      </c>
      <c r="W2149" s="23" t="s">
        <v>11608</v>
      </c>
      <c r="Y2149" s="23">
        <v>3954</v>
      </c>
      <c r="AB2149" s="59" t="s">
        <v>11644</v>
      </c>
      <c r="AC2149" s="23">
        <v>3</v>
      </c>
      <c r="AD2149" s="23">
        <v>0</v>
      </c>
      <c r="AE2149" s="23">
        <v>1</v>
      </c>
      <c r="AF2149" s="23" t="s">
        <v>9622</v>
      </c>
      <c r="AG2149" s="23" t="s">
        <v>1553</v>
      </c>
      <c r="AH2149" s="39">
        <v>45336</v>
      </c>
      <c r="AI2149" s="53" t="s">
        <v>5851</v>
      </c>
      <c r="AJ2149" s="75" t="s">
        <v>12724</v>
      </c>
      <c r="AK2149" s="53">
        <v>45342</v>
      </c>
      <c r="AO2149" s="23" t="s">
        <v>11698</v>
      </c>
      <c r="AP2149" s="140">
        <v>45344</v>
      </c>
    </row>
    <row r="2150" spans="1:42">
      <c r="A2150" s="75" t="s">
        <v>11645</v>
      </c>
      <c r="B2150" s="23" t="s">
        <v>11646</v>
      </c>
      <c r="C2150" s="140">
        <v>45319</v>
      </c>
      <c r="D2150" s="23" t="s">
        <v>729</v>
      </c>
      <c r="E2150" s="23" t="s">
        <v>752</v>
      </c>
      <c r="F2150" s="23" t="s">
        <v>2200</v>
      </c>
      <c r="G2150" s="23" t="s">
        <v>301</v>
      </c>
      <c r="H2150" s="23">
        <v>55017610</v>
      </c>
      <c r="I2150" s="23">
        <v>55017610</v>
      </c>
      <c r="J2150" s="140">
        <v>45312</v>
      </c>
      <c r="K2150" s="23" t="s">
        <v>11647</v>
      </c>
      <c r="L2150" s="140">
        <v>45323</v>
      </c>
      <c r="P2150" s="23" t="s">
        <v>11655</v>
      </c>
      <c r="Q2150" s="141" t="s">
        <v>11656</v>
      </c>
      <c r="T2150" s="23" t="s">
        <v>305</v>
      </c>
      <c r="U2150" s="23" t="s">
        <v>305</v>
      </c>
      <c r="V2150" s="23" t="s">
        <v>298</v>
      </c>
      <c r="W2150" s="23" t="s">
        <v>3141</v>
      </c>
      <c r="Y2150" s="23">
        <v>8040</v>
      </c>
      <c r="Z2150" s="38">
        <v>65455</v>
      </c>
      <c r="AB2150" s="23" t="s">
        <v>11648</v>
      </c>
      <c r="AC2150" s="23" t="s">
        <v>11649</v>
      </c>
      <c r="AD2150" s="23">
        <v>0</v>
      </c>
      <c r="AE2150" s="23">
        <v>1</v>
      </c>
      <c r="AF2150" s="23" t="s">
        <v>9622</v>
      </c>
      <c r="AG2150" s="23" t="s">
        <v>5950</v>
      </c>
      <c r="AH2150" s="39">
        <v>45338</v>
      </c>
    </row>
    <row r="2151" spans="1:42" ht="224">
      <c r="A2151" s="75" t="s">
        <v>11657</v>
      </c>
      <c r="B2151" s="23" t="s">
        <v>11658</v>
      </c>
      <c r="C2151" s="140">
        <v>45337</v>
      </c>
      <c r="D2151" s="23" t="s">
        <v>729</v>
      </c>
      <c r="E2151" s="23" t="s">
        <v>752</v>
      </c>
      <c r="F2151" s="23" t="s">
        <v>2200</v>
      </c>
      <c r="G2151" s="23" t="s">
        <v>301</v>
      </c>
      <c r="H2151" s="23" t="s">
        <v>11659</v>
      </c>
      <c r="I2151" s="23" t="s">
        <v>11659</v>
      </c>
      <c r="J2151" s="140">
        <v>45335</v>
      </c>
      <c r="K2151" s="23" t="s">
        <v>11679</v>
      </c>
      <c r="L2151" s="140">
        <v>45345</v>
      </c>
      <c r="T2151" s="23" t="s">
        <v>305</v>
      </c>
      <c r="U2151" s="23" t="s">
        <v>305</v>
      </c>
      <c r="V2151" s="23" t="s">
        <v>299</v>
      </c>
      <c r="W2151" s="23" t="s">
        <v>11259</v>
      </c>
      <c r="Y2151" s="23">
        <v>64638</v>
      </c>
      <c r="Z2151" s="23">
        <v>592200</v>
      </c>
      <c r="AB2151" s="19" t="s">
        <v>11660</v>
      </c>
      <c r="AC2151" s="23">
        <v>42</v>
      </c>
      <c r="AD2151" s="23">
        <v>0</v>
      </c>
      <c r="AE2151" s="23">
        <v>14</v>
      </c>
      <c r="AF2151" s="23" t="s">
        <v>9622</v>
      </c>
      <c r="AG2151" s="23" t="s">
        <v>659</v>
      </c>
      <c r="AH2151" s="39">
        <v>45344</v>
      </c>
      <c r="AI2151" s="53" t="s">
        <v>5851</v>
      </c>
      <c r="AJ2151" s="75" t="s">
        <v>12726</v>
      </c>
      <c r="AK2151" s="53">
        <v>45348</v>
      </c>
    </row>
    <row r="2152" spans="1:42" ht="96">
      <c r="A2152" s="75" t="s">
        <v>11661</v>
      </c>
      <c r="B2152" s="23" t="s">
        <v>11662</v>
      </c>
      <c r="C2152" s="140">
        <v>45337</v>
      </c>
      <c r="D2152" s="23" t="s">
        <v>729</v>
      </c>
      <c r="E2152" s="23" t="s">
        <v>752</v>
      </c>
      <c r="F2152" s="23" t="s">
        <v>2200</v>
      </c>
      <c r="G2152" s="23" t="s">
        <v>301</v>
      </c>
      <c r="H2152" s="23">
        <v>20523831</v>
      </c>
      <c r="I2152" s="23">
        <v>20523831</v>
      </c>
      <c r="J2152" s="140">
        <v>45335</v>
      </c>
      <c r="K2152" s="23" t="s">
        <v>11680</v>
      </c>
      <c r="L2152" s="140">
        <v>45345</v>
      </c>
      <c r="T2152" s="23" t="s">
        <v>305</v>
      </c>
      <c r="U2152" s="23" t="s">
        <v>305</v>
      </c>
      <c r="V2152" s="23" t="s">
        <v>299</v>
      </c>
      <c r="W2152" s="23" t="s">
        <v>11415</v>
      </c>
      <c r="Y2152" s="23">
        <v>24816</v>
      </c>
      <c r="Z2152" s="23">
        <v>249600</v>
      </c>
      <c r="AB2152" s="19" t="s">
        <v>11663</v>
      </c>
      <c r="AC2152" s="23">
        <v>12</v>
      </c>
      <c r="AD2152" s="23">
        <v>0</v>
      </c>
      <c r="AE2152" s="23">
        <v>6</v>
      </c>
      <c r="AF2152" s="23" t="s">
        <v>9622</v>
      </c>
      <c r="AG2152" s="23" t="s">
        <v>659</v>
      </c>
      <c r="AH2152" s="39">
        <v>45344</v>
      </c>
      <c r="AI2152" s="53" t="s">
        <v>5851</v>
      </c>
      <c r="AJ2152" s="75" t="s">
        <v>11920</v>
      </c>
      <c r="AK2152" s="53">
        <v>45349</v>
      </c>
      <c r="AO2152" s="23" t="s">
        <v>11701</v>
      </c>
      <c r="AP2152" s="140">
        <v>45350</v>
      </c>
    </row>
    <row r="2153" spans="1:42" ht="160">
      <c r="A2153" s="75" t="s">
        <v>11665</v>
      </c>
      <c r="B2153" s="23" t="s">
        <v>11666</v>
      </c>
      <c r="C2153" s="140">
        <v>45343</v>
      </c>
      <c r="D2153" s="23" t="s">
        <v>729</v>
      </c>
      <c r="E2153" s="23" t="s">
        <v>752</v>
      </c>
      <c r="F2153" s="23" t="s">
        <v>2200</v>
      </c>
      <c r="G2153" s="23" t="s">
        <v>301</v>
      </c>
      <c r="H2153" s="23">
        <v>20523917</v>
      </c>
      <c r="I2153" s="23">
        <v>20523917</v>
      </c>
      <c r="J2153" s="140">
        <v>45341</v>
      </c>
      <c r="K2153" s="23" t="s">
        <v>11681</v>
      </c>
      <c r="L2153" s="140">
        <v>45345</v>
      </c>
      <c r="T2153" s="23" t="s">
        <v>305</v>
      </c>
      <c r="U2153" s="23" t="s">
        <v>305</v>
      </c>
      <c r="V2153" s="23" t="s">
        <v>299</v>
      </c>
      <c r="W2153" s="23" t="s">
        <v>11608</v>
      </c>
      <c r="Y2153" s="23">
        <v>39540</v>
      </c>
      <c r="Z2153" s="23">
        <v>270000</v>
      </c>
      <c r="AB2153" s="19" t="s">
        <v>11789</v>
      </c>
      <c r="AC2153" s="23">
        <v>30</v>
      </c>
      <c r="AD2153" s="23">
        <v>0</v>
      </c>
      <c r="AE2153" s="23">
        <v>10</v>
      </c>
      <c r="AF2153" s="23" t="s">
        <v>9622</v>
      </c>
      <c r="AG2153" s="23" t="s">
        <v>1553</v>
      </c>
      <c r="AH2153" s="39">
        <v>45346</v>
      </c>
      <c r="AI2153" s="53" t="s">
        <v>5851</v>
      </c>
      <c r="AJ2153" s="75" t="s">
        <v>12727</v>
      </c>
      <c r="AK2153" s="53">
        <v>45355</v>
      </c>
    </row>
    <row r="2154" spans="1:42" ht="80">
      <c r="A2154" s="75" t="s">
        <v>11667</v>
      </c>
      <c r="B2154" s="23" t="s">
        <v>11668</v>
      </c>
      <c r="C2154" s="140">
        <v>45343</v>
      </c>
      <c r="D2154" s="23" t="s">
        <v>729</v>
      </c>
      <c r="E2154" s="23" t="s">
        <v>752</v>
      </c>
      <c r="F2154" s="23" t="s">
        <v>2200</v>
      </c>
      <c r="G2154" s="23" t="s">
        <v>301</v>
      </c>
      <c r="H2154" s="23">
        <v>20523916</v>
      </c>
      <c r="I2154" s="23">
        <v>20523916</v>
      </c>
      <c r="J2154" s="140">
        <v>45341</v>
      </c>
      <c r="K2154" s="23" t="s">
        <v>11682</v>
      </c>
      <c r="L2154" s="140">
        <v>45345</v>
      </c>
      <c r="T2154" s="23" t="s">
        <v>305</v>
      </c>
      <c r="U2154" s="23" t="s">
        <v>305</v>
      </c>
      <c r="V2154" s="23" t="s">
        <v>299</v>
      </c>
      <c r="W2154" s="23" t="s">
        <v>11608</v>
      </c>
      <c r="Y2154" s="23">
        <v>19770</v>
      </c>
      <c r="Z2154" s="23">
        <v>135000</v>
      </c>
      <c r="AB2154" s="19" t="s">
        <v>11746</v>
      </c>
      <c r="AC2154" s="23">
        <v>15</v>
      </c>
      <c r="AD2154" s="23">
        <v>0</v>
      </c>
      <c r="AE2154" s="23">
        <v>5</v>
      </c>
      <c r="AF2154" s="23" t="s">
        <v>9622</v>
      </c>
      <c r="AG2154" s="23" t="s">
        <v>1553</v>
      </c>
      <c r="AH2154" s="39">
        <v>45346</v>
      </c>
      <c r="AI2154" s="53" t="s">
        <v>5851</v>
      </c>
      <c r="AJ2154" s="75" t="s">
        <v>12728</v>
      </c>
      <c r="AK2154" s="53">
        <v>45355</v>
      </c>
    </row>
    <row r="2155" spans="1:42" ht="80">
      <c r="A2155" s="75" t="s">
        <v>11677</v>
      </c>
      <c r="B2155" s="23" t="s">
        <v>11669</v>
      </c>
      <c r="C2155" s="140">
        <v>45343</v>
      </c>
      <c r="D2155" s="23" t="s">
        <v>729</v>
      </c>
      <c r="E2155" s="23" t="s">
        <v>752</v>
      </c>
      <c r="F2155" s="23" t="s">
        <v>2200</v>
      </c>
      <c r="G2155" s="23" t="s">
        <v>301</v>
      </c>
      <c r="H2155" s="23" t="s">
        <v>11670</v>
      </c>
      <c r="I2155" s="23" t="s">
        <v>11670</v>
      </c>
      <c r="J2155" s="140">
        <v>45340</v>
      </c>
      <c r="K2155" s="23" t="s">
        <v>11683</v>
      </c>
      <c r="L2155" s="140">
        <v>45345</v>
      </c>
      <c r="T2155" s="23" t="s">
        <v>305</v>
      </c>
      <c r="U2155" s="23" t="s">
        <v>305</v>
      </c>
      <c r="V2155" s="23" t="s">
        <v>299</v>
      </c>
      <c r="W2155" s="23" t="s">
        <v>11259</v>
      </c>
      <c r="Y2155" s="23">
        <v>23085</v>
      </c>
      <c r="Z2155" s="23">
        <v>211500</v>
      </c>
      <c r="AB2155" s="19" t="s">
        <v>11747</v>
      </c>
      <c r="AC2155" s="23">
        <v>15</v>
      </c>
      <c r="AD2155" s="23">
        <v>0</v>
      </c>
      <c r="AE2155" s="23">
        <v>5</v>
      </c>
      <c r="AF2155" s="23" t="s">
        <v>9622</v>
      </c>
      <c r="AG2155" s="23" t="s">
        <v>1553</v>
      </c>
      <c r="AH2155" s="39">
        <v>45346</v>
      </c>
      <c r="AI2155" s="53" t="s">
        <v>5851</v>
      </c>
      <c r="AJ2155" s="75" t="s">
        <v>12729</v>
      </c>
      <c r="AK2155" s="53">
        <v>45355</v>
      </c>
    </row>
    <row r="2156" spans="1:42" ht="64">
      <c r="A2156" s="75" t="s">
        <v>11678</v>
      </c>
      <c r="B2156" s="23" t="s">
        <v>11671</v>
      </c>
      <c r="C2156" s="140">
        <v>45343</v>
      </c>
      <c r="D2156" s="23" t="s">
        <v>729</v>
      </c>
      <c r="E2156" s="23" t="s">
        <v>752</v>
      </c>
      <c r="F2156" s="23" t="s">
        <v>2200</v>
      </c>
      <c r="G2156" s="23" t="s">
        <v>301</v>
      </c>
      <c r="H2156" s="23" t="s">
        <v>11672</v>
      </c>
      <c r="I2156" s="23" t="s">
        <v>11672</v>
      </c>
      <c r="J2156" s="140">
        <v>45341</v>
      </c>
      <c r="K2156" s="23" t="s">
        <v>11684</v>
      </c>
      <c r="L2156" s="140">
        <v>45345</v>
      </c>
      <c r="T2156" s="23" t="s">
        <v>305</v>
      </c>
      <c r="U2156" s="23" t="s">
        <v>305</v>
      </c>
      <c r="V2156" s="23" t="s">
        <v>299</v>
      </c>
      <c r="W2156" s="23" t="s">
        <v>11673</v>
      </c>
      <c r="Y2156" s="23">
        <v>15816</v>
      </c>
      <c r="Z2156" s="23">
        <v>140400</v>
      </c>
      <c r="AB2156" s="19" t="s">
        <v>11745</v>
      </c>
      <c r="AC2156" s="23">
        <v>12</v>
      </c>
      <c r="AD2156" s="23">
        <v>0</v>
      </c>
      <c r="AE2156" s="23">
        <v>4</v>
      </c>
      <c r="AF2156" s="23" t="s">
        <v>9622</v>
      </c>
      <c r="AG2156" s="23" t="s">
        <v>1553</v>
      </c>
      <c r="AH2156" s="39">
        <v>45346</v>
      </c>
      <c r="AI2156" s="53" t="s">
        <v>5851</v>
      </c>
      <c r="AJ2156" s="75" t="s">
        <v>11921</v>
      </c>
      <c r="AK2156" s="53">
        <v>45355</v>
      </c>
    </row>
    <row r="2157" spans="1:42">
      <c r="A2157" s="75" t="s">
        <v>11674</v>
      </c>
      <c r="B2157" s="23" t="s">
        <v>11675</v>
      </c>
      <c r="C2157" s="140">
        <v>45343</v>
      </c>
      <c r="D2157" s="23" t="s">
        <v>729</v>
      </c>
      <c r="E2157" s="23" t="s">
        <v>752</v>
      </c>
      <c r="F2157" s="23" t="s">
        <v>2200</v>
      </c>
      <c r="G2157" s="23" t="s">
        <v>301</v>
      </c>
      <c r="H2157" s="23">
        <v>20523915</v>
      </c>
      <c r="I2157" s="23">
        <v>20523915</v>
      </c>
      <c r="J2157" s="140">
        <v>45341</v>
      </c>
      <c r="K2157" s="23" t="s">
        <v>11685</v>
      </c>
      <c r="L2157" s="140">
        <v>45345</v>
      </c>
      <c r="T2157" s="23" t="s">
        <v>305</v>
      </c>
      <c r="U2157" s="23" t="s">
        <v>305</v>
      </c>
      <c r="V2157" s="23" t="s">
        <v>299</v>
      </c>
      <c r="W2157" s="23" t="s">
        <v>11673</v>
      </c>
      <c r="Y2157" s="23">
        <v>3954</v>
      </c>
      <c r="Z2157" s="23">
        <v>35100</v>
      </c>
      <c r="AB2157" s="59" t="s">
        <v>11676</v>
      </c>
      <c r="AC2157" s="23">
        <v>3</v>
      </c>
      <c r="AD2157" s="23">
        <v>0</v>
      </c>
      <c r="AE2157" s="23">
        <v>1</v>
      </c>
      <c r="AF2157" s="23" t="s">
        <v>9622</v>
      </c>
      <c r="AG2157" s="23" t="s">
        <v>1553</v>
      </c>
      <c r="AH2157" s="39">
        <v>45346</v>
      </c>
      <c r="AI2157" s="53" t="s">
        <v>5851</v>
      </c>
      <c r="AJ2157" s="75" t="s">
        <v>12730</v>
      </c>
      <c r="AK2157" s="53">
        <v>45355</v>
      </c>
    </row>
    <row r="2158" spans="1:42">
      <c r="A2158" s="75" t="s">
        <v>11688</v>
      </c>
      <c r="B2158" s="23">
        <v>235143677</v>
      </c>
      <c r="C2158" s="140">
        <v>45309</v>
      </c>
      <c r="D2158" s="23" t="s">
        <v>729</v>
      </c>
      <c r="E2158" s="23" t="s">
        <v>752</v>
      </c>
      <c r="F2158" s="23" t="s">
        <v>11612</v>
      </c>
      <c r="G2158" s="23" t="s">
        <v>11637</v>
      </c>
      <c r="H2158" s="23" t="s">
        <v>11702</v>
      </c>
      <c r="I2158" s="23" t="s">
        <v>11702</v>
      </c>
      <c r="J2158" s="140">
        <v>45306</v>
      </c>
      <c r="T2158" s="23" t="s">
        <v>12031</v>
      </c>
      <c r="U2158" s="23" t="s">
        <v>12031</v>
      </c>
      <c r="V2158" s="23" t="s">
        <v>299</v>
      </c>
      <c r="W2158" s="23" t="s">
        <v>11703</v>
      </c>
      <c r="AB2158" s="23" t="s">
        <v>11704</v>
      </c>
      <c r="AC2158" s="23">
        <v>1</v>
      </c>
      <c r="AD2158" s="23">
        <v>1</v>
      </c>
      <c r="AE2158" s="23">
        <v>0</v>
      </c>
      <c r="AF2158" s="23" t="s">
        <v>9622</v>
      </c>
      <c r="AG2158" s="23" t="s">
        <v>1553</v>
      </c>
      <c r="AH2158" s="39">
        <v>45355</v>
      </c>
      <c r="AI2158" s="53" t="s">
        <v>11634</v>
      </c>
      <c r="AJ2158" s="75" t="s">
        <v>12732</v>
      </c>
      <c r="AK2158" s="53">
        <v>45358</v>
      </c>
    </row>
    <row r="2159" spans="1:42">
      <c r="A2159" s="75" t="s">
        <v>11705</v>
      </c>
      <c r="B2159" s="23" t="s">
        <v>11706</v>
      </c>
      <c r="C2159" s="140">
        <v>45350</v>
      </c>
      <c r="D2159" s="23" t="s">
        <v>729</v>
      </c>
      <c r="E2159" s="23" t="s">
        <v>11711</v>
      </c>
      <c r="F2159" s="23" t="s">
        <v>11612</v>
      </c>
      <c r="G2159" s="23" t="s">
        <v>11637</v>
      </c>
      <c r="H2159" s="23" t="s">
        <v>11707</v>
      </c>
      <c r="I2159" s="23" t="s">
        <v>11707</v>
      </c>
      <c r="J2159" s="140">
        <v>45347</v>
      </c>
      <c r="T2159" s="23" t="s">
        <v>3684</v>
      </c>
      <c r="U2159" s="23" t="s">
        <v>3684</v>
      </c>
      <c r="V2159" s="23" t="s">
        <v>299</v>
      </c>
      <c r="W2159" s="23" t="s">
        <v>11708</v>
      </c>
      <c r="Y2159" s="23">
        <v>2500</v>
      </c>
      <c r="Z2159" s="23">
        <v>190000</v>
      </c>
      <c r="AC2159" s="23">
        <v>1</v>
      </c>
      <c r="AD2159" s="23">
        <v>0</v>
      </c>
      <c r="AE2159" s="23">
        <v>0</v>
      </c>
      <c r="AF2159" s="23" t="s">
        <v>97</v>
      </c>
      <c r="AG2159" s="23" t="s">
        <v>1553</v>
      </c>
      <c r="AH2159" s="39">
        <v>45350</v>
      </c>
      <c r="AI2159" s="53" t="s">
        <v>11634</v>
      </c>
      <c r="AJ2159" s="75" t="s">
        <v>12734</v>
      </c>
      <c r="AK2159" s="53">
        <v>45356</v>
      </c>
    </row>
    <row r="2160" spans="1:42">
      <c r="A2160" s="75" t="s">
        <v>11709</v>
      </c>
      <c r="B2160" s="23" t="s">
        <v>11710</v>
      </c>
      <c r="C2160" s="140">
        <v>45351</v>
      </c>
      <c r="D2160" s="23" t="s">
        <v>729</v>
      </c>
      <c r="E2160" s="23" t="s">
        <v>752</v>
      </c>
      <c r="F2160" s="23" t="s">
        <v>57</v>
      </c>
      <c r="G2160" s="23" t="s">
        <v>57</v>
      </c>
      <c r="H2160" s="23" t="s">
        <v>11713</v>
      </c>
      <c r="I2160" s="23" t="s">
        <v>11713</v>
      </c>
      <c r="J2160" s="140">
        <v>45349</v>
      </c>
      <c r="K2160" s="23" t="s">
        <v>12072</v>
      </c>
      <c r="L2160" s="140">
        <v>45419</v>
      </c>
      <c r="P2160" s="23" t="s">
        <v>11712</v>
      </c>
      <c r="S2160" s="23" t="s">
        <v>184</v>
      </c>
      <c r="T2160" s="23" t="s">
        <v>302</v>
      </c>
      <c r="U2160" s="23" t="s">
        <v>302</v>
      </c>
      <c r="V2160" s="23" t="s">
        <v>233</v>
      </c>
      <c r="W2160" s="23" t="s">
        <v>11714</v>
      </c>
      <c r="X2160" s="23">
        <v>11227.75</v>
      </c>
      <c r="Y2160" s="23">
        <v>11443.55</v>
      </c>
      <c r="Z2160" s="23">
        <v>17099.93</v>
      </c>
      <c r="AB2160" s="23" t="s">
        <v>11715</v>
      </c>
      <c r="AC2160" s="23" t="s">
        <v>11716</v>
      </c>
      <c r="AD2160" s="23">
        <v>1</v>
      </c>
      <c r="AE2160" s="23">
        <v>1</v>
      </c>
      <c r="AF2160" s="23" t="s">
        <v>9622</v>
      </c>
      <c r="AG2160" s="23" t="s">
        <v>787</v>
      </c>
      <c r="AH2160" s="39">
        <v>45356</v>
      </c>
    </row>
    <row r="2161" spans="1:37">
      <c r="A2161" s="75" t="s">
        <v>11717</v>
      </c>
      <c r="B2161" s="23" t="s">
        <v>11718</v>
      </c>
      <c r="C2161" s="140">
        <v>45351</v>
      </c>
      <c r="D2161" s="23" t="s">
        <v>729</v>
      </c>
      <c r="E2161" s="23" t="s">
        <v>752</v>
      </c>
      <c r="F2161" s="23" t="s">
        <v>2200</v>
      </c>
      <c r="G2161" s="23" t="s">
        <v>301</v>
      </c>
      <c r="H2161" s="23">
        <v>20525366</v>
      </c>
      <c r="I2161" s="23">
        <v>20525366</v>
      </c>
      <c r="J2161" s="140">
        <v>45349</v>
      </c>
      <c r="K2161" s="23" t="s">
        <v>11726</v>
      </c>
      <c r="L2161" s="140">
        <v>45349</v>
      </c>
      <c r="T2161" s="23" t="s">
        <v>12031</v>
      </c>
      <c r="U2161" s="23" t="s">
        <v>12031</v>
      </c>
      <c r="V2161" s="23" t="s">
        <v>299</v>
      </c>
      <c r="W2161" s="23" t="s">
        <v>11719</v>
      </c>
      <c r="Y2161" s="23">
        <v>1985</v>
      </c>
      <c r="Z2161" s="23">
        <v>50800</v>
      </c>
      <c r="AB2161" s="59" t="s">
        <v>11720</v>
      </c>
      <c r="AC2161" s="23">
        <v>1</v>
      </c>
      <c r="AD2161" s="23">
        <v>0</v>
      </c>
      <c r="AE2161" s="23">
        <v>1</v>
      </c>
      <c r="AF2161" s="23" t="s">
        <v>9622</v>
      </c>
      <c r="AG2161" s="23" t="s">
        <v>1553</v>
      </c>
      <c r="AH2161" s="39">
        <v>45356</v>
      </c>
      <c r="AI2161" s="53" t="s">
        <v>5851</v>
      </c>
      <c r="AJ2161" s="75" t="s">
        <v>12731</v>
      </c>
      <c r="AK2161" s="53">
        <v>45357</v>
      </c>
    </row>
    <row r="2162" spans="1:37">
      <c r="A2162" s="75" t="s">
        <v>11721</v>
      </c>
      <c r="B2162" s="23" t="s">
        <v>11744</v>
      </c>
      <c r="C2162" s="140">
        <v>45326</v>
      </c>
      <c r="D2162" s="23" t="s">
        <v>729</v>
      </c>
      <c r="E2162" s="23" t="s">
        <v>752</v>
      </c>
      <c r="F2162" s="23" t="s">
        <v>11612</v>
      </c>
      <c r="G2162" s="23" t="s">
        <v>11637</v>
      </c>
      <c r="H2162" s="23" t="s">
        <v>11722</v>
      </c>
      <c r="I2162" s="23" t="s">
        <v>11722</v>
      </c>
      <c r="J2162" s="140">
        <v>45321</v>
      </c>
      <c r="T2162" s="23" t="s">
        <v>12031</v>
      </c>
      <c r="U2162" s="23" t="s">
        <v>12031</v>
      </c>
      <c r="V2162" s="23" t="s">
        <v>299</v>
      </c>
      <c r="W2162" s="23" t="s">
        <v>11723</v>
      </c>
      <c r="Y2162" s="23">
        <v>2100</v>
      </c>
      <c r="Z2162" s="23">
        <v>100000</v>
      </c>
      <c r="AB2162" s="23" t="s">
        <v>11724</v>
      </c>
      <c r="AC2162" s="23">
        <v>2</v>
      </c>
      <c r="AD2162" s="23">
        <v>0</v>
      </c>
      <c r="AE2162" s="23">
        <v>1</v>
      </c>
      <c r="AF2162" s="23" t="s">
        <v>9622</v>
      </c>
      <c r="AG2162" s="23" t="s">
        <v>11616</v>
      </c>
      <c r="AH2162" s="39">
        <v>45357</v>
      </c>
      <c r="AI2162" s="53" t="s">
        <v>11634</v>
      </c>
      <c r="AJ2162" s="75" t="s">
        <v>12733</v>
      </c>
      <c r="AK2162" s="53">
        <v>45358</v>
      </c>
    </row>
    <row r="2163" spans="1:37">
      <c r="A2163" s="75" t="s">
        <v>11727</v>
      </c>
      <c r="B2163" s="23" t="s">
        <v>11728</v>
      </c>
      <c r="C2163" s="140">
        <v>45352</v>
      </c>
      <c r="D2163" s="23" t="s">
        <v>729</v>
      </c>
      <c r="E2163" s="23" t="s">
        <v>752</v>
      </c>
      <c r="F2163" s="23" t="s">
        <v>11597</v>
      </c>
      <c r="G2163" s="23" t="s">
        <v>11636</v>
      </c>
      <c r="H2163" s="23" t="s">
        <v>11730</v>
      </c>
      <c r="I2163" s="23" t="s">
        <v>11730</v>
      </c>
      <c r="J2163" s="140">
        <v>45350</v>
      </c>
      <c r="T2163" s="23" t="s">
        <v>12031</v>
      </c>
      <c r="U2163" s="23" t="s">
        <v>12031</v>
      </c>
      <c r="V2163" s="23" t="s">
        <v>299</v>
      </c>
      <c r="W2163" s="23" t="s">
        <v>11731</v>
      </c>
      <c r="Y2163" s="38">
        <v>3740</v>
      </c>
      <c r="Z2163" s="38">
        <v>41000</v>
      </c>
      <c r="AB2163" s="23" t="s">
        <v>11732</v>
      </c>
      <c r="AC2163" s="23">
        <v>2</v>
      </c>
      <c r="AD2163" s="23">
        <v>0</v>
      </c>
      <c r="AE2163" s="23">
        <v>1</v>
      </c>
      <c r="AF2163" s="23" t="s">
        <v>9622</v>
      </c>
      <c r="AG2163" s="23" t="s">
        <v>11599</v>
      </c>
      <c r="AH2163" s="39">
        <v>45358</v>
      </c>
      <c r="AI2163" s="53" t="s">
        <v>11609</v>
      </c>
      <c r="AJ2163" s="75" t="s">
        <v>12735</v>
      </c>
      <c r="AK2163" s="53">
        <v>45358</v>
      </c>
    </row>
    <row r="2164" spans="1:37" ht="112">
      <c r="A2164" s="75" t="s">
        <v>11733</v>
      </c>
      <c r="B2164" s="23" t="s">
        <v>11734</v>
      </c>
      <c r="C2164" s="140">
        <v>45357</v>
      </c>
      <c r="D2164" s="23" t="s">
        <v>729</v>
      </c>
      <c r="E2164" s="23" t="s">
        <v>752</v>
      </c>
      <c r="F2164" s="23" t="s">
        <v>6113</v>
      </c>
      <c r="G2164" s="23" t="s">
        <v>5538</v>
      </c>
      <c r="H2164" s="23" t="s">
        <v>11735</v>
      </c>
      <c r="I2164" s="23" t="s">
        <v>11735</v>
      </c>
      <c r="J2164" s="140">
        <v>45343</v>
      </c>
      <c r="T2164" s="23" t="s">
        <v>12031</v>
      </c>
      <c r="U2164" s="23" t="s">
        <v>12031</v>
      </c>
      <c r="V2164" s="23" t="s">
        <v>299</v>
      </c>
      <c r="W2164" s="23" t="s">
        <v>11736</v>
      </c>
      <c r="Y2164" s="23">
        <v>24920</v>
      </c>
      <c r="Z2164" s="23">
        <v>196000</v>
      </c>
      <c r="AB2164" s="19" t="s">
        <v>11737</v>
      </c>
      <c r="AC2164" s="23">
        <v>14</v>
      </c>
      <c r="AD2164" s="23">
        <v>0</v>
      </c>
      <c r="AE2164" s="23">
        <v>7</v>
      </c>
      <c r="AF2164" s="23" t="s">
        <v>9622</v>
      </c>
      <c r="AG2164" s="23" t="s">
        <v>11122</v>
      </c>
      <c r="AH2164" s="39">
        <v>45360</v>
      </c>
      <c r="AI2164" s="53" t="s">
        <v>9962</v>
      </c>
      <c r="AJ2164" s="75" t="s">
        <v>12736</v>
      </c>
      <c r="AK2164" s="53">
        <v>45363</v>
      </c>
    </row>
    <row r="2165" spans="1:37">
      <c r="A2165" s="75" t="s">
        <v>11738</v>
      </c>
      <c r="B2165" s="23" t="s">
        <v>11739</v>
      </c>
      <c r="C2165" s="140">
        <v>45310</v>
      </c>
      <c r="D2165" s="23" t="s">
        <v>729</v>
      </c>
      <c r="E2165" s="23" t="s">
        <v>752</v>
      </c>
      <c r="F2165" s="23" t="s">
        <v>11612</v>
      </c>
      <c r="G2165" s="23" t="s">
        <v>11637</v>
      </c>
      <c r="H2165" s="23" t="s">
        <v>11740</v>
      </c>
      <c r="I2165" s="23" t="s">
        <v>11740</v>
      </c>
      <c r="J2165" s="140">
        <v>45306</v>
      </c>
      <c r="T2165" s="23" t="s">
        <v>12031</v>
      </c>
      <c r="U2165" s="23" t="s">
        <v>12031</v>
      </c>
      <c r="V2165" s="23" t="s">
        <v>299</v>
      </c>
      <c r="W2165" s="23" t="s">
        <v>11741</v>
      </c>
      <c r="Y2165" s="23">
        <v>5279.8150000000005</v>
      </c>
      <c r="AB2165" s="23" t="s">
        <v>11742</v>
      </c>
      <c r="AC2165" s="23">
        <v>2</v>
      </c>
      <c r="AD2165" s="23">
        <v>0</v>
      </c>
      <c r="AE2165" s="23">
        <v>1</v>
      </c>
      <c r="AF2165" s="23" t="s">
        <v>9622</v>
      </c>
      <c r="AG2165" s="23" t="s">
        <v>11743</v>
      </c>
      <c r="AH2165" s="39">
        <v>45362</v>
      </c>
      <c r="AI2165" s="53" t="s">
        <v>11634</v>
      </c>
      <c r="AJ2165" s="75" t="s">
        <v>12737</v>
      </c>
      <c r="AK2165" s="53">
        <v>45363</v>
      </c>
    </row>
    <row r="2166" spans="1:37" ht="64">
      <c r="A2166" s="75" t="s">
        <v>11788</v>
      </c>
      <c r="B2166" s="23" t="s">
        <v>11887</v>
      </c>
      <c r="C2166" s="140">
        <v>45351</v>
      </c>
      <c r="D2166" s="23" t="s">
        <v>729</v>
      </c>
      <c r="E2166" s="23" t="s">
        <v>752</v>
      </c>
      <c r="F2166" s="23" t="s">
        <v>2200</v>
      </c>
      <c r="G2166" s="23" t="s">
        <v>301</v>
      </c>
      <c r="H2166" s="23" t="s">
        <v>11790</v>
      </c>
      <c r="I2166" s="23" t="s">
        <v>11790</v>
      </c>
      <c r="J2166" s="140" t="s">
        <v>11791</v>
      </c>
      <c r="K2166" s="19" t="s">
        <v>11792</v>
      </c>
      <c r="L2166" s="140">
        <v>45355</v>
      </c>
      <c r="P2166" s="23" t="s">
        <v>11943</v>
      </c>
      <c r="Q2166" s="140" t="s">
        <v>11944</v>
      </c>
      <c r="T2166" s="23" t="s">
        <v>305</v>
      </c>
      <c r="U2166" s="23" t="s">
        <v>305</v>
      </c>
      <c r="V2166" s="23" t="s">
        <v>298</v>
      </c>
      <c r="W2166" s="23" t="s">
        <v>3141</v>
      </c>
      <c r="Y2166" s="23">
        <v>13920</v>
      </c>
      <c r="Z2166" s="23">
        <v>108.6</v>
      </c>
      <c r="AB2166" s="60" t="s">
        <v>11793</v>
      </c>
      <c r="AC2166" s="23">
        <v>60</v>
      </c>
      <c r="AD2166" s="23">
        <v>0</v>
      </c>
      <c r="AE2166" s="23">
        <v>2</v>
      </c>
      <c r="AF2166" s="23" t="s">
        <v>9622</v>
      </c>
      <c r="AG2166" s="23" t="s">
        <v>11114</v>
      </c>
      <c r="AH2166" s="39">
        <v>45365</v>
      </c>
    </row>
    <row r="2167" spans="1:37">
      <c r="A2167" s="75" t="s">
        <v>11794</v>
      </c>
      <c r="B2167" s="23" t="s">
        <v>11795</v>
      </c>
      <c r="C2167" s="140">
        <v>45356</v>
      </c>
      <c r="D2167" s="23" t="s">
        <v>729</v>
      </c>
      <c r="E2167" s="23" t="s">
        <v>752</v>
      </c>
      <c r="F2167" s="23" t="s">
        <v>57</v>
      </c>
      <c r="G2167" s="23" t="s">
        <v>57</v>
      </c>
      <c r="H2167" s="23" t="s">
        <v>11796</v>
      </c>
      <c r="I2167" s="23" t="s">
        <v>11796</v>
      </c>
      <c r="J2167" s="140">
        <v>45355</v>
      </c>
      <c r="K2167" s="23" t="s">
        <v>11797</v>
      </c>
      <c r="L2167" s="140">
        <v>45359</v>
      </c>
      <c r="P2167" s="23" t="s">
        <v>11798</v>
      </c>
      <c r="S2167" s="23" t="s">
        <v>183</v>
      </c>
      <c r="T2167" s="23" t="s">
        <v>305</v>
      </c>
      <c r="U2167" s="23" t="s">
        <v>305</v>
      </c>
      <c r="V2167" s="23" t="s">
        <v>233</v>
      </c>
      <c r="W2167" s="23" t="s">
        <v>112</v>
      </c>
      <c r="X2167" s="23">
        <v>32822.699999999997</v>
      </c>
      <c r="Y2167" s="23">
        <v>33031.5</v>
      </c>
      <c r="Z2167" s="23">
        <v>29606.080000000002</v>
      </c>
      <c r="AB2167" s="23" t="s">
        <v>11799</v>
      </c>
      <c r="AC2167" s="23" t="s">
        <v>791</v>
      </c>
      <c r="AD2167" s="23">
        <v>0</v>
      </c>
      <c r="AE2167" s="23">
        <v>2</v>
      </c>
      <c r="AF2167" s="23" t="s">
        <v>9622</v>
      </c>
      <c r="AG2167" s="23" t="s">
        <v>792</v>
      </c>
      <c r="AH2167" s="39">
        <v>45364</v>
      </c>
    </row>
    <row r="2168" spans="1:37" ht="128">
      <c r="A2168" s="75" t="s">
        <v>11888</v>
      </c>
      <c r="B2168" s="23" t="s">
        <v>11889</v>
      </c>
      <c r="C2168" s="140">
        <v>45363</v>
      </c>
      <c r="D2168" s="23" t="s">
        <v>729</v>
      </c>
      <c r="E2168" s="23" t="s">
        <v>752</v>
      </c>
      <c r="F2168" s="23" t="s">
        <v>2200</v>
      </c>
      <c r="G2168" s="23" t="s">
        <v>301</v>
      </c>
      <c r="H2168" s="23" t="s">
        <v>11890</v>
      </c>
      <c r="I2168" s="23" t="s">
        <v>11890</v>
      </c>
      <c r="J2168" s="140">
        <v>45361</v>
      </c>
      <c r="K2168" s="23" t="s">
        <v>11910</v>
      </c>
      <c r="L2168" s="140">
        <v>45371</v>
      </c>
      <c r="T2168" s="23" t="s">
        <v>305</v>
      </c>
      <c r="U2168" s="23" t="s">
        <v>305</v>
      </c>
      <c r="V2168" s="23" t="s">
        <v>299</v>
      </c>
      <c r="W2168" s="23" t="s">
        <v>11891</v>
      </c>
      <c r="Y2168" s="23">
        <v>37200</v>
      </c>
      <c r="Z2168" s="23">
        <v>331200</v>
      </c>
      <c r="AB2168" s="19" t="s">
        <v>11974</v>
      </c>
      <c r="AC2168" s="23">
        <v>24</v>
      </c>
      <c r="AD2168" s="23">
        <v>0</v>
      </c>
      <c r="AE2168" s="23">
        <v>8</v>
      </c>
      <c r="AF2168" s="23" t="s">
        <v>9622</v>
      </c>
      <c r="AG2168" s="23" t="s">
        <v>659</v>
      </c>
      <c r="AH2168" s="39">
        <v>45369</v>
      </c>
      <c r="AI2168" s="53" t="s">
        <v>5851</v>
      </c>
    </row>
    <row r="2169" spans="1:37" ht="128">
      <c r="A2169" s="75" t="s">
        <v>11892</v>
      </c>
      <c r="B2169" s="23" t="s">
        <v>11893</v>
      </c>
      <c r="C2169" s="140">
        <v>45363</v>
      </c>
      <c r="D2169" s="23" t="s">
        <v>729</v>
      </c>
      <c r="E2169" s="23" t="s">
        <v>752</v>
      </c>
      <c r="F2169" s="23" t="s">
        <v>2200</v>
      </c>
      <c r="G2169" s="23" t="s">
        <v>301</v>
      </c>
      <c r="H2169" s="23">
        <v>20527620</v>
      </c>
      <c r="I2169" s="23">
        <v>20527620</v>
      </c>
      <c r="J2169" s="140">
        <v>45361</v>
      </c>
      <c r="K2169" s="23" t="s">
        <v>11911</v>
      </c>
      <c r="L2169" s="140">
        <v>45371</v>
      </c>
      <c r="T2169" s="23" t="s">
        <v>305</v>
      </c>
      <c r="U2169" s="23" t="s">
        <v>305</v>
      </c>
      <c r="V2169" s="23" t="s">
        <v>299</v>
      </c>
      <c r="W2169" s="23" t="s">
        <v>11415</v>
      </c>
      <c r="Y2169" s="23">
        <v>33088</v>
      </c>
      <c r="Z2169" s="23">
        <v>332800</v>
      </c>
      <c r="AB2169" s="19" t="s">
        <v>11975</v>
      </c>
      <c r="AC2169" s="23">
        <v>16</v>
      </c>
      <c r="AD2169" s="23">
        <v>0</v>
      </c>
      <c r="AE2169" s="23">
        <v>8</v>
      </c>
      <c r="AF2169" s="23" t="s">
        <v>9622</v>
      </c>
      <c r="AG2169" s="23" t="s">
        <v>659</v>
      </c>
      <c r="AH2169" s="39">
        <v>45369</v>
      </c>
      <c r="AI2169" s="53" t="s">
        <v>5851</v>
      </c>
    </row>
    <row r="2170" spans="1:37" ht="80">
      <c r="A2170" s="75" t="s">
        <v>11894</v>
      </c>
      <c r="B2170" s="23" t="s">
        <v>11895</v>
      </c>
      <c r="C2170" s="140">
        <v>45363</v>
      </c>
      <c r="D2170" s="23" t="s">
        <v>729</v>
      </c>
      <c r="E2170" s="23" t="s">
        <v>752</v>
      </c>
      <c r="F2170" s="23" t="s">
        <v>2200</v>
      </c>
      <c r="G2170" s="23" t="s">
        <v>301</v>
      </c>
      <c r="H2170" s="23" t="s">
        <v>11896</v>
      </c>
      <c r="I2170" s="23" t="s">
        <v>11896</v>
      </c>
      <c r="J2170" s="140">
        <v>45361</v>
      </c>
      <c r="K2170" s="23" t="s">
        <v>11912</v>
      </c>
      <c r="L2170" s="140">
        <v>45371</v>
      </c>
      <c r="T2170" s="23" t="s">
        <v>305</v>
      </c>
      <c r="U2170" s="23" t="s">
        <v>305</v>
      </c>
      <c r="V2170" s="23" t="s">
        <v>299</v>
      </c>
      <c r="W2170" s="23" t="s">
        <v>11608</v>
      </c>
      <c r="Y2170" s="23">
        <v>19770</v>
      </c>
      <c r="Z2170" s="23">
        <v>135000</v>
      </c>
      <c r="AB2170" s="19" t="s">
        <v>11976</v>
      </c>
      <c r="AC2170" s="23">
        <v>15</v>
      </c>
      <c r="AD2170" s="23">
        <v>0</v>
      </c>
      <c r="AE2170" s="23">
        <v>5</v>
      </c>
      <c r="AF2170" s="23" t="s">
        <v>9622</v>
      </c>
      <c r="AG2170" s="23" t="s">
        <v>659</v>
      </c>
      <c r="AH2170" s="39">
        <v>45369</v>
      </c>
      <c r="AI2170" s="53" t="s">
        <v>5851</v>
      </c>
    </row>
    <row r="2171" spans="1:37" ht="32">
      <c r="A2171" s="75" t="s">
        <v>11897</v>
      </c>
      <c r="B2171" s="23" t="s">
        <v>11898</v>
      </c>
      <c r="C2171" s="140">
        <v>45363</v>
      </c>
      <c r="D2171" s="23" t="s">
        <v>729</v>
      </c>
      <c r="E2171" s="23" t="s">
        <v>752</v>
      </c>
      <c r="F2171" s="23" t="s">
        <v>2200</v>
      </c>
      <c r="G2171" s="23" t="s">
        <v>301</v>
      </c>
      <c r="H2171" s="23">
        <v>20527619</v>
      </c>
      <c r="I2171" s="23">
        <v>20527619</v>
      </c>
      <c r="J2171" s="140">
        <v>45361</v>
      </c>
      <c r="K2171" s="23" t="s">
        <v>11913</v>
      </c>
      <c r="L2171" s="140">
        <v>45371</v>
      </c>
      <c r="T2171" s="23" t="s">
        <v>305</v>
      </c>
      <c r="U2171" s="23" t="s">
        <v>305</v>
      </c>
      <c r="V2171" s="23" t="s">
        <v>299</v>
      </c>
      <c r="W2171" s="23" t="s">
        <v>11259</v>
      </c>
      <c r="Y2171" s="23">
        <v>9234</v>
      </c>
      <c r="Z2171" s="23">
        <v>84600</v>
      </c>
      <c r="AB2171" s="19" t="s">
        <v>11973</v>
      </c>
      <c r="AC2171" s="23">
        <v>6</v>
      </c>
      <c r="AD2171" s="23">
        <v>0</v>
      </c>
      <c r="AE2171" s="23">
        <v>2</v>
      </c>
      <c r="AF2171" s="23" t="s">
        <v>9622</v>
      </c>
      <c r="AG2171" s="23" t="s">
        <v>659</v>
      </c>
      <c r="AH2171" s="39">
        <v>45369</v>
      </c>
      <c r="AI2171" s="53" t="s">
        <v>5851</v>
      </c>
    </row>
    <row r="2172" spans="1:37" ht="48">
      <c r="A2172" s="75" t="s">
        <v>11899</v>
      </c>
      <c r="B2172" s="23" t="s">
        <v>11900</v>
      </c>
      <c r="C2172" s="140">
        <v>45361</v>
      </c>
      <c r="D2172" s="23" t="s">
        <v>729</v>
      </c>
      <c r="E2172" s="23" t="s">
        <v>752</v>
      </c>
      <c r="F2172" s="23" t="s">
        <v>11612</v>
      </c>
      <c r="G2172" s="23" t="s">
        <v>11637</v>
      </c>
      <c r="H2172" s="23" t="s">
        <v>11901</v>
      </c>
      <c r="I2172" s="23" t="s">
        <v>11901</v>
      </c>
      <c r="J2172" s="140">
        <v>45357</v>
      </c>
      <c r="T2172" s="23" t="s">
        <v>12031</v>
      </c>
      <c r="U2172" s="23" t="s">
        <v>12031</v>
      </c>
      <c r="V2172" s="23" t="s">
        <v>299</v>
      </c>
      <c r="W2172" s="23" t="s">
        <v>11902</v>
      </c>
      <c r="Y2172" s="23">
        <v>17280</v>
      </c>
      <c r="Z2172" s="23">
        <v>420000</v>
      </c>
      <c r="AB2172" s="19" t="s">
        <v>11903</v>
      </c>
      <c r="AC2172" s="23">
        <v>6</v>
      </c>
      <c r="AD2172" s="23">
        <v>0</v>
      </c>
      <c r="AE2172" s="23">
        <v>3</v>
      </c>
      <c r="AF2172" s="23" t="s">
        <v>9622</v>
      </c>
      <c r="AG2172" s="23" t="s">
        <v>11904</v>
      </c>
      <c r="AH2172" s="39">
        <v>45369</v>
      </c>
      <c r="AI2172" s="53" t="s">
        <v>11634</v>
      </c>
    </row>
    <row r="2173" spans="1:37">
      <c r="A2173" s="75" t="s">
        <v>11905</v>
      </c>
      <c r="B2173" s="23" t="s">
        <v>11906</v>
      </c>
      <c r="C2173" s="140">
        <v>45361</v>
      </c>
      <c r="D2173" s="23" t="s">
        <v>729</v>
      </c>
      <c r="E2173" s="23" t="s">
        <v>752</v>
      </c>
      <c r="F2173" s="23" t="s">
        <v>11612</v>
      </c>
      <c r="G2173" s="23" t="s">
        <v>11637</v>
      </c>
      <c r="H2173" s="23" t="s">
        <v>11907</v>
      </c>
      <c r="I2173" s="23" t="s">
        <v>11907</v>
      </c>
      <c r="J2173" s="140">
        <v>45356</v>
      </c>
      <c r="T2173" s="23" t="s">
        <v>12031</v>
      </c>
      <c r="U2173" s="23" t="s">
        <v>12031</v>
      </c>
      <c r="V2173" s="23" t="s">
        <v>299</v>
      </c>
      <c r="W2173" s="23" t="s">
        <v>11902</v>
      </c>
      <c r="Y2173" s="23">
        <v>5760</v>
      </c>
      <c r="Z2173" s="23">
        <v>140000</v>
      </c>
      <c r="AB2173" s="23" t="s">
        <v>11908</v>
      </c>
      <c r="AC2173" s="23">
        <v>2</v>
      </c>
      <c r="AD2173" s="23">
        <v>0</v>
      </c>
      <c r="AE2173" s="23">
        <v>1</v>
      </c>
      <c r="AF2173" s="23" t="s">
        <v>9622</v>
      </c>
      <c r="AG2173" s="23" t="s">
        <v>11909</v>
      </c>
      <c r="AH2173" s="39">
        <v>45369</v>
      </c>
      <c r="AI2173" s="53" t="s">
        <v>11634</v>
      </c>
    </row>
    <row r="2174" spans="1:37" ht="16">
      <c r="A2174" s="75" t="s">
        <v>11914</v>
      </c>
      <c r="B2174" s="23" t="s">
        <v>11922</v>
      </c>
      <c r="C2174" s="140">
        <v>45376</v>
      </c>
      <c r="D2174" s="23" t="s">
        <v>729</v>
      </c>
      <c r="E2174" s="23" t="s">
        <v>2861</v>
      </c>
      <c r="F2174" s="23" t="s">
        <v>57</v>
      </c>
      <c r="G2174" s="23" t="s">
        <v>57</v>
      </c>
      <c r="H2174" s="23" t="s">
        <v>11923</v>
      </c>
      <c r="I2174" s="23" t="s">
        <v>11924</v>
      </c>
      <c r="J2174" s="140">
        <v>45376</v>
      </c>
      <c r="Q2174" s="141" t="s">
        <v>11925</v>
      </c>
      <c r="S2174" s="23" t="s">
        <v>183</v>
      </c>
      <c r="T2174" s="23" t="s">
        <v>11945</v>
      </c>
      <c r="U2174" s="23" t="s">
        <v>11945</v>
      </c>
      <c r="V2174" s="23" t="s">
        <v>233</v>
      </c>
      <c r="W2174" s="19" t="s">
        <v>11926</v>
      </c>
      <c r="X2174" s="23">
        <v>1910</v>
      </c>
      <c r="Y2174" s="23">
        <v>1900</v>
      </c>
      <c r="Z2174" s="23">
        <v>6400</v>
      </c>
      <c r="AB2174" s="23" t="s">
        <v>97</v>
      </c>
      <c r="AC2174" s="23" t="s">
        <v>11946</v>
      </c>
      <c r="AD2174" s="23">
        <v>0</v>
      </c>
      <c r="AE2174" s="23">
        <v>0</v>
      </c>
      <c r="AF2174" s="23" t="s">
        <v>97</v>
      </c>
      <c r="AG2174" s="23" t="s">
        <v>11927</v>
      </c>
      <c r="AH2174" s="39">
        <v>45376</v>
      </c>
    </row>
    <row r="2175" spans="1:37" ht="160">
      <c r="A2175" s="75" t="s">
        <v>11928</v>
      </c>
      <c r="B2175" s="23" t="s">
        <v>11929</v>
      </c>
      <c r="C2175" s="140">
        <v>45369</v>
      </c>
      <c r="D2175" s="23" t="s">
        <v>729</v>
      </c>
      <c r="E2175" s="23" t="s">
        <v>752</v>
      </c>
      <c r="F2175" s="23" t="s">
        <v>2200</v>
      </c>
      <c r="G2175" s="23" t="s">
        <v>301</v>
      </c>
      <c r="H2175" s="23">
        <v>20529912</v>
      </c>
      <c r="I2175" s="23">
        <v>20529912</v>
      </c>
      <c r="J2175" s="140">
        <v>45367</v>
      </c>
      <c r="K2175" s="23" t="s">
        <v>11930</v>
      </c>
      <c r="L2175" s="140">
        <v>45373</v>
      </c>
      <c r="T2175" s="23" t="s">
        <v>305</v>
      </c>
      <c r="U2175" s="23" t="s">
        <v>305</v>
      </c>
      <c r="V2175" s="23" t="s">
        <v>299</v>
      </c>
      <c r="W2175" s="23" t="s">
        <v>11608</v>
      </c>
      <c r="Y2175" s="23">
        <v>36904</v>
      </c>
      <c r="Z2175" s="23">
        <v>252000</v>
      </c>
      <c r="AB2175" s="19" t="s">
        <v>11931</v>
      </c>
      <c r="AC2175" s="23">
        <v>28</v>
      </c>
      <c r="AD2175" s="23">
        <v>1</v>
      </c>
      <c r="AE2175" s="23">
        <v>9</v>
      </c>
      <c r="AF2175" s="23" t="s">
        <v>97</v>
      </c>
      <c r="AG2175" s="23" t="s">
        <v>659</v>
      </c>
      <c r="AH2175" s="39">
        <v>45376</v>
      </c>
      <c r="AI2175" s="53" t="s">
        <v>5851</v>
      </c>
    </row>
    <row r="2176" spans="1:37">
      <c r="A2176" s="75" t="s">
        <v>11932</v>
      </c>
      <c r="B2176" s="23" t="s">
        <v>11933</v>
      </c>
      <c r="C2176" s="140">
        <v>45371</v>
      </c>
      <c r="D2176" s="23" t="s">
        <v>729</v>
      </c>
      <c r="E2176" s="23" t="s">
        <v>752</v>
      </c>
      <c r="F2176" s="23" t="s">
        <v>11612</v>
      </c>
      <c r="G2176" s="23" t="s">
        <v>11637</v>
      </c>
      <c r="H2176" s="23" t="s">
        <v>11934</v>
      </c>
      <c r="I2176" s="23" t="s">
        <v>11934</v>
      </c>
      <c r="J2176" s="140">
        <v>45361</v>
      </c>
      <c r="Q2176" s="140" t="s">
        <v>11935</v>
      </c>
      <c r="T2176" s="23" t="s">
        <v>12031</v>
      </c>
      <c r="U2176" s="23" t="s">
        <v>12031</v>
      </c>
      <c r="V2176" s="23" t="s">
        <v>299</v>
      </c>
      <c r="W2176" s="23" t="s">
        <v>11936</v>
      </c>
      <c r="Y2176" s="23">
        <v>5760</v>
      </c>
      <c r="Z2176" s="23">
        <v>140000</v>
      </c>
      <c r="AB2176" s="23" t="s">
        <v>11937</v>
      </c>
      <c r="AC2176" s="23">
        <v>2</v>
      </c>
      <c r="AD2176" s="23">
        <v>0</v>
      </c>
      <c r="AE2176" s="23">
        <v>1</v>
      </c>
      <c r="AF2176" s="23" t="s">
        <v>9622</v>
      </c>
      <c r="AG2176" s="23" t="s">
        <v>11942</v>
      </c>
      <c r="AH2176" s="39">
        <v>45377</v>
      </c>
      <c r="AI2176" s="53" t="s">
        <v>11634</v>
      </c>
    </row>
    <row r="2177" spans="1:37">
      <c r="A2177" s="75" t="s">
        <v>11938</v>
      </c>
      <c r="B2177" s="23" t="s">
        <v>11939</v>
      </c>
      <c r="C2177" s="140">
        <v>45371</v>
      </c>
      <c r="D2177" s="23" t="s">
        <v>729</v>
      </c>
      <c r="E2177" s="23" t="s">
        <v>752</v>
      </c>
      <c r="F2177" s="23" t="s">
        <v>11612</v>
      </c>
      <c r="G2177" s="23" t="s">
        <v>11637</v>
      </c>
      <c r="H2177" s="23" t="s">
        <v>11940</v>
      </c>
      <c r="I2177" s="23" t="s">
        <v>11940</v>
      </c>
      <c r="J2177" s="140">
        <v>45361</v>
      </c>
      <c r="Q2177" s="140" t="s">
        <v>11935</v>
      </c>
      <c r="T2177" s="23" t="s">
        <v>12031</v>
      </c>
      <c r="U2177" s="23" t="s">
        <v>12031</v>
      </c>
      <c r="V2177" s="23" t="s">
        <v>299</v>
      </c>
      <c r="W2177" s="23" t="s">
        <v>11936</v>
      </c>
      <c r="Y2177" s="23">
        <v>5760</v>
      </c>
      <c r="Z2177" s="23">
        <v>140000</v>
      </c>
      <c r="AB2177" s="23" t="s">
        <v>11941</v>
      </c>
      <c r="AC2177" s="23">
        <v>2</v>
      </c>
      <c r="AD2177" s="23">
        <v>0</v>
      </c>
      <c r="AE2177" s="23">
        <v>1</v>
      </c>
      <c r="AF2177" s="23" t="s">
        <v>9622</v>
      </c>
      <c r="AG2177" s="23" t="s">
        <v>11942</v>
      </c>
      <c r="AH2177" s="39">
        <v>45377</v>
      </c>
      <c r="AI2177" s="53" t="s">
        <v>11634</v>
      </c>
    </row>
    <row r="2178" spans="1:37">
      <c r="A2178" s="75" t="s">
        <v>11947</v>
      </c>
      <c r="B2178" s="23" t="s">
        <v>11949</v>
      </c>
      <c r="C2178" s="140">
        <v>45344</v>
      </c>
      <c r="D2178" s="23" t="s">
        <v>729</v>
      </c>
      <c r="E2178" s="23" t="s">
        <v>752</v>
      </c>
      <c r="F2178" s="23" t="s">
        <v>11612</v>
      </c>
      <c r="G2178" s="23" t="s">
        <v>11637</v>
      </c>
      <c r="H2178" s="23" t="s">
        <v>11950</v>
      </c>
      <c r="I2178" s="23" t="s">
        <v>11950</v>
      </c>
      <c r="J2178" s="140">
        <v>45342</v>
      </c>
      <c r="Q2178" s="140" t="s">
        <v>11951</v>
      </c>
      <c r="T2178" s="23" t="s">
        <v>12031</v>
      </c>
      <c r="U2178" s="23" t="s">
        <v>12031</v>
      </c>
      <c r="V2178" s="23" t="s">
        <v>299</v>
      </c>
      <c r="W2178" s="23" t="s">
        <v>11952</v>
      </c>
      <c r="Y2178" s="23">
        <v>2959</v>
      </c>
      <c r="Z2178" s="23">
        <v>127000</v>
      </c>
      <c r="AB2178" s="23" t="s">
        <v>11953</v>
      </c>
      <c r="AC2178" s="23">
        <v>1</v>
      </c>
      <c r="AD2178" s="23">
        <v>1</v>
      </c>
      <c r="AE2178" s="23">
        <v>0</v>
      </c>
      <c r="AF2178" s="23" t="s">
        <v>9622</v>
      </c>
      <c r="AG2178" s="23" t="s">
        <v>11954</v>
      </c>
      <c r="AH2178" s="39">
        <v>45379</v>
      </c>
      <c r="AI2178" s="53" t="s">
        <v>11634</v>
      </c>
    </row>
    <row r="2179" spans="1:37" ht="96">
      <c r="A2179" s="75" t="s">
        <v>11948</v>
      </c>
      <c r="B2179" s="23" t="s">
        <v>11955</v>
      </c>
      <c r="C2179" s="140">
        <v>45366</v>
      </c>
      <c r="D2179" s="23" t="s">
        <v>729</v>
      </c>
      <c r="E2179" s="23" t="s">
        <v>752</v>
      </c>
      <c r="F2179" s="23" t="s">
        <v>2200</v>
      </c>
      <c r="G2179" s="23" t="s">
        <v>301</v>
      </c>
      <c r="H2179" s="23" t="s">
        <v>11956</v>
      </c>
      <c r="I2179" s="23" t="s">
        <v>11956</v>
      </c>
      <c r="J2179" s="140">
        <v>45363</v>
      </c>
      <c r="P2179" s="23" t="s">
        <v>12002</v>
      </c>
      <c r="Q2179" s="140" t="s">
        <v>12003</v>
      </c>
      <c r="T2179" s="23" t="s">
        <v>305</v>
      </c>
      <c r="U2179" s="23" t="s">
        <v>305</v>
      </c>
      <c r="V2179" s="23" t="s">
        <v>298</v>
      </c>
      <c r="W2179" s="29" t="s">
        <v>12004</v>
      </c>
      <c r="Y2179" s="38">
        <v>5000</v>
      </c>
      <c r="Z2179" s="182">
        <v>319895</v>
      </c>
      <c r="AB2179" s="59" t="s">
        <v>11977</v>
      </c>
      <c r="AC2179" s="23" t="s">
        <v>11978</v>
      </c>
      <c r="AE2179" s="23">
        <v>1</v>
      </c>
      <c r="AF2179" s="23" t="s">
        <v>9622</v>
      </c>
      <c r="AG2179" s="23" t="s">
        <v>10861</v>
      </c>
      <c r="AH2179" s="39">
        <v>45380</v>
      </c>
    </row>
    <row r="2180" spans="1:37">
      <c r="A2180" s="75" t="s">
        <v>11957</v>
      </c>
      <c r="B2180" s="23" t="s">
        <v>11958</v>
      </c>
      <c r="C2180" s="140">
        <v>45374</v>
      </c>
      <c r="D2180" s="23" t="s">
        <v>729</v>
      </c>
      <c r="E2180" s="23" t="s">
        <v>752</v>
      </c>
      <c r="F2180" s="23" t="s">
        <v>2200</v>
      </c>
      <c r="G2180" s="23" t="s">
        <v>301</v>
      </c>
      <c r="H2180" s="23">
        <v>20530122</v>
      </c>
      <c r="I2180" s="23">
        <v>20530122</v>
      </c>
      <c r="J2180" s="140">
        <v>45372</v>
      </c>
      <c r="K2180" s="23" t="s">
        <v>11967</v>
      </c>
      <c r="L2180" s="140">
        <v>45379</v>
      </c>
      <c r="T2180" s="23" t="s">
        <v>12031</v>
      </c>
      <c r="U2180" s="23" t="s">
        <v>12031</v>
      </c>
      <c r="V2180" s="23" t="s">
        <v>299</v>
      </c>
      <c r="W2180" s="23" t="s">
        <v>11959</v>
      </c>
      <c r="Y2180" s="23">
        <v>4860</v>
      </c>
      <c r="Z2180" s="23">
        <v>61134</v>
      </c>
      <c r="AB2180" s="59" t="s">
        <v>11960</v>
      </c>
      <c r="AC2180" s="23">
        <v>3</v>
      </c>
      <c r="AD2180" s="23">
        <v>0</v>
      </c>
      <c r="AE2180" s="23">
        <v>1</v>
      </c>
      <c r="AF2180" s="23" t="s">
        <v>9622</v>
      </c>
      <c r="AG2180" s="23" t="s">
        <v>659</v>
      </c>
      <c r="AH2180" s="39">
        <v>45380</v>
      </c>
      <c r="AI2180" s="53" t="s">
        <v>5851</v>
      </c>
    </row>
    <row r="2181" spans="1:37" ht="48">
      <c r="A2181" s="75" t="s">
        <v>11961</v>
      </c>
      <c r="B2181" s="23" t="s">
        <v>11962</v>
      </c>
      <c r="C2181" s="140">
        <v>45377</v>
      </c>
      <c r="D2181" s="23" t="s">
        <v>729</v>
      </c>
      <c r="E2181" s="23" t="s">
        <v>752</v>
      </c>
      <c r="F2181" s="23" t="s">
        <v>6113</v>
      </c>
      <c r="G2181" s="23" t="s">
        <v>5538</v>
      </c>
      <c r="H2181" s="23" t="s">
        <v>11963</v>
      </c>
      <c r="I2181" s="23" t="s">
        <v>11963</v>
      </c>
      <c r="J2181" s="140">
        <v>45363</v>
      </c>
      <c r="T2181" s="23" t="s">
        <v>12031</v>
      </c>
      <c r="U2181" s="23" t="s">
        <v>12031</v>
      </c>
      <c r="V2181" s="23" t="s">
        <v>299</v>
      </c>
      <c r="W2181" s="23" t="s">
        <v>11964</v>
      </c>
      <c r="X2181" s="23">
        <v>10680</v>
      </c>
      <c r="Y2181" s="23">
        <v>10680</v>
      </c>
      <c r="AB2181" s="19" t="s">
        <v>12007</v>
      </c>
      <c r="AC2181" s="23">
        <v>6</v>
      </c>
      <c r="AD2181" s="23">
        <v>0</v>
      </c>
      <c r="AE2181" s="23">
        <v>3</v>
      </c>
      <c r="AF2181" s="23" t="s">
        <v>9622</v>
      </c>
      <c r="AG2181" s="23" t="s">
        <v>5388</v>
      </c>
      <c r="AH2181" s="39">
        <v>45380</v>
      </c>
      <c r="AI2181" s="53" t="s">
        <v>11965</v>
      </c>
    </row>
    <row r="2182" spans="1:37">
      <c r="A2182" s="75" t="s">
        <v>11968</v>
      </c>
      <c r="B2182" s="23" t="s">
        <v>11969</v>
      </c>
      <c r="C2182" s="140">
        <v>45380</v>
      </c>
      <c r="D2182" s="23" t="s">
        <v>729</v>
      </c>
      <c r="E2182" s="23" t="s">
        <v>752</v>
      </c>
      <c r="F2182" s="23" t="s">
        <v>11443</v>
      </c>
      <c r="G2182" s="23" t="s">
        <v>11314</v>
      </c>
      <c r="H2182" s="23" t="s">
        <v>11970</v>
      </c>
      <c r="I2182" s="23" t="s">
        <v>11970</v>
      </c>
      <c r="J2182" s="140">
        <v>45373</v>
      </c>
      <c r="T2182" s="23" t="s">
        <v>12031</v>
      </c>
      <c r="U2182" s="23" t="s">
        <v>12031</v>
      </c>
      <c r="V2182" s="23" t="s">
        <v>299</v>
      </c>
      <c r="W2182" s="23" t="s">
        <v>11971</v>
      </c>
      <c r="Y2182" s="23">
        <v>5800</v>
      </c>
      <c r="Z2182" s="23">
        <v>17400</v>
      </c>
      <c r="AB2182" s="23" t="s">
        <v>11972</v>
      </c>
      <c r="AC2182" s="23">
        <v>3</v>
      </c>
      <c r="AD2182" s="23">
        <v>0</v>
      </c>
      <c r="AE2182" s="23">
        <v>1</v>
      </c>
      <c r="AF2182" s="23" t="s">
        <v>9622</v>
      </c>
      <c r="AG2182" s="23" t="s">
        <v>11447</v>
      </c>
      <c r="AH2182" s="39">
        <v>45381</v>
      </c>
      <c r="AI2182" s="53" t="s">
        <v>11456</v>
      </c>
    </row>
    <row r="2183" spans="1:37">
      <c r="A2183" s="75" t="s">
        <v>11979</v>
      </c>
      <c r="B2183" s="23" t="s">
        <v>11980</v>
      </c>
      <c r="C2183" s="140">
        <v>45378</v>
      </c>
      <c r="D2183" s="23" t="s">
        <v>729</v>
      </c>
      <c r="E2183" s="23" t="s">
        <v>752</v>
      </c>
      <c r="F2183" s="23" t="s">
        <v>11006</v>
      </c>
      <c r="G2183" s="23" t="s">
        <v>5538</v>
      </c>
      <c r="H2183" s="23" t="s">
        <v>11981</v>
      </c>
      <c r="I2183" s="23" t="s">
        <v>11981</v>
      </c>
      <c r="J2183" s="140">
        <v>45371</v>
      </c>
      <c r="T2183" s="23" t="s">
        <v>12031</v>
      </c>
      <c r="U2183" s="23" t="s">
        <v>12031</v>
      </c>
      <c r="V2183" s="23" t="s">
        <v>299</v>
      </c>
      <c r="W2183" s="23" t="s">
        <v>11902</v>
      </c>
      <c r="Y2183" s="23">
        <v>5760</v>
      </c>
      <c r="Z2183" s="23">
        <v>134000</v>
      </c>
      <c r="AB2183" s="59" t="s">
        <v>11982</v>
      </c>
      <c r="AC2183" s="23">
        <v>2</v>
      </c>
      <c r="AD2183" s="23">
        <v>0</v>
      </c>
      <c r="AE2183" s="23">
        <v>1</v>
      </c>
      <c r="AF2183" s="23" t="s">
        <v>9622</v>
      </c>
      <c r="AG2183" s="23" t="s">
        <v>11983</v>
      </c>
      <c r="AH2183" s="39">
        <v>45385</v>
      </c>
      <c r="AI2183" s="53" t="s">
        <v>11984</v>
      </c>
    </row>
    <row r="2184" spans="1:37">
      <c r="A2184" s="75" t="s">
        <v>11986</v>
      </c>
      <c r="B2184" s="23" t="s">
        <v>11996</v>
      </c>
      <c r="C2184" s="140">
        <v>45388</v>
      </c>
      <c r="D2184" s="23" t="s">
        <v>729</v>
      </c>
      <c r="E2184" s="23" t="s">
        <v>752</v>
      </c>
      <c r="F2184" s="23" t="s">
        <v>57</v>
      </c>
      <c r="G2184" s="23" t="s">
        <v>57</v>
      </c>
      <c r="H2184" s="23" t="s">
        <v>12005</v>
      </c>
      <c r="I2184" s="23" t="s">
        <v>12005</v>
      </c>
      <c r="J2184" s="140">
        <v>45385</v>
      </c>
      <c r="K2184" s="23" t="s">
        <v>12047</v>
      </c>
      <c r="L2184" s="140">
        <v>45392</v>
      </c>
      <c r="S2184" s="23" t="s">
        <v>184</v>
      </c>
      <c r="T2184" s="23" t="s">
        <v>302</v>
      </c>
      <c r="U2184" s="23" t="s">
        <v>302</v>
      </c>
      <c r="V2184" s="23" t="s">
        <v>233</v>
      </c>
      <c r="W2184" s="23" t="s">
        <v>284</v>
      </c>
      <c r="X2184" s="23">
        <v>9040</v>
      </c>
      <c r="Y2184" s="37">
        <v>9128</v>
      </c>
      <c r="Z2184" s="23">
        <v>10173.620000000001</v>
      </c>
      <c r="AB2184" s="23" t="s">
        <v>12006</v>
      </c>
      <c r="AC2184" s="23" t="s">
        <v>11989</v>
      </c>
      <c r="AD2184" s="23">
        <v>0</v>
      </c>
      <c r="AE2184" s="23">
        <v>1</v>
      </c>
      <c r="AF2184" s="23" t="s">
        <v>9622</v>
      </c>
      <c r="AG2184" s="23" t="s">
        <v>787</v>
      </c>
    </row>
    <row r="2185" spans="1:37" ht="32">
      <c r="A2185" s="75" t="s">
        <v>11987</v>
      </c>
      <c r="B2185" s="23" t="s">
        <v>11992</v>
      </c>
      <c r="C2185" s="140">
        <v>45379</v>
      </c>
      <c r="D2185" s="23" t="s">
        <v>729</v>
      </c>
      <c r="E2185" s="23" t="s">
        <v>3773</v>
      </c>
      <c r="F2185" s="23" t="s">
        <v>10928</v>
      </c>
      <c r="G2185" s="23" t="s">
        <v>3469</v>
      </c>
      <c r="H2185" s="23" t="s">
        <v>11990</v>
      </c>
      <c r="I2185" s="23" t="s">
        <v>11990</v>
      </c>
      <c r="J2185" s="140">
        <v>45385</v>
      </c>
      <c r="P2185" s="23" t="s">
        <v>11997</v>
      </c>
      <c r="Q2185" s="140" t="s">
        <v>11998</v>
      </c>
      <c r="T2185" s="23" t="s">
        <v>12031</v>
      </c>
      <c r="U2185" s="23" t="s">
        <v>12031</v>
      </c>
      <c r="V2185" s="23" t="s">
        <v>298</v>
      </c>
      <c r="W2185" s="19" t="s">
        <v>11995</v>
      </c>
      <c r="Y2185" s="23">
        <v>175450</v>
      </c>
      <c r="Z2185" s="23">
        <v>323000</v>
      </c>
      <c r="AB2185" s="23" t="s">
        <v>97</v>
      </c>
      <c r="AC2185" s="23">
        <v>12</v>
      </c>
      <c r="AD2185" s="23">
        <v>0</v>
      </c>
      <c r="AE2185" s="23">
        <v>0</v>
      </c>
      <c r="AF2185" s="23" t="s">
        <v>97</v>
      </c>
      <c r="AG2185" s="23" t="s">
        <v>11512</v>
      </c>
      <c r="AH2185" s="39">
        <v>45386</v>
      </c>
    </row>
    <row r="2186" spans="1:37">
      <c r="A2186" s="75" t="s">
        <v>11988</v>
      </c>
      <c r="B2186" s="23" t="s">
        <v>11993</v>
      </c>
      <c r="C2186" s="140">
        <v>45379</v>
      </c>
      <c r="D2186" s="23" t="s">
        <v>729</v>
      </c>
      <c r="E2186" s="23" t="s">
        <v>3773</v>
      </c>
      <c r="F2186" s="23" t="s">
        <v>10928</v>
      </c>
      <c r="G2186" s="23" t="s">
        <v>3469</v>
      </c>
      <c r="H2186" s="23" t="s">
        <v>11991</v>
      </c>
      <c r="I2186" s="23" t="s">
        <v>11991</v>
      </c>
      <c r="J2186" s="140">
        <v>45379</v>
      </c>
      <c r="T2186" s="23" t="s">
        <v>12031</v>
      </c>
      <c r="U2186" s="23" t="s">
        <v>12031</v>
      </c>
      <c r="V2186" s="23" t="s">
        <v>299</v>
      </c>
      <c r="W2186" s="23" t="s">
        <v>11994</v>
      </c>
      <c r="Y2186" s="23">
        <v>281250</v>
      </c>
      <c r="Z2186" s="23">
        <v>491400</v>
      </c>
      <c r="AB2186" s="23" t="s">
        <v>97</v>
      </c>
      <c r="AC2186" s="23">
        <v>18</v>
      </c>
      <c r="AD2186" s="23">
        <v>0</v>
      </c>
      <c r="AE2186" s="23">
        <v>0</v>
      </c>
      <c r="AF2186" s="23" t="s">
        <v>97</v>
      </c>
      <c r="AG2186" s="23" t="s">
        <v>11512</v>
      </c>
      <c r="AH2186" s="39">
        <v>45386</v>
      </c>
      <c r="AI2186" s="53" t="s">
        <v>5706</v>
      </c>
      <c r="AJ2186" s="75" t="s">
        <v>12668</v>
      </c>
      <c r="AK2186" s="53">
        <v>45391</v>
      </c>
    </row>
    <row r="2187" spans="1:37" ht="208">
      <c r="A2187" s="75" t="s">
        <v>11999</v>
      </c>
      <c r="B2187" s="23" t="s">
        <v>12000</v>
      </c>
      <c r="C2187" s="140">
        <v>45387</v>
      </c>
      <c r="D2187" s="23" t="s">
        <v>729</v>
      </c>
      <c r="E2187" s="23" t="s">
        <v>3773</v>
      </c>
      <c r="F2187" s="23" t="s">
        <v>2200</v>
      </c>
      <c r="G2187" s="23" t="s">
        <v>301</v>
      </c>
      <c r="H2187" s="23" t="s">
        <v>12001</v>
      </c>
      <c r="I2187" s="23" t="s">
        <v>12001</v>
      </c>
      <c r="J2187" s="140">
        <v>45383</v>
      </c>
      <c r="K2187" s="23" t="s">
        <v>12008</v>
      </c>
      <c r="L2187" s="140">
        <v>45389</v>
      </c>
      <c r="T2187" s="23" t="s">
        <v>12031</v>
      </c>
      <c r="U2187" s="23" t="s">
        <v>12031</v>
      </c>
      <c r="V2187" s="23" t="s">
        <v>299</v>
      </c>
      <c r="W2187" s="23" t="s">
        <v>11608</v>
      </c>
      <c r="X2187" s="23">
        <v>50084</v>
      </c>
      <c r="Y2187" s="23">
        <v>50084</v>
      </c>
      <c r="Z2187" s="23">
        <v>342000</v>
      </c>
      <c r="AB2187" s="19" t="s">
        <v>12058</v>
      </c>
      <c r="AC2187" s="23">
        <v>38</v>
      </c>
      <c r="AD2187" s="23">
        <v>0</v>
      </c>
      <c r="AE2187" s="23">
        <v>13</v>
      </c>
      <c r="AF2187" s="23" t="s">
        <v>9622</v>
      </c>
      <c r="AG2187" s="23" t="s">
        <v>659</v>
      </c>
      <c r="AH2187" s="39">
        <v>45390</v>
      </c>
      <c r="AI2187" s="53" t="s">
        <v>5851</v>
      </c>
    </row>
    <row r="2188" spans="1:37" ht="80">
      <c r="A2188" s="75" t="s">
        <v>12009</v>
      </c>
      <c r="B2188" s="23" t="s">
        <v>12012</v>
      </c>
      <c r="C2188" s="140">
        <v>45386</v>
      </c>
      <c r="D2188" s="23" t="s">
        <v>729</v>
      </c>
      <c r="E2188" s="23" t="s">
        <v>3773</v>
      </c>
      <c r="F2188" s="23" t="s">
        <v>2200</v>
      </c>
      <c r="G2188" s="23" t="s">
        <v>301</v>
      </c>
      <c r="H2188" s="23" t="s">
        <v>12013</v>
      </c>
      <c r="I2188" s="23" t="s">
        <v>12013</v>
      </c>
      <c r="J2188" s="140">
        <v>45383</v>
      </c>
      <c r="K2188" s="23" t="s">
        <v>12033</v>
      </c>
      <c r="L2188" s="140">
        <v>45392</v>
      </c>
      <c r="T2188" s="23" t="s">
        <v>305</v>
      </c>
      <c r="U2188" s="23" t="s">
        <v>305</v>
      </c>
      <c r="V2188" s="23" t="s">
        <v>299</v>
      </c>
      <c r="W2188" s="23" t="s">
        <v>11673</v>
      </c>
      <c r="Y2188" s="23">
        <v>14498</v>
      </c>
      <c r="Z2188" s="23">
        <v>128700</v>
      </c>
      <c r="AB2188" s="19" t="s">
        <v>12055</v>
      </c>
      <c r="AC2188" s="23">
        <v>11</v>
      </c>
      <c r="AD2188" s="23">
        <v>1</v>
      </c>
      <c r="AE2188" s="23">
        <v>4</v>
      </c>
      <c r="AF2188" s="23" t="s">
        <v>9622</v>
      </c>
      <c r="AG2188" s="23" t="s">
        <v>659</v>
      </c>
      <c r="AH2188" s="39">
        <v>45392</v>
      </c>
      <c r="AI2188" s="53" t="s">
        <v>5851</v>
      </c>
    </row>
    <row r="2189" spans="1:37" ht="96">
      <c r="A2189" s="75" t="s">
        <v>12010</v>
      </c>
      <c r="B2189" s="23" t="s">
        <v>12014</v>
      </c>
      <c r="C2189" s="140">
        <v>45386</v>
      </c>
      <c r="D2189" s="23" t="s">
        <v>729</v>
      </c>
      <c r="E2189" s="23" t="s">
        <v>3773</v>
      </c>
      <c r="F2189" s="23" t="s">
        <v>2200</v>
      </c>
      <c r="G2189" s="23" t="s">
        <v>301</v>
      </c>
      <c r="H2189" s="23">
        <v>20531800</v>
      </c>
      <c r="I2189" s="23">
        <v>20531800</v>
      </c>
      <c r="J2189" s="140">
        <v>45385</v>
      </c>
      <c r="K2189" s="23" t="s">
        <v>12034</v>
      </c>
      <c r="L2189" s="140">
        <v>45392</v>
      </c>
      <c r="T2189" s="23" t="s">
        <v>305</v>
      </c>
      <c r="U2189" s="23" t="s">
        <v>305</v>
      </c>
      <c r="V2189" s="23" t="s">
        <v>299</v>
      </c>
      <c r="W2189" s="23" t="s">
        <v>11608</v>
      </c>
      <c r="Y2189" s="23">
        <v>23724</v>
      </c>
      <c r="Z2189" s="23">
        <v>162000</v>
      </c>
      <c r="AB2189" s="19" t="s">
        <v>12053</v>
      </c>
      <c r="AC2189" s="23">
        <v>18</v>
      </c>
      <c r="AD2189" s="23">
        <v>0</v>
      </c>
      <c r="AE2189" s="23">
        <v>6</v>
      </c>
      <c r="AF2189" s="23" t="s">
        <v>9622</v>
      </c>
      <c r="AG2189" s="23" t="s">
        <v>659</v>
      </c>
      <c r="AH2189" s="39">
        <v>45392</v>
      </c>
      <c r="AI2189" s="53" t="s">
        <v>5851</v>
      </c>
    </row>
    <row r="2190" spans="1:37" ht="176">
      <c r="A2190" s="75" t="s">
        <v>12011</v>
      </c>
      <c r="B2190" s="23" t="s">
        <v>12015</v>
      </c>
      <c r="C2190" s="140">
        <v>45386</v>
      </c>
      <c r="D2190" s="23" t="s">
        <v>729</v>
      </c>
      <c r="E2190" s="23" t="s">
        <v>3773</v>
      </c>
      <c r="F2190" s="23" t="s">
        <v>2200</v>
      </c>
      <c r="G2190" s="23" t="s">
        <v>301</v>
      </c>
      <c r="H2190" s="23" t="s">
        <v>12016</v>
      </c>
      <c r="I2190" s="23" t="s">
        <v>12016</v>
      </c>
      <c r="J2190" s="140">
        <v>45383</v>
      </c>
      <c r="K2190" s="23" t="s">
        <v>12025</v>
      </c>
      <c r="L2190" s="140">
        <v>45392</v>
      </c>
      <c r="T2190" s="23" t="s">
        <v>305</v>
      </c>
      <c r="U2190" s="23" t="s">
        <v>305</v>
      </c>
      <c r="V2190" s="23" t="s">
        <v>299</v>
      </c>
      <c r="W2190" s="23" t="s">
        <v>11259</v>
      </c>
      <c r="Y2190" s="23">
        <v>50787</v>
      </c>
      <c r="Z2190" s="23">
        <v>465300</v>
      </c>
      <c r="AB2190" s="19" t="s">
        <v>12057</v>
      </c>
      <c r="AC2190" s="23">
        <v>33</v>
      </c>
      <c r="AD2190" s="23">
        <v>0</v>
      </c>
      <c r="AE2190" s="23">
        <v>11</v>
      </c>
      <c r="AF2190" s="23" t="s">
        <v>9622</v>
      </c>
      <c r="AG2190" s="23" t="s">
        <v>659</v>
      </c>
      <c r="AH2190" s="39">
        <v>45392</v>
      </c>
      <c r="AI2190" s="53" t="s">
        <v>5851</v>
      </c>
    </row>
    <row r="2191" spans="1:37">
      <c r="A2191" s="75" t="s">
        <v>12017</v>
      </c>
      <c r="B2191" s="23" t="s">
        <v>12018</v>
      </c>
      <c r="C2191" s="140">
        <v>45391</v>
      </c>
      <c r="D2191" s="23" t="s">
        <v>729</v>
      </c>
      <c r="E2191" s="23" t="s">
        <v>3773</v>
      </c>
      <c r="F2191" s="23" t="s">
        <v>57</v>
      </c>
      <c r="G2191" s="23" t="s">
        <v>57</v>
      </c>
      <c r="H2191" s="23" t="s">
        <v>12019</v>
      </c>
      <c r="I2191" s="23" t="s">
        <v>12019</v>
      </c>
      <c r="J2191" s="140">
        <v>45386</v>
      </c>
      <c r="K2191" s="23" t="s">
        <v>12020</v>
      </c>
      <c r="L2191" s="140">
        <v>45394</v>
      </c>
      <c r="P2191" s="23" t="s">
        <v>12021</v>
      </c>
      <c r="Q2191" s="140" t="s">
        <v>12022</v>
      </c>
      <c r="S2191" s="23" t="s">
        <v>183</v>
      </c>
      <c r="T2191" s="23" t="s">
        <v>305</v>
      </c>
      <c r="U2191" s="23" t="s">
        <v>305</v>
      </c>
      <c r="V2191" s="23" t="s">
        <v>233</v>
      </c>
      <c r="W2191" s="23" t="s">
        <v>68</v>
      </c>
      <c r="X2191" s="23">
        <v>13903.6</v>
      </c>
      <c r="Y2191" s="23">
        <v>14010.1</v>
      </c>
      <c r="Z2191" s="23">
        <v>14011.75</v>
      </c>
      <c r="AB2191" s="23" t="s">
        <v>12023</v>
      </c>
      <c r="AC2191" s="23" t="s">
        <v>12024</v>
      </c>
      <c r="AD2191" s="23">
        <v>0</v>
      </c>
      <c r="AE2191" s="23">
        <v>1</v>
      </c>
      <c r="AF2191" s="23" t="s">
        <v>9622</v>
      </c>
      <c r="AG2191" s="23" t="s">
        <v>792</v>
      </c>
      <c r="AH2191" s="39">
        <v>45399</v>
      </c>
    </row>
    <row r="2192" spans="1:37">
      <c r="A2192" s="75" t="s">
        <v>12026</v>
      </c>
      <c r="B2192" s="23" t="s">
        <v>12027</v>
      </c>
      <c r="C2192" s="140">
        <v>45391</v>
      </c>
      <c r="D2192" s="23" t="s">
        <v>729</v>
      </c>
      <c r="E2192" s="23" t="s">
        <v>3773</v>
      </c>
      <c r="F2192" s="23" t="s">
        <v>11006</v>
      </c>
      <c r="G2192" s="23" t="s">
        <v>5538</v>
      </c>
      <c r="H2192" s="23" t="s">
        <v>12028</v>
      </c>
      <c r="I2192" s="23" t="s">
        <v>12028</v>
      </c>
      <c r="J2192" s="140">
        <v>45386</v>
      </c>
      <c r="T2192" s="23" t="s">
        <v>12031</v>
      </c>
      <c r="U2192" s="23" t="s">
        <v>12031</v>
      </c>
      <c r="V2192" s="23" t="s">
        <v>299</v>
      </c>
      <c r="W2192" s="23" t="s">
        <v>12029</v>
      </c>
      <c r="Y2192" s="23">
        <v>5740</v>
      </c>
      <c r="Z2192" s="23">
        <v>150000</v>
      </c>
      <c r="AB2192" s="59" t="s">
        <v>12030</v>
      </c>
      <c r="AC2192" s="23">
        <v>2</v>
      </c>
      <c r="AD2192" s="23">
        <v>0</v>
      </c>
      <c r="AE2192" s="23">
        <v>1</v>
      </c>
      <c r="AF2192" s="23" t="s">
        <v>9622</v>
      </c>
      <c r="AG2192" s="23" t="s">
        <v>11983</v>
      </c>
      <c r="AH2192" s="39">
        <v>45399</v>
      </c>
      <c r="AI2192" s="53" t="s">
        <v>11984</v>
      </c>
    </row>
    <row r="2193" spans="1:35">
      <c r="A2193" s="75" t="s">
        <v>12035</v>
      </c>
      <c r="B2193" s="23">
        <v>237063151</v>
      </c>
      <c r="C2193" s="140">
        <v>45368</v>
      </c>
      <c r="D2193" s="23" t="s">
        <v>729</v>
      </c>
      <c r="E2193" s="23" t="s">
        <v>752</v>
      </c>
      <c r="F2193" s="23" t="s">
        <v>11612</v>
      </c>
      <c r="G2193" s="23" t="s">
        <v>11637</v>
      </c>
      <c r="H2193" s="23" t="s">
        <v>12036</v>
      </c>
      <c r="I2193" s="23" t="s">
        <v>12036</v>
      </c>
      <c r="J2193" s="140">
        <v>45361</v>
      </c>
      <c r="T2193" s="23" t="s">
        <v>12031</v>
      </c>
      <c r="U2193" s="23" t="s">
        <v>12031</v>
      </c>
      <c r="V2193" s="23" t="s">
        <v>299</v>
      </c>
      <c r="W2193" s="23" t="s">
        <v>12037</v>
      </c>
      <c r="Y2193" s="23">
        <v>4400</v>
      </c>
      <c r="Z2193" s="23">
        <v>194000</v>
      </c>
      <c r="AB2193" s="23" t="s">
        <v>12038</v>
      </c>
      <c r="AC2193" s="23">
        <v>2</v>
      </c>
      <c r="AD2193" s="23">
        <v>0</v>
      </c>
      <c r="AE2193" s="23">
        <v>1</v>
      </c>
      <c r="AF2193" s="23" t="s">
        <v>9622</v>
      </c>
      <c r="AG2193" s="23" t="s">
        <v>3533</v>
      </c>
      <c r="AH2193" s="39">
        <v>45400</v>
      </c>
      <c r="AI2193" s="53" t="s">
        <v>11634</v>
      </c>
    </row>
    <row r="2194" spans="1:35" ht="176">
      <c r="A2194" s="75" t="s">
        <v>12039</v>
      </c>
      <c r="B2194" s="23" t="s">
        <v>12040</v>
      </c>
      <c r="C2194" s="140">
        <v>45392</v>
      </c>
      <c r="D2194" s="23" t="s">
        <v>729</v>
      </c>
      <c r="E2194" s="23" t="s">
        <v>752</v>
      </c>
      <c r="F2194" s="23" t="s">
        <v>2200</v>
      </c>
      <c r="G2194" s="23" t="s">
        <v>301</v>
      </c>
      <c r="H2194" s="23">
        <v>20534013</v>
      </c>
      <c r="I2194" s="23">
        <v>20534013</v>
      </c>
      <c r="J2194" s="140">
        <v>45390</v>
      </c>
      <c r="K2194" s="23" t="s">
        <v>12041</v>
      </c>
      <c r="L2194" s="140">
        <v>45399</v>
      </c>
      <c r="T2194" s="23" t="s">
        <v>305</v>
      </c>
      <c r="U2194" s="23" t="s">
        <v>305</v>
      </c>
      <c r="V2194" s="23" t="s">
        <v>299</v>
      </c>
      <c r="W2194" s="23" t="s">
        <v>11259</v>
      </c>
      <c r="Y2194" s="23">
        <v>50787</v>
      </c>
      <c r="Z2194" s="23">
        <v>465300</v>
      </c>
      <c r="AB2194" s="19" t="s">
        <v>12056</v>
      </c>
      <c r="AC2194" s="23">
        <v>33</v>
      </c>
      <c r="AD2194" s="23">
        <v>0</v>
      </c>
      <c r="AE2194" s="23">
        <v>11</v>
      </c>
      <c r="AF2194" s="23" t="s">
        <v>9622</v>
      </c>
      <c r="AG2194" s="23" t="s">
        <v>659</v>
      </c>
      <c r="AH2194" s="39">
        <v>45401</v>
      </c>
      <c r="AI2194" s="53" t="s">
        <v>5851</v>
      </c>
    </row>
    <row r="2195" spans="1:35" ht="48">
      <c r="A2195" s="75" t="s">
        <v>12042</v>
      </c>
      <c r="B2195" s="23" t="s">
        <v>12043</v>
      </c>
      <c r="C2195" s="140">
        <v>45392</v>
      </c>
      <c r="D2195" s="23" t="s">
        <v>729</v>
      </c>
      <c r="E2195" s="23" t="s">
        <v>752</v>
      </c>
      <c r="F2195" s="23" t="s">
        <v>2200</v>
      </c>
      <c r="G2195" s="23" t="s">
        <v>301</v>
      </c>
      <c r="H2195" s="23">
        <v>20535903</v>
      </c>
      <c r="I2195" s="23">
        <v>20535903</v>
      </c>
      <c r="J2195" s="140">
        <v>45389</v>
      </c>
      <c r="P2195" s="23" t="s">
        <v>12046</v>
      </c>
      <c r="Q2195" s="140" t="s">
        <v>12045</v>
      </c>
      <c r="T2195" s="23" t="s">
        <v>305</v>
      </c>
      <c r="U2195" s="23" t="s">
        <v>305</v>
      </c>
      <c r="V2195" s="23" t="s">
        <v>298</v>
      </c>
      <c r="W2195" s="23" t="s">
        <v>9094</v>
      </c>
      <c r="Y2195" s="23">
        <v>10200</v>
      </c>
      <c r="Z2195" s="23">
        <v>110500</v>
      </c>
      <c r="AB2195" s="19" t="s">
        <v>12054</v>
      </c>
      <c r="AC2195" s="23">
        <v>5</v>
      </c>
      <c r="AD2195" s="23">
        <v>1</v>
      </c>
      <c r="AE2195" s="23">
        <v>2</v>
      </c>
      <c r="AF2195" s="23" t="s">
        <v>9622</v>
      </c>
      <c r="AG2195" s="23" t="s">
        <v>659</v>
      </c>
      <c r="AH2195" s="39">
        <v>45401</v>
      </c>
    </row>
    <row r="2196" spans="1:35" ht="224">
      <c r="A2196" s="75" t="s">
        <v>12048</v>
      </c>
      <c r="B2196" s="23" t="s">
        <v>12049</v>
      </c>
      <c r="C2196" s="140">
        <v>45406</v>
      </c>
      <c r="D2196" s="23" t="s">
        <v>729</v>
      </c>
      <c r="E2196" s="23" t="s">
        <v>752</v>
      </c>
      <c r="F2196" s="23" t="s">
        <v>2200</v>
      </c>
      <c r="G2196" s="23" t="s">
        <v>301</v>
      </c>
      <c r="H2196" s="23">
        <v>20535271</v>
      </c>
      <c r="I2196" s="23">
        <v>20535271</v>
      </c>
      <c r="J2196" s="140">
        <v>45401</v>
      </c>
      <c r="K2196" s="23" t="s">
        <v>12059</v>
      </c>
      <c r="L2196" s="140">
        <v>45410</v>
      </c>
      <c r="T2196" s="23" t="s">
        <v>305</v>
      </c>
      <c r="U2196" s="23" t="s">
        <v>305</v>
      </c>
      <c r="V2196" s="23" t="s">
        <v>299</v>
      </c>
      <c r="W2196" s="23" t="s">
        <v>11608</v>
      </c>
      <c r="Y2196" s="23">
        <v>55356</v>
      </c>
      <c r="Z2196" s="23">
        <v>378000</v>
      </c>
      <c r="AB2196" s="19" t="s">
        <v>12121</v>
      </c>
      <c r="AC2196" s="23">
        <v>42</v>
      </c>
      <c r="AD2196" s="23">
        <v>0</v>
      </c>
      <c r="AE2196" s="23">
        <v>14</v>
      </c>
      <c r="AF2196" s="23" t="s">
        <v>9622</v>
      </c>
      <c r="AG2196" s="23" t="s">
        <v>659</v>
      </c>
      <c r="AH2196" s="39">
        <v>45408</v>
      </c>
      <c r="AI2196" s="53" t="s">
        <v>5851</v>
      </c>
    </row>
    <row r="2197" spans="1:35" ht="96">
      <c r="A2197" s="75" t="s">
        <v>12050</v>
      </c>
      <c r="B2197" s="23" t="s">
        <v>12051</v>
      </c>
      <c r="C2197" s="140">
        <v>45406</v>
      </c>
      <c r="D2197" s="23" t="s">
        <v>729</v>
      </c>
      <c r="E2197" s="23" t="s">
        <v>752</v>
      </c>
      <c r="F2197" s="23" t="s">
        <v>2200</v>
      </c>
      <c r="G2197" s="23" t="s">
        <v>301</v>
      </c>
      <c r="H2197" s="23" t="s">
        <v>12052</v>
      </c>
      <c r="I2197" s="23" t="s">
        <v>12052</v>
      </c>
      <c r="J2197" s="140">
        <v>45401</v>
      </c>
      <c r="K2197" s="23" t="s">
        <v>12060</v>
      </c>
      <c r="L2197" s="140">
        <v>45410</v>
      </c>
      <c r="T2197" s="23" t="s">
        <v>305</v>
      </c>
      <c r="U2197" s="23" t="s">
        <v>305</v>
      </c>
      <c r="V2197" s="23" t="s">
        <v>299</v>
      </c>
      <c r="W2197" s="23" t="s">
        <v>11891</v>
      </c>
      <c r="Y2197" s="23">
        <v>27900</v>
      </c>
      <c r="Z2197" s="23">
        <v>248400</v>
      </c>
      <c r="AB2197" s="19" t="s">
        <v>12120</v>
      </c>
      <c r="AC2197" s="23">
        <v>18</v>
      </c>
      <c r="AD2197" s="23">
        <v>0</v>
      </c>
      <c r="AE2197" s="23">
        <v>6</v>
      </c>
      <c r="AF2197" s="23" t="s">
        <v>9622</v>
      </c>
      <c r="AG2197" s="23" t="s">
        <v>659</v>
      </c>
      <c r="AH2197" s="39">
        <v>45408</v>
      </c>
      <c r="AI2197" s="53" t="s">
        <v>5851</v>
      </c>
    </row>
    <row r="2198" spans="1:35">
      <c r="A2198" s="75" t="s">
        <v>12061</v>
      </c>
      <c r="B2198" s="23" t="s">
        <v>12062</v>
      </c>
      <c r="C2198" s="140">
        <v>45402</v>
      </c>
      <c r="D2198" s="23" t="s">
        <v>729</v>
      </c>
      <c r="E2198" s="23" t="s">
        <v>752</v>
      </c>
      <c r="F2198" s="23" t="s">
        <v>57</v>
      </c>
      <c r="G2198" s="23" t="s">
        <v>57</v>
      </c>
      <c r="H2198" s="23" t="s">
        <v>12063</v>
      </c>
      <c r="I2198" s="23" t="s">
        <v>12063</v>
      </c>
      <c r="J2198" s="140">
        <v>45400</v>
      </c>
      <c r="P2198" s="23" t="s">
        <v>12064</v>
      </c>
      <c r="Q2198" s="140" t="s">
        <v>12045</v>
      </c>
      <c r="S2198" s="23" t="s">
        <v>184</v>
      </c>
      <c r="T2198" s="23" t="s">
        <v>302</v>
      </c>
      <c r="U2198" s="23" t="s">
        <v>302</v>
      </c>
      <c r="V2198" s="23" t="s">
        <v>233</v>
      </c>
      <c r="W2198" s="23" t="s">
        <v>12065</v>
      </c>
      <c r="X2198" s="37">
        <v>11170.3</v>
      </c>
      <c r="Y2198" s="37">
        <v>11462.3</v>
      </c>
      <c r="Z2198" s="23">
        <v>21546.23</v>
      </c>
      <c r="AB2198" s="23" t="s">
        <v>12066</v>
      </c>
      <c r="AC2198" s="23" t="s">
        <v>9193</v>
      </c>
      <c r="AD2198" s="23">
        <v>0</v>
      </c>
      <c r="AE2198" s="23">
        <v>1</v>
      </c>
      <c r="AF2198" s="23" t="s">
        <v>9622</v>
      </c>
      <c r="AG2198" s="23" t="s">
        <v>787</v>
      </c>
      <c r="AH2198" s="39">
        <v>45412</v>
      </c>
    </row>
    <row r="2199" spans="1:35" ht="64">
      <c r="A2199" s="75" t="s">
        <v>12067</v>
      </c>
      <c r="B2199" s="23" t="s">
        <v>12068</v>
      </c>
      <c r="C2199" s="140">
        <v>45409</v>
      </c>
      <c r="D2199" s="23" t="s">
        <v>729</v>
      </c>
      <c r="E2199" s="23" t="s">
        <v>752</v>
      </c>
      <c r="F2199" s="23" t="s">
        <v>6113</v>
      </c>
      <c r="G2199" s="23" t="s">
        <v>5538</v>
      </c>
      <c r="H2199" s="23" t="s">
        <v>12069</v>
      </c>
      <c r="I2199" s="23" t="s">
        <v>12069</v>
      </c>
      <c r="J2199" s="140">
        <v>45390</v>
      </c>
      <c r="T2199" s="23" t="s">
        <v>12031</v>
      </c>
      <c r="U2199" s="23" t="s">
        <v>12031</v>
      </c>
      <c r="V2199" s="23" t="s">
        <v>299</v>
      </c>
      <c r="W2199" s="23" t="s">
        <v>12070</v>
      </c>
      <c r="Y2199" s="23">
        <v>16560</v>
      </c>
      <c r="Z2199" s="23">
        <v>104000</v>
      </c>
      <c r="AB2199" s="19" t="s">
        <v>12119</v>
      </c>
      <c r="AC2199" s="23">
        <v>8</v>
      </c>
      <c r="AD2199" s="23">
        <v>0</v>
      </c>
      <c r="AE2199" s="23">
        <v>4</v>
      </c>
      <c r="AF2199" s="23" t="s">
        <v>9622</v>
      </c>
      <c r="AG2199" s="23" t="s">
        <v>12071</v>
      </c>
      <c r="AH2199" s="39">
        <v>45414</v>
      </c>
      <c r="AI2199" s="53" t="s">
        <v>11965</v>
      </c>
    </row>
    <row r="2200" spans="1:35" ht="80">
      <c r="A2200" s="75" t="s">
        <v>12073</v>
      </c>
      <c r="B2200" s="23" t="s">
        <v>12074</v>
      </c>
      <c r="C2200" s="140">
        <v>45417</v>
      </c>
      <c r="D2200" s="23" t="s">
        <v>729</v>
      </c>
      <c r="E2200" s="23" t="s">
        <v>752</v>
      </c>
      <c r="F2200" s="23" t="s">
        <v>2200</v>
      </c>
      <c r="G2200" s="23" t="s">
        <v>301</v>
      </c>
      <c r="H2200" s="23">
        <v>20537717</v>
      </c>
      <c r="I2200" s="23">
        <v>20537717</v>
      </c>
      <c r="J2200" s="140">
        <v>45412</v>
      </c>
      <c r="K2200" s="23" t="s">
        <v>12075</v>
      </c>
      <c r="L2200" s="140">
        <v>45420</v>
      </c>
      <c r="T2200" s="23" t="s">
        <v>305</v>
      </c>
      <c r="U2200" s="23" t="s">
        <v>305</v>
      </c>
      <c r="V2200" s="23" t="s">
        <v>299</v>
      </c>
      <c r="W2200" s="23" t="s">
        <v>11673</v>
      </c>
      <c r="Y2200" s="23">
        <v>19770</v>
      </c>
      <c r="Z2200" s="23">
        <v>175500</v>
      </c>
      <c r="AB2200" s="19" t="s">
        <v>12171</v>
      </c>
      <c r="AC2200" s="23">
        <v>15</v>
      </c>
      <c r="AD2200" s="23">
        <v>0</v>
      </c>
      <c r="AE2200" s="23">
        <v>5</v>
      </c>
      <c r="AF2200" s="23" t="s">
        <v>9622</v>
      </c>
      <c r="AG2200" s="23" t="s">
        <v>659</v>
      </c>
      <c r="AH2200" s="39">
        <v>45421</v>
      </c>
      <c r="AI2200" s="53" t="s">
        <v>5851</v>
      </c>
    </row>
    <row r="2201" spans="1:35" ht="112">
      <c r="A2201" s="75" t="s">
        <v>12076</v>
      </c>
      <c r="B2201" s="23" t="s">
        <v>12077</v>
      </c>
      <c r="C2201" s="140">
        <v>45417</v>
      </c>
      <c r="D2201" s="23" t="s">
        <v>729</v>
      </c>
      <c r="E2201" s="23" t="s">
        <v>752</v>
      </c>
      <c r="F2201" s="23" t="s">
        <v>2200</v>
      </c>
      <c r="G2201" s="23" t="s">
        <v>301</v>
      </c>
      <c r="H2201" s="23">
        <v>20537677</v>
      </c>
      <c r="I2201" s="23">
        <v>20537677</v>
      </c>
      <c r="J2201" s="140">
        <v>45412</v>
      </c>
      <c r="K2201" s="23" t="s">
        <v>12078</v>
      </c>
      <c r="L2201" s="140">
        <v>45420</v>
      </c>
      <c r="T2201" s="23" t="s">
        <v>305</v>
      </c>
      <c r="U2201" s="23" t="s">
        <v>305</v>
      </c>
      <c r="V2201" s="23" t="s">
        <v>299</v>
      </c>
      <c r="W2201" s="23" t="s">
        <v>11259</v>
      </c>
      <c r="Y2201" s="23">
        <v>32319</v>
      </c>
      <c r="Z2201" s="23">
        <v>296100</v>
      </c>
      <c r="AB2201" s="19" t="s">
        <v>12174</v>
      </c>
      <c r="AC2201" s="23">
        <v>21</v>
      </c>
      <c r="AD2201" s="23">
        <v>0</v>
      </c>
      <c r="AE2201" s="23">
        <v>7</v>
      </c>
      <c r="AF2201" s="23" t="s">
        <v>9622</v>
      </c>
      <c r="AG2201" s="23" t="s">
        <v>659</v>
      </c>
      <c r="AH2201" s="39">
        <v>45421</v>
      </c>
      <c r="AI2201" s="53" t="s">
        <v>5851</v>
      </c>
    </row>
    <row r="2202" spans="1:35" ht="224">
      <c r="A2202" s="75" t="s">
        <v>12079</v>
      </c>
      <c r="B2202" s="23" t="s">
        <v>12080</v>
      </c>
      <c r="C2202" s="140">
        <v>45417</v>
      </c>
      <c r="D2202" s="23" t="s">
        <v>729</v>
      </c>
      <c r="E2202" s="23" t="s">
        <v>752</v>
      </c>
      <c r="F2202" s="23" t="s">
        <v>2200</v>
      </c>
      <c r="G2202" s="23" t="s">
        <v>301</v>
      </c>
      <c r="H2202" s="23" t="s">
        <v>12081</v>
      </c>
      <c r="I2202" s="23" t="s">
        <v>12081</v>
      </c>
      <c r="J2202" s="140">
        <v>45412</v>
      </c>
      <c r="K2202" s="23" t="s">
        <v>12082</v>
      </c>
      <c r="L2202" s="140">
        <v>45420</v>
      </c>
      <c r="T2202" s="23" t="s">
        <v>305</v>
      </c>
      <c r="U2202" s="23" t="s">
        <v>305</v>
      </c>
      <c r="V2202" s="23" t="s">
        <v>299</v>
      </c>
      <c r="W2202" s="23" t="s">
        <v>11608</v>
      </c>
      <c r="Y2202" s="23">
        <v>55356</v>
      </c>
      <c r="Z2202" s="23">
        <v>378000</v>
      </c>
      <c r="AB2202" s="19" t="s">
        <v>12172</v>
      </c>
      <c r="AC2202" s="23">
        <v>42</v>
      </c>
      <c r="AD2202" s="23">
        <v>0</v>
      </c>
      <c r="AE2202" s="23">
        <v>14</v>
      </c>
      <c r="AF2202" s="23" t="s">
        <v>9622</v>
      </c>
      <c r="AG2202" s="23" t="s">
        <v>659</v>
      </c>
      <c r="AH2202" s="39">
        <v>45421</v>
      </c>
      <c r="AI2202" s="53" t="s">
        <v>5851</v>
      </c>
    </row>
    <row r="2203" spans="1:35">
      <c r="A2203" s="75" t="s">
        <v>12083</v>
      </c>
      <c r="B2203" s="23" t="s">
        <v>12084</v>
      </c>
      <c r="C2203" s="140">
        <v>45414</v>
      </c>
      <c r="D2203" s="23" t="s">
        <v>729</v>
      </c>
      <c r="E2203" s="23" t="s">
        <v>752</v>
      </c>
      <c r="F2203" s="23" t="s">
        <v>10928</v>
      </c>
      <c r="G2203" s="23" t="s">
        <v>3469</v>
      </c>
      <c r="H2203" s="23" t="s">
        <v>12085</v>
      </c>
      <c r="I2203" s="23" t="s">
        <v>12085</v>
      </c>
      <c r="J2203" s="140">
        <v>45387</v>
      </c>
      <c r="P2203" s="23" t="s">
        <v>12095</v>
      </c>
      <c r="Q2203" s="140" t="s">
        <v>12094</v>
      </c>
      <c r="T2203" s="23" t="s">
        <v>12031</v>
      </c>
      <c r="U2203" s="23" t="s">
        <v>12031</v>
      </c>
      <c r="V2203" s="23" t="s">
        <v>298</v>
      </c>
      <c r="W2203" s="23" t="s">
        <v>11994</v>
      </c>
      <c r="Y2203" s="23">
        <v>31250</v>
      </c>
      <c r="Z2203" s="23">
        <v>54600</v>
      </c>
      <c r="AB2203" s="23" t="s">
        <v>97</v>
      </c>
      <c r="AC2203" s="23">
        <v>2</v>
      </c>
      <c r="AD2203" s="23">
        <v>0</v>
      </c>
      <c r="AE2203" s="23">
        <v>0</v>
      </c>
      <c r="AF2203" s="23" t="s">
        <v>97</v>
      </c>
      <c r="AG2203" s="23" t="s">
        <v>11512</v>
      </c>
      <c r="AH2203" s="39">
        <v>45425</v>
      </c>
    </row>
    <row r="2204" spans="1:35">
      <c r="A2204" s="75" t="s">
        <v>12086</v>
      </c>
      <c r="B2204" s="23" t="s">
        <v>12087</v>
      </c>
      <c r="C2204" s="140">
        <v>45421</v>
      </c>
      <c r="D2204" s="23" t="s">
        <v>729</v>
      </c>
      <c r="E2204" s="23" t="s">
        <v>752</v>
      </c>
      <c r="F2204" s="23" t="s">
        <v>6113</v>
      </c>
      <c r="G2204" s="23" t="s">
        <v>5538</v>
      </c>
      <c r="H2204" s="23" t="s">
        <v>12088</v>
      </c>
      <c r="I2204" s="23" t="s">
        <v>12088</v>
      </c>
      <c r="J2204" s="140">
        <v>45378</v>
      </c>
      <c r="T2204" s="23" t="s">
        <v>12031</v>
      </c>
      <c r="U2204" s="23" t="s">
        <v>12031</v>
      </c>
      <c r="V2204" s="23" t="s">
        <v>299</v>
      </c>
      <c r="W2204" s="23" t="s">
        <v>11630</v>
      </c>
      <c r="Y2204" s="23">
        <v>4140</v>
      </c>
      <c r="Z2204" s="23">
        <v>26000</v>
      </c>
      <c r="AB2204" s="59" t="s">
        <v>12089</v>
      </c>
      <c r="AC2204" s="23">
        <v>2</v>
      </c>
      <c r="AD2204" s="23">
        <v>0</v>
      </c>
      <c r="AE2204" s="23">
        <v>1</v>
      </c>
      <c r="AF2204" s="23" t="s">
        <v>9622</v>
      </c>
      <c r="AG2204" s="23" t="s">
        <v>12071</v>
      </c>
      <c r="AH2204" s="39">
        <v>45423</v>
      </c>
      <c r="AI2204" s="53" t="s">
        <v>11965</v>
      </c>
    </row>
    <row r="2205" spans="1:35">
      <c r="A2205" s="75" t="s">
        <v>12090</v>
      </c>
      <c r="B2205" s="23" t="s">
        <v>12091</v>
      </c>
      <c r="C2205" s="140">
        <v>45421</v>
      </c>
      <c r="D2205" s="23" t="s">
        <v>729</v>
      </c>
      <c r="E2205" s="23" t="s">
        <v>752</v>
      </c>
      <c r="F2205" s="23" t="s">
        <v>6113</v>
      </c>
      <c r="G2205" s="23" t="s">
        <v>5538</v>
      </c>
      <c r="H2205" s="23" t="s">
        <v>12092</v>
      </c>
      <c r="I2205" s="23" t="s">
        <v>12092</v>
      </c>
      <c r="J2205" s="140">
        <v>45406</v>
      </c>
      <c r="T2205" s="23" t="s">
        <v>12031</v>
      </c>
      <c r="U2205" s="23" t="s">
        <v>12031</v>
      </c>
      <c r="V2205" s="23" t="s">
        <v>299</v>
      </c>
      <c r="W2205" s="23" t="s">
        <v>11630</v>
      </c>
      <c r="Y2205" s="23">
        <v>4140</v>
      </c>
      <c r="Z2205" s="23">
        <v>26000</v>
      </c>
      <c r="AB2205" s="23" t="s">
        <v>12093</v>
      </c>
      <c r="AC2205" s="23">
        <v>2</v>
      </c>
      <c r="AD2205" s="23">
        <v>0</v>
      </c>
      <c r="AE2205" s="23">
        <v>1</v>
      </c>
      <c r="AF2205" s="23" t="s">
        <v>9622</v>
      </c>
      <c r="AG2205" s="23" t="s">
        <v>12071</v>
      </c>
      <c r="AH2205" s="39">
        <v>45423</v>
      </c>
      <c r="AI2205" s="53" t="s">
        <v>11965</v>
      </c>
    </row>
    <row r="2206" spans="1:35">
      <c r="A2206" s="75" t="s">
        <v>12096</v>
      </c>
      <c r="B2206" s="23">
        <v>238860696</v>
      </c>
      <c r="C2206" s="140">
        <v>45421</v>
      </c>
      <c r="D2206" s="23" t="s">
        <v>729</v>
      </c>
      <c r="E2206" s="23" t="s">
        <v>752</v>
      </c>
      <c r="F2206" s="23" t="s">
        <v>12097</v>
      </c>
      <c r="G2206" s="23" t="s">
        <v>12410</v>
      </c>
      <c r="H2206" s="23" t="s">
        <v>12098</v>
      </c>
      <c r="I2206" s="23" t="s">
        <v>12098</v>
      </c>
      <c r="J2206" s="140">
        <v>45398</v>
      </c>
      <c r="T2206" s="23" t="s">
        <v>12031</v>
      </c>
      <c r="U2206" s="23" t="s">
        <v>12031</v>
      </c>
      <c r="V2206" s="23" t="s">
        <v>299</v>
      </c>
      <c r="W2206" s="23" t="s">
        <v>12099</v>
      </c>
      <c r="Y2206" s="23">
        <v>4740</v>
      </c>
      <c r="Z2206" s="23">
        <v>26000</v>
      </c>
      <c r="AB2206" s="59" t="s">
        <v>12100</v>
      </c>
      <c r="AC2206" s="23">
        <v>2</v>
      </c>
      <c r="AD2206" s="23">
        <v>0</v>
      </c>
      <c r="AE2206" s="23">
        <v>1</v>
      </c>
      <c r="AF2206" s="23" t="s">
        <v>9622</v>
      </c>
      <c r="AG2206" s="23" t="s">
        <v>12101</v>
      </c>
      <c r="AH2206" s="39">
        <v>45427</v>
      </c>
      <c r="AI2206" s="53" t="s">
        <v>12102</v>
      </c>
    </row>
    <row r="2207" spans="1:35" ht="112">
      <c r="A2207" s="75" t="s">
        <v>12114</v>
      </c>
      <c r="B2207" s="23" t="s">
        <v>12116</v>
      </c>
      <c r="C2207" s="140">
        <v>45422</v>
      </c>
      <c r="D2207" s="23" t="s">
        <v>729</v>
      </c>
      <c r="E2207" s="23" t="s">
        <v>752</v>
      </c>
      <c r="F2207" s="23" t="s">
        <v>2200</v>
      </c>
      <c r="G2207" s="23" t="s">
        <v>301</v>
      </c>
      <c r="H2207" s="23">
        <v>20537714</v>
      </c>
      <c r="I2207" s="23">
        <v>20537714</v>
      </c>
      <c r="J2207" s="140">
        <v>45412</v>
      </c>
      <c r="K2207" s="23" t="s">
        <v>12122</v>
      </c>
      <c r="L2207" s="140">
        <v>45426</v>
      </c>
      <c r="T2207" s="23" t="s">
        <v>305</v>
      </c>
      <c r="U2207" s="23" t="s">
        <v>305</v>
      </c>
      <c r="V2207" s="23" t="s">
        <v>299</v>
      </c>
      <c r="W2207" s="23" t="s">
        <v>11259</v>
      </c>
      <c r="Y2207" s="23">
        <v>32319</v>
      </c>
      <c r="Z2207" s="23">
        <v>296100</v>
      </c>
      <c r="AB2207" s="19" t="s">
        <v>12173</v>
      </c>
      <c r="AC2207" s="23">
        <v>21</v>
      </c>
      <c r="AD2207" s="23">
        <v>0</v>
      </c>
      <c r="AE2207" s="23">
        <v>7</v>
      </c>
      <c r="AF2207" s="23" t="s">
        <v>9622</v>
      </c>
      <c r="AG2207" s="23" t="s">
        <v>1553</v>
      </c>
      <c r="AH2207" s="39">
        <v>45428</v>
      </c>
      <c r="AI2207" s="53" t="s">
        <v>5851</v>
      </c>
    </row>
    <row r="2208" spans="1:35" ht="112">
      <c r="A2208" s="75" t="s">
        <v>12115</v>
      </c>
      <c r="B2208" s="23" t="s">
        <v>12117</v>
      </c>
      <c r="C2208" s="140">
        <v>45422</v>
      </c>
      <c r="D2208" s="23" t="s">
        <v>729</v>
      </c>
      <c r="E2208" s="23" t="s">
        <v>752</v>
      </c>
      <c r="F2208" s="23" t="s">
        <v>2200</v>
      </c>
      <c r="G2208" s="23" t="s">
        <v>301</v>
      </c>
      <c r="H2208" s="23">
        <v>20537716</v>
      </c>
      <c r="I2208" s="23">
        <v>20537716</v>
      </c>
      <c r="J2208" s="140">
        <v>45419</v>
      </c>
      <c r="K2208" s="23" t="s">
        <v>12118</v>
      </c>
      <c r="L2208" s="140">
        <v>45426</v>
      </c>
      <c r="T2208" s="23" t="s">
        <v>305</v>
      </c>
      <c r="U2208" s="23" t="s">
        <v>305</v>
      </c>
      <c r="V2208" s="23" t="s">
        <v>299</v>
      </c>
      <c r="W2208" s="23" t="s">
        <v>11259</v>
      </c>
      <c r="Y2208" s="23">
        <v>29241</v>
      </c>
      <c r="Z2208" s="23">
        <v>267900</v>
      </c>
      <c r="AB2208" s="19" t="s">
        <v>12210</v>
      </c>
      <c r="AC2208" s="23">
        <v>19</v>
      </c>
      <c r="AD2208" s="23">
        <v>1</v>
      </c>
      <c r="AE2208" s="23">
        <v>6</v>
      </c>
      <c r="AF2208" s="23" t="s">
        <v>9622</v>
      </c>
      <c r="AG2208" s="23" t="s">
        <v>1553</v>
      </c>
      <c r="AH2208" s="39">
        <v>45428</v>
      </c>
      <c r="AI2208" s="53" t="s">
        <v>5851</v>
      </c>
    </row>
    <row r="2209" spans="1:37" ht="80">
      <c r="A2209" s="75" t="s">
        <v>12123</v>
      </c>
      <c r="B2209" s="23" t="s">
        <v>12124</v>
      </c>
      <c r="C2209" s="140">
        <v>45424</v>
      </c>
      <c r="D2209" s="23" t="s">
        <v>729</v>
      </c>
      <c r="E2209" s="23" t="s">
        <v>752</v>
      </c>
      <c r="F2209" s="23" t="s">
        <v>6113</v>
      </c>
      <c r="G2209" s="23" t="s">
        <v>5538</v>
      </c>
      <c r="H2209" s="23" t="s">
        <v>12125</v>
      </c>
      <c r="I2209" s="23" t="s">
        <v>12125</v>
      </c>
      <c r="J2209" s="140">
        <v>45405</v>
      </c>
      <c r="Q2209" s="141" t="s">
        <v>12126</v>
      </c>
      <c r="T2209" s="23" t="s">
        <v>12031</v>
      </c>
      <c r="U2209" s="23" t="s">
        <v>12031</v>
      </c>
      <c r="V2209" s="23" t="s">
        <v>299</v>
      </c>
      <c r="W2209" s="23" t="s">
        <v>11736</v>
      </c>
      <c r="Y2209" s="23">
        <v>17800</v>
      </c>
      <c r="Z2209" s="23">
        <v>130000</v>
      </c>
      <c r="AB2209" s="19" t="s">
        <v>12189</v>
      </c>
      <c r="AC2209" s="23">
        <v>10</v>
      </c>
      <c r="AD2209" s="23">
        <v>0</v>
      </c>
      <c r="AE2209" s="23">
        <v>5</v>
      </c>
      <c r="AF2209" s="23" t="s">
        <v>9622</v>
      </c>
      <c r="AG2209" s="23" t="s">
        <v>5388</v>
      </c>
      <c r="AH2209" s="39">
        <v>45430</v>
      </c>
      <c r="AI2209" s="53" t="s">
        <v>11965</v>
      </c>
    </row>
    <row r="2210" spans="1:37">
      <c r="A2210" s="75" t="s">
        <v>12127</v>
      </c>
      <c r="B2210" s="23" t="s">
        <v>12128</v>
      </c>
      <c r="C2210" s="140">
        <v>45424</v>
      </c>
      <c r="D2210" s="23" t="s">
        <v>729</v>
      </c>
      <c r="E2210" s="23" t="s">
        <v>752</v>
      </c>
      <c r="F2210" s="23" t="s">
        <v>3456</v>
      </c>
      <c r="G2210" s="23" t="s">
        <v>11636</v>
      </c>
      <c r="H2210" s="23" t="s">
        <v>12129</v>
      </c>
      <c r="I2210" s="23" t="s">
        <v>12129</v>
      </c>
      <c r="J2210" s="140">
        <v>45402</v>
      </c>
      <c r="T2210" s="23" t="s">
        <v>12031</v>
      </c>
      <c r="U2210" s="23" t="s">
        <v>12031</v>
      </c>
      <c r="V2210" s="23" t="s">
        <v>299</v>
      </c>
      <c r="W2210" s="23" t="s">
        <v>12130</v>
      </c>
      <c r="Y2210" s="38">
        <v>3620</v>
      </c>
      <c r="Z2210" s="38"/>
      <c r="AB2210" s="23" t="s">
        <v>12131</v>
      </c>
      <c r="AC2210" s="23">
        <v>2</v>
      </c>
      <c r="AD2210" s="23">
        <v>0</v>
      </c>
      <c r="AE2210" s="23">
        <v>1</v>
      </c>
      <c r="AF2210" s="23" t="s">
        <v>9622</v>
      </c>
      <c r="AG2210" s="23" t="s">
        <v>3459</v>
      </c>
      <c r="AH2210" s="39">
        <v>45430</v>
      </c>
      <c r="AI2210" s="53" t="s">
        <v>3857</v>
      </c>
      <c r="AJ2210" s="75" t="s">
        <v>13334</v>
      </c>
      <c r="AK2210" s="53">
        <v>45432</v>
      </c>
    </row>
    <row r="2211" spans="1:37" ht="160">
      <c r="A2211" s="75" t="s">
        <v>12132</v>
      </c>
      <c r="B2211" s="23" t="s">
        <v>12133</v>
      </c>
      <c r="C2211" s="140">
        <v>45428</v>
      </c>
      <c r="D2211" s="23" t="s">
        <v>729</v>
      </c>
      <c r="E2211" s="23" t="s">
        <v>752</v>
      </c>
      <c r="F2211" s="23" t="s">
        <v>2200</v>
      </c>
      <c r="G2211" s="23" t="s">
        <v>301</v>
      </c>
      <c r="H2211" s="23">
        <v>20539156</v>
      </c>
      <c r="I2211" s="23">
        <v>20539156</v>
      </c>
      <c r="J2211" s="140">
        <v>45422</v>
      </c>
      <c r="K2211" s="23" t="s">
        <v>12134</v>
      </c>
      <c r="L2211" s="140">
        <v>45429</v>
      </c>
      <c r="T2211" s="23" t="s">
        <v>12031</v>
      </c>
      <c r="U2211" s="23" t="s">
        <v>12031</v>
      </c>
      <c r="V2211" s="23" t="s">
        <v>299</v>
      </c>
      <c r="W2211" s="23" t="s">
        <v>12135</v>
      </c>
      <c r="Y2211" s="23">
        <v>39540</v>
      </c>
      <c r="Z2211" s="23">
        <v>270000</v>
      </c>
      <c r="AB2211" s="19" t="s">
        <v>12211</v>
      </c>
      <c r="AC2211" s="23">
        <v>30</v>
      </c>
      <c r="AD2211" s="23">
        <v>0</v>
      </c>
      <c r="AE2211" s="23">
        <v>10</v>
      </c>
      <c r="AF2211" s="23" t="s">
        <v>9622</v>
      </c>
      <c r="AG2211" s="23" t="s">
        <v>659</v>
      </c>
      <c r="AH2211" s="39">
        <v>45432</v>
      </c>
      <c r="AI2211" s="53" t="s">
        <v>5851</v>
      </c>
    </row>
    <row r="2212" spans="1:37">
      <c r="A2212" s="75" t="s">
        <v>12136</v>
      </c>
      <c r="B2212" s="23" t="s">
        <v>12145</v>
      </c>
      <c r="C2212" s="140">
        <v>45422</v>
      </c>
      <c r="D2212" s="23" t="s">
        <v>729</v>
      </c>
      <c r="E2212" s="23" t="s">
        <v>752</v>
      </c>
      <c r="F2212" s="23" t="s">
        <v>2200</v>
      </c>
      <c r="G2212" s="23" t="s">
        <v>301</v>
      </c>
      <c r="H2212" s="23">
        <v>55019180</v>
      </c>
      <c r="I2212" s="23">
        <v>55019180</v>
      </c>
      <c r="J2212" s="140">
        <v>45404</v>
      </c>
      <c r="K2212" s="23" t="s">
        <v>12146</v>
      </c>
      <c r="L2212" s="140">
        <v>45425</v>
      </c>
      <c r="P2212" s="23" t="s">
        <v>12218</v>
      </c>
      <c r="Q2212" s="141" t="s">
        <v>12219</v>
      </c>
      <c r="T2212" s="23" t="s">
        <v>305</v>
      </c>
      <c r="U2212" s="23" t="s">
        <v>305</v>
      </c>
      <c r="V2212" s="23" t="s">
        <v>298</v>
      </c>
      <c r="W2212" s="23" t="s">
        <v>11559</v>
      </c>
      <c r="Y2212" s="23">
        <v>8508</v>
      </c>
      <c r="Z2212" s="23">
        <v>65945</v>
      </c>
      <c r="AB2212" s="23" t="s">
        <v>12150</v>
      </c>
      <c r="AC2212" s="23" t="s">
        <v>11127</v>
      </c>
      <c r="AD2212" s="23">
        <v>0</v>
      </c>
      <c r="AE2212" s="23">
        <v>1</v>
      </c>
      <c r="AF2212" s="23" t="s">
        <v>9622</v>
      </c>
      <c r="AG2212" s="23" t="s">
        <v>5602</v>
      </c>
      <c r="AH2212" s="39">
        <v>45429</v>
      </c>
    </row>
    <row r="2213" spans="1:37">
      <c r="A2213" s="75" t="s">
        <v>12137</v>
      </c>
      <c r="B2213" s="23" t="s">
        <v>12147</v>
      </c>
      <c r="C2213" s="140">
        <v>45422</v>
      </c>
      <c r="D2213" s="23" t="s">
        <v>729</v>
      </c>
      <c r="E2213" s="23" t="s">
        <v>752</v>
      </c>
      <c r="F2213" s="23" t="s">
        <v>2200</v>
      </c>
      <c r="G2213" s="23" t="s">
        <v>301</v>
      </c>
      <c r="H2213" s="23">
        <v>55019321</v>
      </c>
      <c r="I2213" s="23">
        <v>55019321</v>
      </c>
      <c r="J2213" s="140">
        <v>45411</v>
      </c>
      <c r="K2213" s="23" t="s">
        <v>12148</v>
      </c>
      <c r="L2213" s="140">
        <v>45425</v>
      </c>
      <c r="P2213" s="23" t="s">
        <v>12218</v>
      </c>
      <c r="Q2213" s="141" t="s">
        <v>12219</v>
      </c>
      <c r="T2213" s="23" t="s">
        <v>305</v>
      </c>
      <c r="U2213" s="23" t="s">
        <v>305</v>
      </c>
      <c r="V2213" s="23" t="s">
        <v>298</v>
      </c>
      <c r="W2213" s="23" t="s">
        <v>11559</v>
      </c>
      <c r="Y2213" s="23">
        <v>8292</v>
      </c>
      <c r="Z2213" s="23">
        <v>73365</v>
      </c>
      <c r="AB2213" s="23" t="s">
        <v>12149</v>
      </c>
      <c r="AC2213" s="23" t="s">
        <v>12151</v>
      </c>
      <c r="AD2213" s="23">
        <v>0</v>
      </c>
      <c r="AE2213" s="23">
        <v>1</v>
      </c>
      <c r="AF2213" s="23" t="s">
        <v>9622</v>
      </c>
      <c r="AG2213" s="23" t="s">
        <v>5602</v>
      </c>
      <c r="AH2213" s="39">
        <v>45429</v>
      </c>
    </row>
    <row r="2214" spans="1:37">
      <c r="A2214" s="75" t="s">
        <v>12138</v>
      </c>
      <c r="B2214" s="23" t="s">
        <v>12152</v>
      </c>
      <c r="C2214" s="140">
        <v>45422</v>
      </c>
      <c r="D2214" s="23" t="s">
        <v>729</v>
      </c>
      <c r="E2214" s="23" t="s">
        <v>752</v>
      </c>
      <c r="F2214" s="23" t="s">
        <v>2200</v>
      </c>
      <c r="G2214" s="23" t="s">
        <v>301</v>
      </c>
      <c r="H2214" s="23">
        <v>55019352</v>
      </c>
      <c r="I2214" s="23">
        <v>55019352</v>
      </c>
      <c r="J2214" s="140">
        <v>45412</v>
      </c>
      <c r="K2214" s="23" t="s">
        <v>12153</v>
      </c>
      <c r="L2214" s="140">
        <v>45425</v>
      </c>
      <c r="P2214" s="23" t="s">
        <v>12218</v>
      </c>
      <c r="Q2214" s="141" t="s">
        <v>12219</v>
      </c>
      <c r="T2214" s="23" t="s">
        <v>305</v>
      </c>
      <c r="U2214" s="23" t="s">
        <v>305</v>
      </c>
      <c r="V2214" s="23" t="s">
        <v>298</v>
      </c>
      <c r="W2214" s="23" t="s">
        <v>11559</v>
      </c>
      <c r="Y2214" s="23">
        <v>8352</v>
      </c>
      <c r="Z2214" s="23">
        <v>61915</v>
      </c>
      <c r="AB2214" s="23" t="s">
        <v>12154</v>
      </c>
      <c r="AC2214" s="23" t="s">
        <v>11127</v>
      </c>
      <c r="AD2214" s="23">
        <v>0</v>
      </c>
      <c r="AE2214" s="23">
        <v>1</v>
      </c>
      <c r="AF2214" s="23" t="s">
        <v>9622</v>
      </c>
      <c r="AG2214" s="23" t="s">
        <v>5602</v>
      </c>
      <c r="AH2214" s="39">
        <v>45429</v>
      </c>
    </row>
    <row r="2215" spans="1:37">
      <c r="A2215" s="75" t="s">
        <v>12139</v>
      </c>
      <c r="B2215" s="23" t="s">
        <v>12155</v>
      </c>
      <c r="C2215" s="140">
        <v>45422</v>
      </c>
      <c r="D2215" s="23" t="s">
        <v>729</v>
      </c>
      <c r="E2215" s="23" t="s">
        <v>752</v>
      </c>
      <c r="F2215" s="23" t="s">
        <v>2200</v>
      </c>
      <c r="G2215" s="23" t="s">
        <v>301</v>
      </c>
      <c r="H2215" s="23">
        <v>55019353</v>
      </c>
      <c r="I2215" s="23">
        <v>55019353</v>
      </c>
      <c r="J2215" s="140">
        <v>45412</v>
      </c>
      <c r="K2215" s="23" t="s">
        <v>12156</v>
      </c>
      <c r="L2215" s="140">
        <v>45425</v>
      </c>
      <c r="P2215" s="23" t="s">
        <v>12218</v>
      </c>
      <c r="Q2215" s="141" t="s">
        <v>12219</v>
      </c>
      <c r="T2215" s="23" t="s">
        <v>305</v>
      </c>
      <c r="U2215" s="23" t="s">
        <v>305</v>
      </c>
      <c r="V2215" s="23" t="s">
        <v>298</v>
      </c>
      <c r="W2215" s="23" t="s">
        <v>11559</v>
      </c>
      <c r="Y2215" s="23">
        <v>6754</v>
      </c>
      <c r="Z2215" s="23">
        <v>64360</v>
      </c>
      <c r="AB2215" s="23" t="s">
        <v>12157</v>
      </c>
      <c r="AC2215" s="23" t="s">
        <v>12158</v>
      </c>
      <c r="AD2215" s="23">
        <v>0</v>
      </c>
      <c r="AE2215" s="23">
        <v>1</v>
      </c>
      <c r="AF2215" s="23" t="s">
        <v>9622</v>
      </c>
      <c r="AG2215" s="23" t="s">
        <v>5602</v>
      </c>
      <c r="AH2215" s="39">
        <v>45429</v>
      </c>
    </row>
    <row r="2216" spans="1:37" ht="32">
      <c r="A2216" s="75" t="s">
        <v>12140</v>
      </c>
      <c r="B2216" s="23" t="s">
        <v>12141</v>
      </c>
      <c r="C2216" s="140">
        <v>45422</v>
      </c>
      <c r="D2216" s="23" t="s">
        <v>729</v>
      </c>
      <c r="E2216" s="23" t="s">
        <v>752</v>
      </c>
      <c r="F2216" s="23" t="s">
        <v>6113</v>
      </c>
      <c r="G2216" s="23" t="s">
        <v>5538</v>
      </c>
      <c r="H2216" s="23" t="s">
        <v>12142</v>
      </c>
      <c r="I2216" s="23" t="s">
        <v>12142</v>
      </c>
      <c r="J2216" s="140">
        <v>45404</v>
      </c>
      <c r="P2216" s="23" t="s">
        <v>12143</v>
      </c>
      <c r="Q2216" s="140">
        <v>45434</v>
      </c>
      <c r="T2216" s="23" t="s">
        <v>12031</v>
      </c>
      <c r="U2216" s="23" t="s">
        <v>12031</v>
      </c>
      <c r="V2216" s="23" t="s">
        <v>299</v>
      </c>
      <c r="W2216" s="23" t="s">
        <v>12144</v>
      </c>
      <c r="Y2216" s="23">
        <v>11200</v>
      </c>
      <c r="Z2216" s="23">
        <v>30000</v>
      </c>
      <c r="AB2216" s="19" t="s">
        <v>12209</v>
      </c>
      <c r="AC2216" s="23">
        <v>4</v>
      </c>
      <c r="AD2216" s="23">
        <v>0</v>
      </c>
      <c r="AE2216" s="23">
        <v>2</v>
      </c>
      <c r="AF2216" s="23" t="s">
        <v>9622</v>
      </c>
      <c r="AG2216" s="23" t="s">
        <v>5879</v>
      </c>
      <c r="AH2216" s="39">
        <v>45434</v>
      </c>
      <c r="AI2216" s="53" t="s">
        <v>11965</v>
      </c>
    </row>
    <row r="2217" spans="1:37" ht="96">
      <c r="A2217" s="75" t="s">
        <v>12161</v>
      </c>
      <c r="B2217" s="23" t="s">
        <v>12160</v>
      </c>
      <c r="C2217" s="140">
        <v>45429</v>
      </c>
      <c r="D2217" s="23" t="s">
        <v>729</v>
      </c>
      <c r="E2217" s="23" t="s">
        <v>752</v>
      </c>
      <c r="F2217" s="23" t="s">
        <v>2200</v>
      </c>
      <c r="G2217" s="23" t="s">
        <v>301</v>
      </c>
      <c r="H2217" s="23">
        <v>20539404</v>
      </c>
      <c r="I2217" s="23">
        <v>20539404</v>
      </c>
      <c r="J2217" s="140">
        <v>45422</v>
      </c>
      <c r="K2217" s="23" t="s">
        <v>12162</v>
      </c>
      <c r="L2217" s="140">
        <v>45434</v>
      </c>
      <c r="T2217" s="23" t="s">
        <v>305</v>
      </c>
      <c r="U2217" s="23" t="s">
        <v>305</v>
      </c>
      <c r="V2217" s="23" t="s">
        <v>299</v>
      </c>
      <c r="W2217" s="23" t="s">
        <v>11891</v>
      </c>
      <c r="Y2217" s="23">
        <v>26350</v>
      </c>
      <c r="Z2217" s="23">
        <v>234600</v>
      </c>
      <c r="AB2217" s="60" t="s">
        <v>12163</v>
      </c>
      <c r="AC2217" s="23">
        <v>17</v>
      </c>
      <c r="AD2217" s="23">
        <v>0</v>
      </c>
      <c r="AE2217" s="23">
        <v>6</v>
      </c>
      <c r="AF2217" s="23" t="s">
        <v>9622</v>
      </c>
      <c r="AG2217" s="23" t="s">
        <v>659</v>
      </c>
      <c r="AH2217" s="39">
        <v>45439</v>
      </c>
      <c r="AI2217" s="53" t="s">
        <v>5851</v>
      </c>
    </row>
    <row r="2218" spans="1:37" ht="144">
      <c r="A2218" s="75" t="s">
        <v>12164</v>
      </c>
      <c r="B2218" s="23" t="s">
        <v>12165</v>
      </c>
      <c r="C2218" s="140">
        <v>45429</v>
      </c>
      <c r="D2218" s="23" t="s">
        <v>729</v>
      </c>
      <c r="E2218" s="23" t="s">
        <v>752</v>
      </c>
      <c r="F2218" s="23" t="s">
        <v>2200</v>
      </c>
      <c r="G2218" s="23" t="s">
        <v>301</v>
      </c>
      <c r="H2218" s="23">
        <v>20539403</v>
      </c>
      <c r="I2218" s="23">
        <v>20539403</v>
      </c>
      <c r="J2218" s="140">
        <v>45422</v>
      </c>
      <c r="K2218" s="23" t="s">
        <v>12166</v>
      </c>
      <c r="L2218" s="140">
        <v>45434</v>
      </c>
      <c r="T2218" s="23" t="s">
        <v>305</v>
      </c>
      <c r="U2218" s="23" t="s">
        <v>305</v>
      </c>
      <c r="V2218" s="23" t="s">
        <v>299</v>
      </c>
      <c r="W2218" s="23" t="s">
        <v>11415</v>
      </c>
      <c r="Y2218" s="23">
        <v>37224</v>
      </c>
      <c r="Z2218" s="23">
        <v>374400</v>
      </c>
      <c r="AB2218" s="60" t="s">
        <v>12188</v>
      </c>
      <c r="AC2218" s="23">
        <v>18</v>
      </c>
      <c r="AD2218" s="23">
        <v>0</v>
      </c>
      <c r="AE2218" s="23">
        <v>9</v>
      </c>
      <c r="AF2218" s="23" t="s">
        <v>9622</v>
      </c>
      <c r="AG2218" s="23" t="s">
        <v>659</v>
      </c>
      <c r="AH2218" s="39">
        <v>45439</v>
      </c>
      <c r="AI2218" s="53" t="s">
        <v>5851</v>
      </c>
    </row>
    <row r="2219" spans="1:37">
      <c r="A2219" s="75" t="s">
        <v>12167</v>
      </c>
      <c r="B2219" s="23" t="s">
        <v>12168</v>
      </c>
      <c r="C2219" s="140">
        <v>45429</v>
      </c>
      <c r="D2219" s="23" t="s">
        <v>729</v>
      </c>
      <c r="E2219" s="23" t="s">
        <v>752</v>
      </c>
      <c r="F2219" s="23" t="s">
        <v>2200</v>
      </c>
      <c r="G2219" s="23" t="s">
        <v>301</v>
      </c>
      <c r="H2219" s="23">
        <v>20539167</v>
      </c>
      <c r="I2219" s="23">
        <v>20539167</v>
      </c>
      <c r="J2219" s="140">
        <v>45422</v>
      </c>
      <c r="K2219" s="23" t="s">
        <v>12169</v>
      </c>
      <c r="L2219" s="140">
        <v>45434</v>
      </c>
      <c r="T2219" s="23" t="s">
        <v>305</v>
      </c>
      <c r="U2219" s="23" t="s">
        <v>305</v>
      </c>
      <c r="V2219" s="23" t="s">
        <v>299</v>
      </c>
      <c r="W2219" s="23" t="s">
        <v>11415</v>
      </c>
      <c r="Y2219" s="23">
        <v>4136</v>
      </c>
      <c r="Z2219" s="23">
        <v>41600</v>
      </c>
      <c r="AB2219" s="59" t="s">
        <v>12170</v>
      </c>
      <c r="AC2219" s="23">
        <v>2</v>
      </c>
      <c r="AD2219" s="23">
        <v>0</v>
      </c>
      <c r="AE2219" s="23">
        <v>1</v>
      </c>
      <c r="AF2219" s="23" t="s">
        <v>9622</v>
      </c>
      <c r="AG2219" s="23" t="s">
        <v>659</v>
      </c>
      <c r="AH2219" s="39">
        <v>45439</v>
      </c>
      <c r="AI2219" s="53" t="s">
        <v>5851</v>
      </c>
    </row>
    <row r="2220" spans="1:37">
      <c r="A2220" s="75" t="s">
        <v>12175</v>
      </c>
      <c r="B2220" s="23" t="s">
        <v>12176</v>
      </c>
      <c r="C2220" s="140">
        <v>45435</v>
      </c>
      <c r="D2220" s="23" t="s">
        <v>729</v>
      </c>
      <c r="E2220" s="23" t="s">
        <v>752</v>
      </c>
      <c r="F2220" s="23" t="s">
        <v>11006</v>
      </c>
      <c r="G2220" s="23" t="s">
        <v>5538</v>
      </c>
      <c r="H2220" s="23" t="s">
        <v>12186</v>
      </c>
      <c r="I2220" s="23" t="s">
        <v>12186</v>
      </c>
      <c r="J2220" s="140">
        <v>45425</v>
      </c>
      <c r="Q2220" s="140">
        <v>45440</v>
      </c>
      <c r="T2220" s="23" t="s">
        <v>12031</v>
      </c>
      <c r="U2220" s="23" t="s">
        <v>12031</v>
      </c>
      <c r="V2220" s="23" t="s">
        <v>299</v>
      </c>
      <c r="W2220" s="23" t="s">
        <v>12187</v>
      </c>
      <c r="Y2220" s="23">
        <v>3646</v>
      </c>
      <c r="AB2220" s="59" t="s">
        <v>12178</v>
      </c>
      <c r="AC2220" s="23">
        <v>2</v>
      </c>
      <c r="AD2220" s="23">
        <v>0</v>
      </c>
      <c r="AE2220" s="23">
        <v>1</v>
      </c>
      <c r="AF2220" s="23" t="s">
        <v>9622</v>
      </c>
      <c r="AG2220" s="23" t="s">
        <v>12179</v>
      </c>
      <c r="AH2220" s="39">
        <v>45441</v>
      </c>
      <c r="AI2220" s="53" t="s">
        <v>8387</v>
      </c>
    </row>
    <row r="2221" spans="1:37">
      <c r="A2221" s="75" t="s">
        <v>12177</v>
      </c>
      <c r="B2221" s="23" t="s">
        <v>12180</v>
      </c>
      <c r="C2221" s="140">
        <v>45433</v>
      </c>
      <c r="D2221" s="23" t="s">
        <v>729</v>
      </c>
      <c r="E2221" s="23" t="s">
        <v>752</v>
      </c>
      <c r="F2221" s="23" t="s">
        <v>57</v>
      </c>
      <c r="G2221" s="23" t="s">
        <v>57</v>
      </c>
      <c r="H2221" s="23" t="s">
        <v>12181</v>
      </c>
      <c r="I2221" s="23" t="s">
        <v>12181</v>
      </c>
      <c r="J2221" s="140">
        <v>45430</v>
      </c>
      <c r="K2221" s="23" t="s">
        <v>12182</v>
      </c>
      <c r="L2221" s="140">
        <v>45439</v>
      </c>
      <c r="P2221" s="23" t="s">
        <v>12183</v>
      </c>
      <c r="Q2221" s="140">
        <v>45441</v>
      </c>
      <c r="S2221" s="23" t="s">
        <v>183</v>
      </c>
      <c r="T2221" s="23" t="s">
        <v>305</v>
      </c>
      <c r="U2221" s="23" t="s">
        <v>305</v>
      </c>
      <c r="V2221" s="23" t="s">
        <v>233</v>
      </c>
      <c r="W2221" s="23" t="s">
        <v>351</v>
      </c>
      <c r="X2221" s="23">
        <v>30930</v>
      </c>
      <c r="Y2221" s="23">
        <v>31147.5</v>
      </c>
      <c r="Z2221" s="23">
        <v>30034</v>
      </c>
      <c r="AA2221" s="23">
        <v>28834</v>
      </c>
      <c r="AB2221" s="59" t="s">
        <v>12184</v>
      </c>
      <c r="AC2221" s="23" t="s">
        <v>12185</v>
      </c>
      <c r="AD2221" s="23">
        <v>0</v>
      </c>
      <c r="AE2221" s="23">
        <v>2</v>
      </c>
      <c r="AF2221" s="23" t="s">
        <v>9622</v>
      </c>
      <c r="AG2221" s="23" t="s">
        <v>792</v>
      </c>
      <c r="AH2221" s="39">
        <v>45441</v>
      </c>
    </row>
    <row r="2222" spans="1:37">
      <c r="A2222" s="75" t="s">
        <v>12190</v>
      </c>
      <c r="B2222" s="23" t="s">
        <v>12191</v>
      </c>
      <c r="C2222" s="140">
        <v>45443</v>
      </c>
      <c r="D2222" s="23" t="s">
        <v>729</v>
      </c>
      <c r="E2222" s="23" t="s">
        <v>752</v>
      </c>
      <c r="F2222" s="23" t="s">
        <v>6113</v>
      </c>
      <c r="G2222" s="23" t="s">
        <v>5538</v>
      </c>
      <c r="H2222" s="23" t="s">
        <v>12192</v>
      </c>
      <c r="I2222" s="23" t="s">
        <v>12192</v>
      </c>
      <c r="J2222" s="140">
        <v>45433</v>
      </c>
      <c r="Q2222" s="140">
        <v>45449</v>
      </c>
      <c r="T2222" s="23" t="s">
        <v>12031</v>
      </c>
      <c r="U2222" s="23" t="s">
        <v>12031</v>
      </c>
      <c r="V2222" s="23" t="s">
        <v>299</v>
      </c>
      <c r="W2222" s="23" t="s">
        <v>12144</v>
      </c>
      <c r="Y2222" s="23">
        <v>5070</v>
      </c>
      <c r="AB2222" s="23" t="s">
        <v>12193</v>
      </c>
      <c r="AC2222" s="23">
        <v>2</v>
      </c>
      <c r="AD2222" s="23">
        <v>0</v>
      </c>
      <c r="AE2222" s="23">
        <v>1</v>
      </c>
      <c r="AF2222" s="23" t="s">
        <v>9622</v>
      </c>
      <c r="AG2222" s="23" t="s">
        <v>12194</v>
      </c>
      <c r="AH2222" s="39">
        <v>45447</v>
      </c>
      <c r="AI2222" s="53" t="s">
        <v>11965</v>
      </c>
    </row>
    <row r="2223" spans="1:37">
      <c r="A2223" s="75" t="s">
        <v>12195</v>
      </c>
      <c r="B2223" s="23">
        <v>239116412</v>
      </c>
      <c r="C2223" s="140">
        <v>45440</v>
      </c>
      <c r="D2223" s="23" t="s">
        <v>729</v>
      </c>
      <c r="E2223" s="23" t="s">
        <v>752</v>
      </c>
      <c r="F2223" s="23" t="s">
        <v>2176</v>
      </c>
      <c r="G2223" s="23" t="s">
        <v>12272</v>
      </c>
      <c r="H2223" s="23" t="s">
        <v>12196</v>
      </c>
      <c r="I2223" s="23" t="s">
        <v>12196</v>
      </c>
      <c r="J2223" s="140">
        <v>45407</v>
      </c>
      <c r="Q2223" s="140">
        <v>45443</v>
      </c>
      <c r="T2223" s="23" t="s">
        <v>12031</v>
      </c>
      <c r="U2223" s="23" t="s">
        <v>12031</v>
      </c>
      <c r="V2223" s="23" t="s">
        <v>299</v>
      </c>
      <c r="W2223" s="23" t="s">
        <v>12197</v>
      </c>
      <c r="Y2223" s="37">
        <v>5897</v>
      </c>
      <c r="AB2223" s="23" t="s">
        <v>12198</v>
      </c>
      <c r="AC2223" s="23">
        <v>3</v>
      </c>
      <c r="AD2223" s="23">
        <v>0</v>
      </c>
      <c r="AE2223" s="23">
        <v>1</v>
      </c>
      <c r="AF2223" s="23" t="s">
        <v>9622</v>
      </c>
      <c r="AG2223" s="23" t="s">
        <v>6510</v>
      </c>
      <c r="AH2223" s="39">
        <v>45447</v>
      </c>
      <c r="AI2223" s="53" t="s">
        <v>12199</v>
      </c>
    </row>
    <row r="2224" spans="1:37">
      <c r="A2224" s="75" t="s">
        <v>12212</v>
      </c>
      <c r="B2224" s="23" t="s">
        <v>12213</v>
      </c>
      <c r="C2224" s="140">
        <v>45421</v>
      </c>
      <c r="D2224" s="23" t="s">
        <v>729</v>
      </c>
      <c r="E2224" s="23" t="s">
        <v>752</v>
      </c>
      <c r="F2224" s="23" t="s">
        <v>11612</v>
      </c>
      <c r="G2224" s="23" t="s">
        <v>11637</v>
      </c>
      <c r="H2224" s="23" t="s">
        <v>12214</v>
      </c>
      <c r="I2224" s="23" t="s">
        <v>12214</v>
      </c>
      <c r="J2224" s="140">
        <v>45417</v>
      </c>
      <c r="Q2224" s="140" t="s">
        <v>12215</v>
      </c>
      <c r="T2224" s="23" t="s">
        <v>12031</v>
      </c>
      <c r="U2224" s="23" t="s">
        <v>12031</v>
      </c>
      <c r="V2224" s="23" t="s">
        <v>299</v>
      </c>
      <c r="W2224" s="23" t="s">
        <v>12216</v>
      </c>
      <c r="Y2224" s="23">
        <v>1419</v>
      </c>
      <c r="Z2224" s="23">
        <v>170000</v>
      </c>
      <c r="AB2224" s="23" t="s">
        <v>12217</v>
      </c>
      <c r="AC2224" s="23">
        <v>1</v>
      </c>
      <c r="AD2224" s="23">
        <v>1</v>
      </c>
      <c r="AE2224" s="23">
        <v>0</v>
      </c>
      <c r="AF2224" s="23" t="s">
        <v>9622</v>
      </c>
      <c r="AG2224" s="23" t="s">
        <v>4513</v>
      </c>
      <c r="AH2224" s="39">
        <v>45448</v>
      </c>
      <c r="AI2224" s="53" t="s">
        <v>11634</v>
      </c>
      <c r="AJ2224" s="75" t="s">
        <v>12827</v>
      </c>
      <c r="AK2224" s="53">
        <v>45450</v>
      </c>
    </row>
    <row r="2225" spans="1:55" ht="32">
      <c r="A2225" s="75" t="s">
        <v>12220</v>
      </c>
      <c r="B2225" s="23">
        <v>239775806</v>
      </c>
      <c r="C2225" s="140">
        <v>45447</v>
      </c>
      <c r="D2225" s="23" t="s">
        <v>729</v>
      </c>
      <c r="E2225" s="23" t="s">
        <v>752</v>
      </c>
      <c r="F2225" s="23" t="s">
        <v>11006</v>
      </c>
      <c r="G2225" s="23" t="s">
        <v>5538</v>
      </c>
      <c r="H2225" s="23" t="s">
        <v>12221</v>
      </c>
      <c r="I2225" s="23" t="s">
        <v>12221</v>
      </c>
      <c r="J2225" s="140">
        <v>45435</v>
      </c>
      <c r="Q2225" s="140" t="s">
        <v>12215</v>
      </c>
      <c r="T2225" s="23" t="s">
        <v>12031</v>
      </c>
      <c r="U2225" s="23" t="s">
        <v>12031</v>
      </c>
      <c r="V2225" s="23" t="s">
        <v>299</v>
      </c>
      <c r="W2225" s="19" t="s">
        <v>12222</v>
      </c>
      <c r="Y2225" s="23">
        <v>3100</v>
      </c>
      <c r="Z2225" s="23">
        <v>32400</v>
      </c>
      <c r="AB2225" s="23" t="s">
        <v>12223</v>
      </c>
      <c r="AC2225" s="23">
        <v>2</v>
      </c>
      <c r="AD2225" s="23">
        <v>0</v>
      </c>
      <c r="AE2225" s="23">
        <v>1</v>
      </c>
      <c r="AF2225" s="23" t="s">
        <v>9622</v>
      </c>
      <c r="AG2225" s="23" t="s">
        <v>12179</v>
      </c>
      <c r="AH2225" s="39">
        <v>45450</v>
      </c>
      <c r="AI2225" s="53" t="s">
        <v>12228</v>
      </c>
      <c r="AJ2225" s="75" t="s">
        <v>12828</v>
      </c>
      <c r="AK2225" s="53">
        <v>45454</v>
      </c>
    </row>
    <row r="2226" spans="1:55">
      <c r="A2226" s="75" t="s">
        <v>12224</v>
      </c>
      <c r="B2226" s="23">
        <v>239458529</v>
      </c>
      <c r="C2226" s="140">
        <v>45447</v>
      </c>
      <c r="D2226" s="23" t="s">
        <v>729</v>
      </c>
      <c r="E2226" s="23" t="s">
        <v>752</v>
      </c>
      <c r="F2226" s="23" t="s">
        <v>11006</v>
      </c>
      <c r="G2226" s="23" t="s">
        <v>5538</v>
      </c>
      <c r="H2226" s="23" t="s">
        <v>12225</v>
      </c>
      <c r="I2226" s="23" t="s">
        <v>12225</v>
      </c>
      <c r="J2226" s="140">
        <v>45420</v>
      </c>
      <c r="Q2226" s="140" t="s">
        <v>12215</v>
      </c>
      <c r="T2226" s="23" t="s">
        <v>12031</v>
      </c>
      <c r="U2226" s="23" t="s">
        <v>12031</v>
      </c>
      <c r="V2226" s="23" t="s">
        <v>299</v>
      </c>
      <c r="W2226" s="23" t="s">
        <v>12226</v>
      </c>
      <c r="Y2226" s="23">
        <v>1555</v>
      </c>
      <c r="Z2226" s="23">
        <v>16000</v>
      </c>
      <c r="AB2226" s="23" t="s">
        <v>12227</v>
      </c>
      <c r="AC2226" s="23">
        <v>1</v>
      </c>
      <c r="AD2226" s="23">
        <v>0</v>
      </c>
      <c r="AE2226" s="23">
        <v>0</v>
      </c>
      <c r="AG2226" s="23" t="s">
        <v>12179</v>
      </c>
      <c r="AH2226" s="39">
        <v>45450</v>
      </c>
      <c r="AI2226" s="53" t="s">
        <v>12228</v>
      </c>
    </row>
    <row r="2227" spans="1:55">
      <c r="A2227" s="75" t="s">
        <v>12255</v>
      </c>
      <c r="B2227" s="23" t="s">
        <v>12256</v>
      </c>
      <c r="C2227" s="140">
        <v>45412</v>
      </c>
      <c r="D2227" s="23" t="s">
        <v>729</v>
      </c>
      <c r="E2227" s="23" t="s">
        <v>752</v>
      </c>
      <c r="F2227" s="23" t="s">
        <v>11612</v>
      </c>
      <c r="G2227" s="23" t="s">
        <v>11637</v>
      </c>
      <c r="H2227" s="23" t="s">
        <v>12257</v>
      </c>
      <c r="I2227" s="23" t="s">
        <v>12257</v>
      </c>
      <c r="J2227" s="140">
        <v>45407</v>
      </c>
      <c r="Q2227" s="140" t="s">
        <v>12258</v>
      </c>
      <c r="T2227" s="23" t="s">
        <v>12031</v>
      </c>
      <c r="U2227" s="23" t="s">
        <v>12031</v>
      </c>
      <c r="V2227" s="23" t="s">
        <v>299</v>
      </c>
      <c r="W2227" s="23" t="s">
        <v>12259</v>
      </c>
      <c r="Y2227" s="23">
        <v>4200</v>
      </c>
      <c r="Z2227" s="23">
        <v>100000</v>
      </c>
      <c r="AB2227" s="23" t="s">
        <v>12260</v>
      </c>
      <c r="AC2227" s="23">
        <v>2</v>
      </c>
      <c r="AD2227" s="23">
        <v>0</v>
      </c>
      <c r="AE2227" s="23">
        <v>1</v>
      </c>
      <c r="AF2227" s="23" t="s">
        <v>9622</v>
      </c>
      <c r="AG2227" s="23" t="s">
        <v>12261</v>
      </c>
      <c r="AH2227" s="39">
        <v>45453</v>
      </c>
      <c r="AI2227" s="53" t="s">
        <v>11634</v>
      </c>
      <c r="AJ2227" s="75" t="s">
        <v>12829</v>
      </c>
      <c r="AK2227" s="53">
        <v>45454</v>
      </c>
    </row>
    <row r="2228" spans="1:55">
      <c r="A2228" s="75" t="s">
        <v>12267</v>
      </c>
      <c r="B2228" s="23" t="s">
        <v>12262</v>
      </c>
      <c r="C2228" s="140">
        <v>45419</v>
      </c>
      <c r="D2228" s="23" t="s">
        <v>729</v>
      </c>
      <c r="E2228" s="23" t="s">
        <v>752</v>
      </c>
      <c r="F2228" s="23" t="s">
        <v>11612</v>
      </c>
      <c r="G2228" s="23" t="s">
        <v>11637</v>
      </c>
      <c r="H2228" s="23" t="s">
        <v>12263</v>
      </c>
      <c r="I2228" s="23" t="s">
        <v>12263</v>
      </c>
      <c r="J2228" s="140">
        <v>45417</v>
      </c>
      <c r="T2228" s="23" t="s">
        <v>12031</v>
      </c>
      <c r="U2228" s="23" t="s">
        <v>12031</v>
      </c>
      <c r="V2228" s="23" t="s">
        <v>299</v>
      </c>
      <c r="W2228" s="23" t="s">
        <v>12264</v>
      </c>
      <c r="Y2228" s="23">
        <v>2400</v>
      </c>
      <c r="Z2228" s="23">
        <v>130000</v>
      </c>
      <c r="AB2228" s="23" t="s">
        <v>12265</v>
      </c>
      <c r="AC2228" s="23">
        <v>1</v>
      </c>
      <c r="AD2228" s="23">
        <v>1</v>
      </c>
      <c r="AE2228" s="23">
        <v>0</v>
      </c>
      <c r="AF2228" s="23" t="s">
        <v>9622</v>
      </c>
      <c r="AG2228" s="23" t="s">
        <v>12266</v>
      </c>
      <c r="AH2228" s="39">
        <v>45456</v>
      </c>
      <c r="AI2228" s="53" t="s">
        <v>11634</v>
      </c>
    </row>
    <row r="2229" spans="1:55" ht="80">
      <c r="A2229" s="75" t="s">
        <v>12268</v>
      </c>
      <c r="B2229" s="23" t="s">
        <v>12269</v>
      </c>
      <c r="C2229" s="140">
        <v>45451</v>
      </c>
      <c r="D2229" s="23" t="s">
        <v>729</v>
      </c>
      <c r="E2229" s="23" t="s">
        <v>752</v>
      </c>
      <c r="F2229" s="23" t="s">
        <v>6113</v>
      </c>
      <c r="G2229" s="23" t="s">
        <v>5538</v>
      </c>
      <c r="H2229" s="23" t="s">
        <v>12270</v>
      </c>
      <c r="I2229" s="23" t="s">
        <v>12270</v>
      </c>
      <c r="J2229" s="140">
        <v>45426</v>
      </c>
      <c r="T2229" s="23" t="s">
        <v>12031</v>
      </c>
      <c r="U2229" s="23" t="s">
        <v>12031</v>
      </c>
      <c r="V2229" s="23" t="s">
        <v>299</v>
      </c>
      <c r="W2229" s="23" t="s">
        <v>11736</v>
      </c>
      <c r="Y2229" s="23">
        <v>17800</v>
      </c>
      <c r="Z2229" s="23">
        <v>130000</v>
      </c>
      <c r="AB2229" s="19" t="s">
        <v>12271</v>
      </c>
      <c r="AC2229" s="23">
        <v>10</v>
      </c>
      <c r="AD2229" s="23">
        <v>0</v>
      </c>
      <c r="AE2229" s="23">
        <v>5</v>
      </c>
      <c r="AF2229" s="23" t="s">
        <v>9622</v>
      </c>
      <c r="AG2229" s="23" t="s">
        <v>11122</v>
      </c>
      <c r="AH2229" s="39">
        <v>45456</v>
      </c>
      <c r="AI2229" s="53" t="s">
        <v>11965</v>
      </c>
    </row>
    <row r="2230" spans="1:55">
      <c r="A2230" s="75" t="s">
        <v>12273</v>
      </c>
      <c r="B2230" s="23">
        <v>239878429</v>
      </c>
      <c r="C2230" s="140">
        <v>45454</v>
      </c>
      <c r="D2230" s="23" t="s">
        <v>729</v>
      </c>
      <c r="E2230" s="23" t="s">
        <v>752</v>
      </c>
      <c r="F2230" s="23" t="s">
        <v>57</v>
      </c>
      <c r="G2230" s="23" t="s">
        <v>57</v>
      </c>
      <c r="H2230" s="23" t="s">
        <v>12278</v>
      </c>
      <c r="I2230" s="23" t="s">
        <v>12278</v>
      </c>
      <c r="J2230" s="140">
        <v>45443</v>
      </c>
      <c r="P2230" s="23" t="s">
        <v>12279</v>
      </c>
      <c r="Q2230" s="140" t="s">
        <v>12280</v>
      </c>
      <c r="S2230" s="23" t="s">
        <v>184</v>
      </c>
      <c r="T2230" s="23" t="s">
        <v>305</v>
      </c>
      <c r="U2230" s="23" t="s">
        <v>305</v>
      </c>
      <c r="V2230" s="23" t="s">
        <v>233</v>
      </c>
      <c r="W2230" s="23" t="s">
        <v>12281</v>
      </c>
      <c r="X2230" s="23">
        <v>5542.5</v>
      </c>
      <c r="Y2230" s="23">
        <v>5692.2</v>
      </c>
      <c r="Z2230" s="23">
        <v>9978.51</v>
      </c>
      <c r="AB2230" s="59" t="s">
        <v>12282</v>
      </c>
      <c r="AC2230" s="23" t="s">
        <v>12283</v>
      </c>
      <c r="AD2230" s="23">
        <v>1</v>
      </c>
      <c r="AE2230" s="23">
        <v>0</v>
      </c>
      <c r="AF2230" s="23" t="s">
        <v>9622</v>
      </c>
      <c r="AG2230" s="23" t="s">
        <v>787</v>
      </c>
      <c r="AH2230" s="39">
        <v>45462</v>
      </c>
      <c r="BC2230" s="189" t="s">
        <v>12294</v>
      </c>
    </row>
    <row r="2231" spans="1:55">
      <c r="A2231" s="75" t="s">
        <v>12274</v>
      </c>
      <c r="B2231" s="23" t="s">
        <v>12275</v>
      </c>
      <c r="C2231" s="140">
        <v>45417</v>
      </c>
      <c r="D2231" s="23" t="s">
        <v>729</v>
      </c>
      <c r="E2231" s="23" t="s">
        <v>752</v>
      </c>
      <c r="F2231" s="23" t="s">
        <v>11612</v>
      </c>
      <c r="G2231" s="23" t="s">
        <v>11637</v>
      </c>
      <c r="H2231" s="23" t="s">
        <v>12276</v>
      </c>
      <c r="I2231" s="23" t="s">
        <v>12276</v>
      </c>
      <c r="J2231" s="140">
        <v>45414</v>
      </c>
      <c r="T2231" s="23" t="s">
        <v>12031</v>
      </c>
      <c r="U2231" s="23" t="s">
        <v>12031</v>
      </c>
      <c r="V2231" s="23" t="s">
        <v>299</v>
      </c>
      <c r="W2231" s="23" t="s">
        <v>11723</v>
      </c>
      <c r="Y2231" s="23">
        <v>4200</v>
      </c>
      <c r="Z2231" s="23">
        <v>100000</v>
      </c>
      <c r="AB2231" s="23" t="s">
        <v>12295</v>
      </c>
      <c r="AC2231" s="23">
        <v>2</v>
      </c>
      <c r="AD2231" s="23">
        <v>0</v>
      </c>
      <c r="AE2231" s="23">
        <v>1</v>
      </c>
      <c r="AF2231" s="23" t="s">
        <v>9622</v>
      </c>
      <c r="AG2231" s="23" t="s">
        <v>12277</v>
      </c>
      <c r="AH2231" s="39">
        <v>45462</v>
      </c>
      <c r="AI2231" s="53" t="s">
        <v>11634</v>
      </c>
    </row>
    <row r="2232" spans="1:55" ht="32">
      <c r="A2232" s="75" t="s">
        <v>12284</v>
      </c>
      <c r="B2232" s="23" t="s">
        <v>12285</v>
      </c>
      <c r="C2232" s="140">
        <v>45456</v>
      </c>
      <c r="D2232" s="23" t="s">
        <v>729</v>
      </c>
      <c r="E2232" s="23" t="s">
        <v>752</v>
      </c>
      <c r="F2232" s="23" t="s">
        <v>2200</v>
      </c>
      <c r="G2232" s="23" t="s">
        <v>301</v>
      </c>
      <c r="H2232" s="23" t="s">
        <v>12319</v>
      </c>
      <c r="I2232" s="23" t="s">
        <v>12319</v>
      </c>
      <c r="J2232" s="140">
        <v>45454</v>
      </c>
      <c r="K2232" s="27" t="s">
        <v>12318</v>
      </c>
      <c r="L2232" s="140">
        <v>45468</v>
      </c>
      <c r="T2232" s="23" t="s">
        <v>305</v>
      </c>
      <c r="U2232" s="23" t="s">
        <v>305</v>
      </c>
      <c r="V2232" s="23" t="s">
        <v>299</v>
      </c>
      <c r="W2232" s="19" t="s">
        <v>12286</v>
      </c>
      <c r="Y2232" s="23">
        <v>3315</v>
      </c>
      <c r="AB2232" s="59" t="s">
        <v>12287</v>
      </c>
      <c r="AC2232" s="23">
        <v>2</v>
      </c>
      <c r="AD2232" s="23">
        <v>0</v>
      </c>
      <c r="AE2232" s="23">
        <v>1</v>
      </c>
      <c r="AF2232" s="23" t="s">
        <v>9622</v>
      </c>
      <c r="AG2232" s="23" t="s">
        <v>12288</v>
      </c>
      <c r="AH2232" s="39">
        <v>45467</v>
      </c>
      <c r="AI2232" s="53" t="s">
        <v>5852</v>
      </c>
    </row>
    <row r="2233" spans="1:55" ht="128">
      <c r="A2233" s="75" t="s">
        <v>12289</v>
      </c>
      <c r="B2233" s="23" t="s">
        <v>12290</v>
      </c>
      <c r="C2233" s="140">
        <v>45456</v>
      </c>
      <c r="D2233" s="23" t="s">
        <v>729</v>
      </c>
      <c r="E2233" s="23" t="s">
        <v>752</v>
      </c>
      <c r="F2233" s="23" t="s">
        <v>2200</v>
      </c>
      <c r="G2233" s="23" t="s">
        <v>301</v>
      </c>
      <c r="H2233" s="23">
        <v>20544960</v>
      </c>
      <c r="I2233" s="23">
        <v>20544960</v>
      </c>
      <c r="J2233" s="140">
        <v>45450</v>
      </c>
      <c r="K2233" s="23" t="s">
        <v>12301</v>
      </c>
      <c r="L2233" s="140">
        <v>45456</v>
      </c>
      <c r="T2233" s="23" t="s">
        <v>305</v>
      </c>
      <c r="U2233" s="23" t="s">
        <v>305</v>
      </c>
      <c r="V2233" s="23" t="s">
        <v>299</v>
      </c>
      <c r="W2233" s="23" t="s">
        <v>11259</v>
      </c>
      <c r="Y2233" s="23">
        <v>36936</v>
      </c>
      <c r="Z2233" s="23">
        <v>338400</v>
      </c>
      <c r="AB2233" s="19" t="s">
        <v>12327</v>
      </c>
      <c r="AC2233" s="23">
        <v>24</v>
      </c>
      <c r="AD2233" s="23">
        <v>0</v>
      </c>
      <c r="AE2233" s="23">
        <v>8</v>
      </c>
      <c r="AF2233" s="23" t="s">
        <v>9622</v>
      </c>
      <c r="AG2233" s="23" t="s">
        <v>659</v>
      </c>
      <c r="AH2233" s="39">
        <v>45467</v>
      </c>
      <c r="AI2233" s="53" t="s">
        <v>5851</v>
      </c>
    </row>
    <row r="2234" spans="1:55" ht="32">
      <c r="A2234" s="75" t="s">
        <v>12291</v>
      </c>
      <c r="B2234" s="23" t="s">
        <v>12292</v>
      </c>
      <c r="C2234" s="140">
        <v>45456</v>
      </c>
      <c r="D2234" s="23" t="s">
        <v>729</v>
      </c>
      <c r="E2234" s="23" t="s">
        <v>752</v>
      </c>
      <c r="F2234" s="23" t="s">
        <v>2200</v>
      </c>
      <c r="G2234" s="23" t="s">
        <v>301</v>
      </c>
      <c r="H2234" s="23" t="s">
        <v>12298</v>
      </c>
      <c r="I2234" s="23" t="s">
        <v>12298</v>
      </c>
      <c r="J2234" s="140">
        <v>45454</v>
      </c>
      <c r="K2234" s="23" t="s">
        <v>12300</v>
      </c>
      <c r="L2234" s="140">
        <v>45460</v>
      </c>
      <c r="T2234" s="23" t="s">
        <v>305</v>
      </c>
      <c r="U2234" s="23" t="s">
        <v>305</v>
      </c>
      <c r="V2234" s="23" t="s">
        <v>299</v>
      </c>
      <c r="W2234" s="19" t="s">
        <v>12293</v>
      </c>
      <c r="Y2234" s="23">
        <v>4790</v>
      </c>
      <c r="AB2234" s="19" t="s">
        <v>12328</v>
      </c>
      <c r="AC2234" s="23">
        <v>3</v>
      </c>
      <c r="AD2234" s="23">
        <v>1</v>
      </c>
      <c r="AE2234" s="23">
        <v>1</v>
      </c>
      <c r="AF2234" s="23" t="s">
        <v>9622</v>
      </c>
      <c r="AG2234" s="23" t="s">
        <v>659</v>
      </c>
      <c r="AH2234" s="39">
        <v>45467</v>
      </c>
      <c r="AI2234" s="53" t="s">
        <v>5851</v>
      </c>
    </row>
    <row r="2235" spans="1:55">
      <c r="A2235" s="75" t="s">
        <v>12296</v>
      </c>
      <c r="B2235" s="23" t="s">
        <v>12297</v>
      </c>
      <c r="C2235" s="140">
        <v>45442</v>
      </c>
      <c r="D2235" s="23" t="s">
        <v>729</v>
      </c>
      <c r="E2235" s="23" t="s">
        <v>752</v>
      </c>
      <c r="F2235" s="23" t="s">
        <v>2200</v>
      </c>
      <c r="G2235" s="23" t="s">
        <v>301</v>
      </c>
      <c r="H2235" s="23">
        <v>55019705</v>
      </c>
      <c r="I2235" s="23">
        <v>55019705</v>
      </c>
      <c r="J2235" s="140">
        <v>45432</v>
      </c>
      <c r="K2235" s="23" t="s">
        <v>12302</v>
      </c>
      <c r="L2235" s="140">
        <v>45456</v>
      </c>
      <c r="P2235" s="23" t="s">
        <v>12320</v>
      </c>
      <c r="Q2235" s="141" t="s">
        <v>12321</v>
      </c>
      <c r="T2235" s="23" t="s">
        <v>305</v>
      </c>
      <c r="U2235" s="23" t="s">
        <v>305</v>
      </c>
      <c r="V2235" s="23" t="s">
        <v>298</v>
      </c>
      <c r="W2235" s="23" t="s">
        <v>11559</v>
      </c>
      <c r="Y2235" s="23">
        <v>8248</v>
      </c>
      <c r="Z2235" s="23">
        <v>66890</v>
      </c>
      <c r="AB2235" s="59" t="s">
        <v>12299</v>
      </c>
      <c r="AC2235" s="23" t="s">
        <v>11486</v>
      </c>
      <c r="AD2235" s="23">
        <v>0</v>
      </c>
      <c r="AE2235" s="23">
        <v>1</v>
      </c>
      <c r="AF2235" s="23" t="s">
        <v>9622</v>
      </c>
      <c r="AG2235" s="23" t="s">
        <v>5602</v>
      </c>
      <c r="AH2235" s="39">
        <v>45467</v>
      </c>
    </row>
    <row r="2236" spans="1:55">
      <c r="A2236" s="75" t="s">
        <v>12303</v>
      </c>
      <c r="B2236" s="23" t="s">
        <v>12819</v>
      </c>
      <c r="C2236" s="140">
        <v>45463</v>
      </c>
      <c r="D2236" s="23" t="s">
        <v>729</v>
      </c>
      <c r="E2236" s="23" t="s">
        <v>2919</v>
      </c>
      <c r="F2236" s="23" t="s">
        <v>12305</v>
      </c>
      <c r="G2236" s="23" t="s">
        <v>12304</v>
      </c>
      <c r="H2236" s="23">
        <v>1324001972</v>
      </c>
      <c r="I2236" s="23">
        <v>1324001972</v>
      </c>
      <c r="J2236" s="140">
        <v>45463</v>
      </c>
      <c r="S2236" s="23" t="s">
        <v>184</v>
      </c>
      <c r="T2236" s="23" t="s">
        <v>3684</v>
      </c>
      <c r="U2236" s="23" t="s">
        <v>3684</v>
      </c>
      <c r="V2236" s="23" t="s">
        <v>12306</v>
      </c>
      <c r="X2236" s="37">
        <v>22098.44</v>
      </c>
      <c r="Y2236" s="37">
        <v>22957.72</v>
      </c>
      <c r="Z2236" s="37">
        <v>103113.60000000001</v>
      </c>
      <c r="AB2236" s="23">
        <v>1</v>
      </c>
      <c r="AC2236" s="38">
        <v>214820</v>
      </c>
      <c r="AD2236" s="23">
        <v>0</v>
      </c>
      <c r="AE2236" s="23">
        <v>1</v>
      </c>
      <c r="AF2236" s="23" t="s">
        <v>9622</v>
      </c>
      <c r="AG2236" s="23" t="s">
        <v>12307</v>
      </c>
      <c r="AH2236" s="39">
        <v>45468</v>
      </c>
    </row>
    <row r="2237" spans="1:55" ht="160">
      <c r="A2237" s="75" t="s">
        <v>12308</v>
      </c>
      <c r="B2237" s="23" t="s">
        <v>12309</v>
      </c>
      <c r="C2237" s="140">
        <v>45466</v>
      </c>
      <c r="D2237" s="23" t="s">
        <v>729</v>
      </c>
      <c r="E2237" s="23" t="s">
        <v>752</v>
      </c>
      <c r="F2237" s="23" t="s">
        <v>2200</v>
      </c>
      <c r="G2237" s="23" t="s">
        <v>301</v>
      </c>
      <c r="H2237" s="23">
        <v>20546306</v>
      </c>
      <c r="I2237" s="23">
        <v>20546306</v>
      </c>
      <c r="J2237" s="140">
        <v>45461</v>
      </c>
      <c r="K2237" s="23" t="s">
        <v>12310</v>
      </c>
      <c r="L2237" s="140">
        <v>45468</v>
      </c>
      <c r="T2237" s="23" t="s">
        <v>305</v>
      </c>
      <c r="U2237" s="23" t="s">
        <v>305</v>
      </c>
      <c r="V2237" s="23" t="s">
        <v>299</v>
      </c>
      <c r="W2237" s="23" t="s">
        <v>12135</v>
      </c>
      <c r="Y2237" s="23">
        <v>39540</v>
      </c>
      <c r="Z2237" s="23">
        <v>270000</v>
      </c>
      <c r="AB2237" s="19" t="s">
        <v>12379</v>
      </c>
      <c r="AC2237" s="23">
        <v>30</v>
      </c>
      <c r="AD2237" s="23">
        <v>0</v>
      </c>
      <c r="AE2237" s="23">
        <v>10</v>
      </c>
      <c r="AF2237" s="23" t="s">
        <v>9622</v>
      </c>
      <c r="AG2237" s="23" t="s">
        <v>659</v>
      </c>
      <c r="AH2237" s="39">
        <v>45470</v>
      </c>
      <c r="AI2237" s="53" t="s">
        <v>5851</v>
      </c>
    </row>
    <row r="2238" spans="1:55">
      <c r="A2238" s="75" t="s">
        <v>12311</v>
      </c>
      <c r="B2238" s="23" t="s">
        <v>12312</v>
      </c>
      <c r="C2238" s="140">
        <v>45466</v>
      </c>
      <c r="D2238" s="23" t="s">
        <v>729</v>
      </c>
      <c r="E2238" s="23" t="s">
        <v>752</v>
      </c>
      <c r="F2238" s="23" t="s">
        <v>57</v>
      </c>
      <c r="G2238" s="23" t="s">
        <v>57</v>
      </c>
      <c r="H2238" s="23" t="s">
        <v>12313</v>
      </c>
      <c r="I2238" s="23" t="s">
        <v>12313</v>
      </c>
      <c r="J2238" s="140">
        <v>45463</v>
      </c>
      <c r="K2238" s="23" t="s">
        <v>12314</v>
      </c>
      <c r="L2238" s="140">
        <v>45470</v>
      </c>
      <c r="P2238" s="23" t="s">
        <v>12315</v>
      </c>
      <c r="Q2238" s="140">
        <v>45474</v>
      </c>
      <c r="S2238" s="23" t="s">
        <v>183</v>
      </c>
      <c r="T2238" s="23" t="s">
        <v>305</v>
      </c>
      <c r="U2238" s="23" t="s">
        <v>305</v>
      </c>
      <c r="V2238" s="23" t="s">
        <v>233</v>
      </c>
      <c r="W2238" s="23" t="s">
        <v>351</v>
      </c>
      <c r="X2238" s="37">
        <v>48286.8</v>
      </c>
      <c r="Y2238" s="37">
        <v>48613.3</v>
      </c>
      <c r="Z2238" s="37">
        <v>48994.21</v>
      </c>
      <c r="AB2238" s="23" t="s">
        <v>12316</v>
      </c>
      <c r="AC2238" s="23" t="s">
        <v>12317</v>
      </c>
      <c r="AD2238" s="23">
        <v>0</v>
      </c>
      <c r="AE2238" s="23">
        <v>3</v>
      </c>
      <c r="AF2238" s="23" t="s">
        <v>9622</v>
      </c>
      <c r="AG2238" s="23" t="s">
        <v>792</v>
      </c>
      <c r="AH2238" s="39">
        <v>45474</v>
      </c>
    </row>
    <row r="2239" spans="1:55" ht="32">
      <c r="A2239" s="75" t="s">
        <v>12322</v>
      </c>
      <c r="B2239" s="23" t="s">
        <v>12323</v>
      </c>
      <c r="C2239" s="140">
        <v>45475</v>
      </c>
      <c r="D2239" s="23" t="s">
        <v>729</v>
      </c>
      <c r="E2239" s="23" t="s">
        <v>2861</v>
      </c>
      <c r="F2239" s="23" t="s">
        <v>11612</v>
      </c>
      <c r="G2239" s="23" t="s">
        <v>11637</v>
      </c>
      <c r="H2239" s="23" t="s">
        <v>12324</v>
      </c>
      <c r="I2239" s="23" t="s">
        <v>12324</v>
      </c>
      <c r="J2239" s="140">
        <v>45474</v>
      </c>
      <c r="S2239" s="23" t="s">
        <v>184</v>
      </c>
      <c r="T2239" s="23" t="s">
        <v>12326</v>
      </c>
      <c r="U2239" s="23" t="s">
        <v>12326</v>
      </c>
      <c r="V2239" s="23" t="s">
        <v>299</v>
      </c>
      <c r="W2239" s="19" t="s">
        <v>12333</v>
      </c>
      <c r="Y2239" s="23">
        <v>4860</v>
      </c>
      <c r="AB2239" s="23" t="s">
        <v>12325</v>
      </c>
      <c r="AC2239" s="23">
        <v>2</v>
      </c>
      <c r="AD2239" s="23">
        <v>0</v>
      </c>
      <c r="AE2239" s="23">
        <v>0</v>
      </c>
      <c r="AF2239" s="23" t="s">
        <v>97</v>
      </c>
      <c r="AG2239" s="23" t="s">
        <v>11050</v>
      </c>
      <c r="AH2239" s="39">
        <v>45476</v>
      </c>
      <c r="AI2239" s="53" t="s">
        <v>11634</v>
      </c>
      <c r="AJ2239" s="75" t="s">
        <v>13242</v>
      </c>
      <c r="AK2239" s="53">
        <v>45841</v>
      </c>
    </row>
    <row r="2240" spans="1:55" ht="176">
      <c r="A2240" s="75" t="s">
        <v>12329</v>
      </c>
      <c r="B2240" s="23" t="s">
        <v>12330</v>
      </c>
      <c r="C2240" s="140">
        <v>45471</v>
      </c>
      <c r="D2240" s="23" t="s">
        <v>729</v>
      </c>
      <c r="E2240" s="23" t="s">
        <v>752</v>
      </c>
      <c r="F2240" s="23" t="s">
        <v>2200</v>
      </c>
      <c r="G2240" s="23" t="s">
        <v>301</v>
      </c>
      <c r="H2240" s="23" t="s">
        <v>12331</v>
      </c>
      <c r="I2240" s="23" t="s">
        <v>12331</v>
      </c>
      <c r="J2240" s="140">
        <v>45467</v>
      </c>
      <c r="K2240" s="23" t="s">
        <v>12332</v>
      </c>
      <c r="L2240" s="140">
        <v>45471</v>
      </c>
      <c r="T2240" s="23" t="s">
        <v>305</v>
      </c>
      <c r="U2240" s="23" t="s">
        <v>305</v>
      </c>
      <c r="V2240" s="23" t="s">
        <v>299</v>
      </c>
      <c r="W2240" s="19" t="s">
        <v>12334</v>
      </c>
      <c r="Y2240" s="23">
        <v>44250</v>
      </c>
      <c r="Z2240" s="23">
        <v>318000</v>
      </c>
      <c r="AB2240" s="19" t="s">
        <v>12378</v>
      </c>
      <c r="AC2240" s="23">
        <v>33</v>
      </c>
      <c r="AD2240" s="23">
        <v>0</v>
      </c>
      <c r="AE2240" s="23">
        <v>11</v>
      </c>
      <c r="AF2240" s="23" t="s">
        <v>9622</v>
      </c>
      <c r="AG2240" s="23" t="s">
        <v>659</v>
      </c>
      <c r="AH2240" s="39">
        <v>45478</v>
      </c>
      <c r="AI2240" s="53" t="s">
        <v>5851</v>
      </c>
    </row>
    <row r="2241" spans="1:37">
      <c r="A2241" s="75" t="s">
        <v>12335</v>
      </c>
      <c r="B2241" s="121" t="s">
        <v>12344</v>
      </c>
      <c r="C2241" s="140">
        <v>45466</v>
      </c>
      <c r="D2241" s="23" t="s">
        <v>729</v>
      </c>
      <c r="E2241" s="23" t="s">
        <v>752</v>
      </c>
      <c r="F2241" s="23" t="s">
        <v>12338</v>
      </c>
      <c r="G2241" s="23" t="s">
        <v>12364</v>
      </c>
      <c r="H2241" s="23" t="s">
        <v>12345</v>
      </c>
      <c r="I2241" s="23" t="s">
        <v>12345</v>
      </c>
      <c r="J2241" s="140">
        <v>45457</v>
      </c>
      <c r="T2241" s="23" t="s">
        <v>12031</v>
      </c>
      <c r="U2241" s="23" t="s">
        <v>12031</v>
      </c>
      <c r="V2241" s="23" t="s">
        <v>299</v>
      </c>
      <c r="W2241" s="23" t="s">
        <v>12355</v>
      </c>
      <c r="Y2241" s="23">
        <v>2150</v>
      </c>
      <c r="Z2241" s="23">
        <v>17500</v>
      </c>
      <c r="AB2241" s="59" t="s">
        <v>12346</v>
      </c>
      <c r="AC2241" s="23">
        <v>1</v>
      </c>
      <c r="AD2241" s="23">
        <v>1</v>
      </c>
      <c r="AE2241" s="23">
        <v>0</v>
      </c>
      <c r="AF2241" s="23" t="s">
        <v>9622</v>
      </c>
      <c r="AG2241" s="23" t="s">
        <v>12347</v>
      </c>
      <c r="AH2241" s="39">
        <v>45479</v>
      </c>
      <c r="AI2241" s="53" t="s">
        <v>12228</v>
      </c>
    </row>
    <row r="2242" spans="1:37" ht="64">
      <c r="A2242" s="75" t="s">
        <v>12348</v>
      </c>
      <c r="B2242" s="23" t="s">
        <v>12349</v>
      </c>
      <c r="C2242" s="140">
        <v>45476</v>
      </c>
      <c r="D2242" s="23" t="s">
        <v>729</v>
      </c>
      <c r="E2242" s="23" t="s">
        <v>752</v>
      </c>
      <c r="F2242" s="23" t="s">
        <v>3456</v>
      </c>
      <c r="G2242" s="23" t="s">
        <v>11636</v>
      </c>
      <c r="H2242" s="23" t="s">
        <v>12350</v>
      </c>
      <c r="I2242" s="23" t="s">
        <v>12350</v>
      </c>
      <c r="J2242" s="140">
        <v>45453</v>
      </c>
      <c r="T2242" s="23" t="s">
        <v>12031</v>
      </c>
      <c r="U2242" s="23" t="s">
        <v>12031</v>
      </c>
      <c r="V2242" s="23" t="s">
        <v>299</v>
      </c>
      <c r="W2242" s="19" t="s">
        <v>12351</v>
      </c>
      <c r="Y2242" s="38">
        <v>14600</v>
      </c>
      <c r="Z2242" s="38">
        <v>169000</v>
      </c>
      <c r="AB2242" s="19" t="s">
        <v>12352</v>
      </c>
      <c r="AC2242" s="23">
        <v>8</v>
      </c>
      <c r="AD2242" s="23">
        <v>0</v>
      </c>
      <c r="AE2242" s="23">
        <v>4</v>
      </c>
      <c r="AF2242" s="23" t="s">
        <v>9622</v>
      </c>
      <c r="AG2242" s="23" t="s">
        <v>3459</v>
      </c>
      <c r="AH2242" s="39">
        <v>45479</v>
      </c>
      <c r="AI2242" s="53" t="s">
        <v>3857</v>
      </c>
      <c r="AJ2242" s="75" t="s">
        <v>13243</v>
      </c>
      <c r="AK2242" s="53">
        <v>45847</v>
      </c>
    </row>
    <row r="2243" spans="1:37" ht="80">
      <c r="A2243" s="75" t="s">
        <v>12353</v>
      </c>
      <c r="B2243" s="23">
        <v>240995973</v>
      </c>
      <c r="C2243" s="140">
        <v>45467</v>
      </c>
      <c r="D2243" s="23" t="s">
        <v>729</v>
      </c>
      <c r="E2243" s="23" t="s">
        <v>752</v>
      </c>
      <c r="F2243" s="23" t="s">
        <v>11006</v>
      </c>
      <c r="G2243" s="23" t="s">
        <v>5538</v>
      </c>
      <c r="H2243" s="23" t="s">
        <v>12354</v>
      </c>
      <c r="I2243" s="23" t="s">
        <v>12354</v>
      </c>
      <c r="J2243" s="140">
        <v>45456</v>
      </c>
      <c r="T2243" s="23" t="s">
        <v>12031</v>
      </c>
      <c r="U2243" s="23" t="s">
        <v>12031</v>
      </c>
      <c r="V2243" s="23" t="s">
        <v>299</v>
      </c>
      <c r="W2243" s="23" t="s">
        <v>12355</v>
      </c>
      <c r="Y2243" s="23">
        <v>21500</v>
      </c>
      <c r="Z2243" s="23">
        <v>175000</v>
      </c>
      <c r="AB2243" s="19" t="s">
        <v>12380</v>
      </c>
      <c r="AC2243" s="23">
        <v>10</v>
      </c>
      <c r="AD2243" s="23">
        <v>0</v>
      </c>
      <c r="AE2243" s="23">
        <v>5</v>
      </c>
      <c r="AF2243" s="23" t="s">
        <v>9622</v>
      </c>
      <c r="AG2243" s="23" t="s">
        <v>12356</v>
      </c>
      <c r="AH2243" s="39">
        <v>45481</v>
      </c>
      <c r="AI2243" s="53" t="s">
        <v>11984</v>
      </c>
    </row>
    <row r="2244" spans="1:37" ht="32">
      <c r="A2244" s="75" t="s">
        <v>12357</v>
      </c>
      <c r="B2244" s="23" t="s">
        <v>12358</v>
      </c>
      <c r="C2244" s="140">
        <v>45477</v>
      </c>
      <c r="D2244" s="23" t="s">
        <v>729</v>
      </c>
      <c r="E2244" s="23" t="s">
        <v>752</v>
      </c>
      <c r="F2244" s="23" t="s">
        <v>6113</v>
      </c>
      <c r="G2244" s="23" t="s">
        <v>5538</v>
      </c>
      <c r="H2244" s="23" t="s">
        <v>12359</v>
      </c>
      <c r="I2244" s="23" t="s">
        <v>12359</v>
      </c>
      <c r="J2244" s="140">
        <v>45449</v>
      </c>
      <c r="T2244" s="23" t="s">
        <v>12031</v>
      </c>
      <c r="U2244" s="23" t="s">
        <v>12031</v>
      </c>
      <c r="V2244" s="23" t="s">
        <v>299</v>
      </c>
      <c r="W2244" s="23" t="s">
        <v>12360</v>
      </c>
      <c r="Y2244" s="23">
        <v>9920</v>
      </c>
      <c r="Z2244" s="23">
        <v>30000</v>
      </c>
      <c r="AB2244" s="19" t="s">
        <v>12381</v>
      </c>
      <c r="AC2244" s="23">
        <v>4</v>
      </c>
      <c r="AD2244" s="23">
        <v>0</v>
      </c>
      <c r="AE2244" s="23">
        <v>2</v>
      </c>
      <c r="AF2244" s="23" t="s">
        <v>9622</v>
      </c>
      <c r="AG2244" s="23" t="s">
        <v>11472</v>
      </c>
      <c r="AH2244" s="39">
        <v>45482</v>
      </c>
      <c r="AI2244" s="53" t="s">
        <v>11965</v>
      </c>
    </row>
    <row r="2245" spans="1:37">
      <c r="A2245" s="75" t="s">
        <v>12361</v>
      </c>
      <c r="B2245" s="23" t="s">
        <v>12362</v>
      </c>
      <c r="C2245" s="140">
        <v>45470</v>
      </c>
      <c r="D2245" s="23" t="s">
        <v>729</v>
      </c>
      <c r="E2245" s="23" t="s">
        <v>752</v>
      </c>
      <c r="F2245" s="23" t="s">
        <v>2200</v>
      </c>
      <c r="G2245" s="23" t="s">
        <v>301</v>
      </c>
      <c r="H2245" s="23" t="s">
        <v>12363</v>
      </c>
      <c r="I2245" s="23" t="s">
        <v>12363</v>
      </c>
      <c r="J2245" s="140">
        <v>45469</v>
      </c>
      <c r="K2245" s="27" t="s">
        <v>12369</v>
      </c>
      <c r="L2245" s="140">
        <v>45475</v>
      </c>
      <c r="T2245" s="23" t="s">
        <v>305</v>
      </c>
      <c r="U2245" s="23" t="s">
        <v>305</v>
      </c>
      <c r="V2245" s="23" t="s">
        <v>299</v>
      </c>
      <c r="W2245" s="23" t="s">
        <v>12365</v>
      </c>
      <c r="Y2245" s="23">
        <v>2535</v>
      </c>
      <c r="Z2245" s="23">
        <v>47245.37</v>
      </c>
      <c r="AB2245" s="59" t="s">
        <v>12366</v>
      </c>
      <c r="AC2245" s="23">
        <v>1</v>
      </c>
      <c r="AD2245" s="23">
        <v>1</v>
      </c>
      <c r="AE2245" s="23">
        <v>0</v>
      </c>
      <c r="AF2245" s="23" t="s">
        <v>9622</v>
      </c>
      <c r="AG2245" s="23" t="s">
        <v>12288</v>
      </c>
      <c r="AH2245" s="39">
        <v>45482</v>
      </c>
      <c r="AI2245" s="53" t="s">
        <v>5852</v>
      </c>
    </row>
    <row r="2246" spans="1:37" ht="64">
      <c r="A2246" s="75" t="s">
        <v>12367</v>
      </c>
      <c r="B2246" s="23" t="s">
        <v>12368</v>
      </c>
      <c r="C2246" s="140">
        <v>45474</v>
      </c>
      <c r="D2246" s="23" t="s">
        <v>729</v>
      </c>
      <c r="E2246" s="23" t="s">
        <v>752</v>
      </c>
      <c r="F2246" s="23" t="s">
        <v>2200</v>
      </c>
      <c r="G2246" s="23" t="s">
        <v>301</v>
      </c>
      <c r="H2246" s="23">
        <v>20548511</v>
      </c>
      <c r="I2246" s="23">
        <v>20548511</v>
      </c>
      <c r="J2246" s="140">
        <v>45470</v>
      </c>
      <c r="K2246" s="23" t="s">
        <v>12385</v>
      </c>
      <c r="L2246" s="140">
        <v>45481</v>
      </c>
      <c r="O2246" s="23" t="s">
        <v>12383</v>
      </c>
      <c r="P2246" s="23" t="s">
        <v>12382</v>
      </c>
      <c r="T2246" s="23" t="s">
        <v>305</v>
      </c>
      <c r="U2246" s="23" t="s">
        <v>305</v>
      </c>
      <c r="V2246" s="23" t="s">
        <v>299</v>
      </c>
      <c r="W2246" s="23" t="s">
        <v>11259</v>
      </c>
      <c r="Y2246" s="23">
        <v>18468</v>
      </c>
      <c r="Z2246" s="23">
        <v>169200</v>
      </c>
      <c r="AB2246" s="19" t="s">
        <v>12415</v>
      </c>
      <c r="AC2246" s="23">
        <v>12</v>
      </c>
      <c r="AD2246" s="23">
        <v>0</v>
      </c>
      <c r="AE2246" s="23">
        <v>4</v>
      </c>
      <c r="AF2246" s="23" t="s">
        <v>9622</v>
      </c>
      <c r="AG2246" s="23" t="s">
        <v>659</v>
      </c>
      <c r="AH2246" s="39">
        <v>45483</v>
      </c>
      <c r="AI2246" s="53" t="s">
        <v>5851</v>
      </c>
    </row>
    <row r="2247" spans="1:37" ht="64">
      <c r="A2247" s="75" t="s">
        <v>12370</v>
      </c>
      <c r="B2247" s="23" t="s">
        <v>12371</v>
      </c>
      <c r="C2247" s="140">
        <v>45480</v>
      </c>
      <c r="D2247" s="23" t="s">
        <v>729</v>
      </c>
      <c r="E2247" s="23" t="s">
        <v>752</v>
      </c>
      <c r="F2247" s="23" t="s">
        <v>2200</v>
      </c>
      <c r="G2247" s="23" t="s">
        <v>301</v>
      </c>
      <c r="H2247" s="23">
        <v>20549141</v>
      </c>
      <c r="I2247" s="23">
        <v>20549141</v>
      </c>
      <c r="J2247" s="140">
        <v>45474</v>
      </c>
      <c r="K2247" s="23" t="s">
        <v>12386</v>
      </c>
      <c r="L2247" s="140">
        <v>45485</v>
      </c>
      <c r="P2247" s="23" t="s">
        <v>12400</v>
      </c>
      <c r="Q2247" s="141" t="s">
        <v>12401</v>
      </c>
      <c r="T2247" s="23" t="s">
        <v>305</v>
      </c>
      <c r="U2247" s="23" t="s">
        <v>305</v>
      </c>
      <c r="V2247" s="23" t="s">
        <v>299</v>
      </c>
      <c r="W2247" s="23" t="s">
        <v>11259</v>
      </c>
      <c r="Y2247" s="23">
        <v>18468</v>
      </c>
      <c r="Z2247" s="23">
        <v>169200</v>
      </c>
      <c r="AB2247" s="19" t="s">
        <v>12455</v>
      </c>
      <c r="AC2247" s="23">
        <v>12</v>
      </c>
      <c r="AD2247" s="23">
        <v>0</v>
      </c>
      <c r="AE2247" s="23">
        <v>4</v>
      </c>
      <c r="AF2247" s="23" t="s">
        <v>9622</v>
      </c>
      <c r="AG2247" s="23" t="s">
        <v>659</v>
      </c>
      <c r="AH2247" s="39">
        <v>45483</v>
      </c>
      <c r="AI2247" s="53" t="s">
        <v>5851</v>
      </c>
    </row>
    <row r="2248" spans="1:37">
      <c r="A2248" s="75" t="s">
        <v>12372</v>
      </c>
      <c r="B2248" s="23">
        <v>241780571</v>
      </c>
      <c r="C2248" s="140">
        <v>45479</v>
      </c>
      <c r="D2248" s="23" t="s">
        <v>729</v>
      </c>
      <c r="E2248" s="23" t="s">
        <v>752</v>
      </c>
      <c r="F2248" s="23" t="s">
        <v>11006</v>
      </c>
      <c r="G2248" s="23" t="s">
        <v>5538</v>
      </c>
      <c r="H2248" s="23" t="s">
        <v>12373</v>
      </c>
      <c r="I2248" s="23" t="s">
        <v>12373</v>
      </c>
      <c r="J2248" s="140">
        <v>45478</v>
      </c>
      <c r="T2248" s="23" t="s">
        <v>12031</v>
      </c>
      <c r="U2248" s="23" t="s">
        <v>12031</v>
      </c>
      <c r="V2248" s="23" t="s">
        <v>298</v>
      </c>
      <c r="W2248" s="23" t="s">
        <v>12374</v>
      </c>
      <c r="Y2248" s="23">
        <v>3784</v>
      </c>
      <c r="Z2248" s="23">
        <v>50200</v>
      </c>
      <c r="AB2248" s="59" t="s">
        <v>12375</v>
      </c>
      <c r="AC2248" s="23">
        <v>2</v>
      </c>
      <c r="AD2248" s="23">
        <v>0</v>
      </c>
      <c r="AE2248" s="23">
        <v>1</v>
      </c>
      <c r="AF2248" s="23" t="s">
        <v>9622</v>
      </c>
      <c r="AG2248" s="23" t="s">
        <v>11276</v>
      </c>
      <c r="AH2248" s="39">
        <v>45488</v>
      </c>
      <c r="AI2248" s="53" t="s">
        <v>8387</v>
      </c>
    </row>
    <row r="2249" spans="1:37" ht="160">
      <c r="A2249" s="75" t="s">
        <v>12376</v>
      </c>
      <c r="B2249" s="23" t="s">
        <v>12377</v>
      </c>
      <c r="C2249" s="140">
        <v>45478</v>
      </c>
      <c r="D2249" s="23" t="s">
        <v>729</v>
      </c>
      <c r="E2249" s="23" t="s">
        <v>752</v>
      </c>
      <c r="F2249" s="23" t="s">
        <v>2200</v>
      </c>
      <c r="G2249" s="23" t="s">
        <v>301</v>
      </c>
      <c r="H2249" s="23">
        <v>20549312</v>
      </c>
      <c r="I2249" s="23">
        <v>20549312</v>
      </c>
      <c r="J2249" s="140">
        <v>45475</v>
      </c>
      <c r="K2249" s="23" t="s">
        <v>12384</v>
      </c>
      <c r="L2249" s="140">
        <v>45483</v>
      </c>
      <c r="P2249" s="23" t="s">
        <v>12400</v>
      </c>
      <c r="Q2249" s="141" t="s">
        <v>12401</v>
      </c>
      <c r="T2249" s="23" t="s">
        <v>305</v>
      </c>
      <c r="U2249" s="23" t="s">
        <v>305</v>
      </c>
      <c r="V2249" s="23" t="s">
        <v>298</v>
      </c>
      <c r="W2249" s="23" t="s">
        <v>11608</v>
      </c>
      <c r="Y2249" s="23">
        <v>39540</v>
      </c>
      <c r="Z2249" s="23">
        <v>387.81</v>
      </c>
      <c r="AB2249" s="19" t="s">
        <v>12456</v>
      </c>
      <c r="AC2249" s="23">
        <v>30</v>
      </c>
      <c r="AD2249" s="23">
        <v>0</v>
      </c>
      <c r="AE2249" s="23">
        <v>10</v>
      </c>
      <c r="AF2249" s="23" t="s">
        <v>9622</v>
      </c>
      <c r="AG2249" s="23" t="s">
        <v>659</v>
      </c>
      <c r="AH2249" s="39">
        <v>45478</v>
      </c>
      <c r="AI2249" s="53" t="s">
        <v>5851</v>
      </c>
    </row>
    <row r="2250" spans="1:37">
      <c r="A2250" s="75" t="s">
        <v>12387</v>
      </c>
      <c r="B2250" s="23" t="s">
        <v>12388</v>
      </c>
      <c r="C2250" s="140">
        <v>45486</v>
      </c>
      <c r="D2250" s="23" t="s">
        <v>729</v>
      </c>
      <c r="E2250" s="23" t="s">
        <v>752</v>
      </c>
      <c r="F2250" s="23" t="s">
        <v>5115</v>
      </c>
      <c r="G2250" s="23" t="s">
        <v>3469</v>
      </c>
      <c r="H2250" s="23" t="s">
        <v>12389</v>
      </c>
      <c r="I2250" s="23" t="s">
        <v>12389</v>
      </c>
      <c r="J2250" s="140">
        <v>45481</v>
      </c>
      <c r="T2250" s="23" t="s">
        <v>12031</v>
      </c>
      <c r="U2250" s="23" t="s">
        <v>12031</v>
      </c>
      <c r="V2250" s="23" t="s">
        <v>299</v>
      </c>
      <c r="W2250" s="27" t="s">
        <v>11994</v>
      </c>
      <c r="Y2250" s="23">
        <v>78125</v>
      </c>
      <c r="Z2250" s="23">
        <v>141500</v>
      </c>
      <c r="AB2250" s="23" t="s">
        <v>12325</v>
      </c>
      <c r="AC2250" s="23">
        <v>5</v>
      </c>
      <c r="AD2250" s="23">
        <v>0</v>
      </c>
      <c r="AE2250" s="23">
        <v>0</v>
      </c>
      <c r="AF2250" s="23" t="s">
        <v>97</v>
      </c>
      <c r="AG2250" s="23" t="s">
        <v>11512</v>
      </c>
      <c r="AH2250" s="39">
        <v>45495</v>
      </c>
      <c r="AI2250" s="53" t="s">
        <v>5706</v>
      </c>
      <c r="AJ2250" s="75" t="s">
        <v>13350</v>
      </c>
      <c r="AK2250" s="53">
        <v>45495</v>
      </c>
    </row>
    <row r="2251" spans="1:37" ht="32">
      <c r="A2251" s="75" t="s">
        <v>12390</v>
      </c>
      <c r="B2251" s="23" t="s">
        <v>12391</v>
      </c>
      <c r="C2251" s="140">
        <v>45486</v>
      </c>
      <c r="D2251" s="23" t="s">
        <v>729</v>
      </c>
      <c r="E2251" s="23" t="s">
        <v>752</v>
      </c>
      <c r="F2251" s="23" t="s">
        <v>10928</v>
      </c>
      <c r="G2251" s="23" t="s">
        <v>3469</v>
      </c>
      <c r="H2251" s="23" t="s">
        <v>12392</v>
      </c>
      <c r="I2251" s="23" t="s">
        <v>12392</v>
      </c>
      <c r="J2251" s="140">
        <v>45481</v>
      </c>
      <c r="T2251" s="23" t="s">
        <v>12031</v>
      </c>
      <c r="U2251" s="23" t="s">
        <v>12031</v>
      </c>
      <c r="V2251" s="23" t="s">
        <v>299</v>
      </c>
      <c r="W2251" s="19" t="s">
        <v>12393</v>
      </c>
      <c r="Y2251" s="23">
        <v>176070</v>
      </c>
      <c r="Z2251" s="23">
        <v>311300</v>
      </c>
      <c r="AB2251" s="23" t="s">
        <v>12325</v>
      </c>
      <c r="AC2251" s="23">
        <v>11</v>
      </c>
      <c r="AD2251" s="23">
        <v>0</v>
      </c>
      <c r="AE2251" s="23">
        <v>0</v>
      </c>
      <c r="AF2251" s="23" t="s">
        <v>97</v>
      </c>
      <c r="AG2251" s="23" t="s">
        <v>11512</v>
      </c>
      <c r="AH2251" s="39">
        <v>45495</v>
      </c>
      <c r="AI2251" s="53" t="s">
        <v>5706</v>
      </c>
      <c r="AJ2251" s="75" t="s">
        <v>13351</v>
      </c>
      <c r="AK2251" s="53">
        <v>45495</v>
      </c>
    </row>
    <row r="2252" spans="1:37" ht="80">
      <c r="A2252" s="75" t="s">
        <v>12395</v>
      </c>
      <c r="B2252" s="23" t="s">
        <v>12396</v>
      </c>
      <c r="C2252" s="140">
        <v>45486</v>
      </c>
      <c r="D2252" s="23" t="s">
        <v>729</v>
      </c>
      <c r="E2252" s="23" t="s">
        <v>752</v>
      </c>
      <c r="F2252" s="23" t="s">
        <v>3456</v>
      </c>
      <c r="G2252" s="23" t="s">
        <v>11636</v>
      </c>
      <c r="H2252" s="23" t="s">
        <v>12397</v>
      </c>
      <c r="I2252" s="23" t="s">
        <v>12397</v>
      </c>
      <c r="J2252" s="140">
        <v>45463</v>
      </c>
      <c r="T2252" s="23" t="s">
        <v>12031</v>
      </c>
      <c r="U2252" s="23" t="s">
        <v>12031</v>
      </c>
      <c r="V2252" s="23" t="s">
        <v>299</v>
      </c>
      <c r="W2252" s="23" t="s">
        <v>12398</v>
      </c>
      <c r="Y2252" s="23">
        <v>17810</v>
      </c>
      <c r="AB2252" s="19" t="s">
        <v>12399</v>
      </c>
      <c r="AC2252" s="23">
        <v>10</v>
      </c>
      <c r="AD2252" s="23">
        <v>0</v>
      </c>
      <c r="AE2252" s="23">
        <v>5</v>
      </c>
      <c r="AF2252" s="23" t="s">
        <v>9622</v>
      </c>
      <c r="AG2252" s="23" t="s">
        <v>3856</v>
      </c>
      <c r="AH2252" s="39">
        <v>45495</v>
      </c>
      <c r="AI2252" s="53" t="s">
        <v>3857</v>
      </c>
      <c r="AJ2252" s="75" t="s">
        <v>13349</v>
      </c>
      <c r="AK2252" s="53">
        <v>45495</v>
      </c>
    </row>
    <row r="2253" spans="1:37" ht="112">
      <c r="A2253" s="75" t="s">
        <v>12402</v>
      </c>
      <c r="B2253" s="23" t="s">
        <v>12403</v>
      </c>
      <c r="C2253" s="140">
        <v>45486</v>
      </c>
      <c r="D2253" s="23" t="s">
        <v>729</v>
      </c>
      <c r="E2253" s="23" t="s">
        <v>752</v>
      </c>
      <c r="F2253" s="23" t="s">
        <v>2200</v>
      </c>
      <c r="G2253" s="23" t="s">
        <v>301</v>
      </c>
      <c r="H2253" s="23" t="s">
        <v>12418</v>
      </c>
      <c r="I2253" s="23" t="s">
        <v>12418</v>
      </c>
      <c r="J2253" s="140">
        <v>45485</v>
      </c>
      <c r="K2253" s="23" t="s">
        <v>12426</v>
      </c>
      <c r="L2253" s="140">
        <v>45492</v>
      </c>
      <c r="P2253" s="23" t="s">
        <v>12430</v>
      </c>
      <c r="Q2253" s="141" t="s">
        <v>12431</v>
      </c>
      <c r="T2253" s="23" t="s">
        <v>305</v>
      </c>
      <c r="U2253" s="23" t="s">
        <v>305</v>
      </c>
      <c r="V2253" s="23" t="s">
        <v>299</v>
      </c>
      <c r="W2253" s="23" t="s">
        <v>12404</v>
      </c>
      <c r="Y2253" s="23">
        <v>30780</v>
      </c>
      <c r="Z2253" s="23">
        <v>270000</v>
      </c>
      <c r="AB2253" s="19" t="s">
        <v>12425</v>
      </c>
      <c r="AC2253" s="23">
        <v>20</v>
      </c>
      <c r="AD2253" s="23">
        <v>0</v>
      </c>
      <c r="AE2253" s="23">
        <v>7</v>
      </c>
      <c r="AF2253" s="23" t="s">
        <v>9622</v>
      </c>
      <c r="AG2253" s="23" t="s">
        <v>1553</v>
      </c>
      <c r="AH2253" s="39">
        <v>45495</v>
      </c>
      <c r="AI2253" s="53" t="s">
        <v>5851</v>
      </c>
    </row>
    <row r="2254" spans="1:37">
      <c r="A2254" s="75" t="s">
        <v>12405</v>
      </c>
      <c r="B2254" s="23" t="s">
        <v>12416</v>
      </c>
      <c r="C2254" s="140">
        <v>45486</v>
      </c>
      <c r="D2254" s="23" t="s">
        <v>729</v>
      </c>
      <c r="E2254" s="23" t="s">
        <v>752</v>
      </c>
      <c r="F2254" s="23" t="s">
        <v>2200</v>
      </c>
      <c r="G2254" s="23" t="s">
        <v>301</v>
      </c>
      <c r="H2254" s="23">
        <v>20550819</v>
      </c>
      <c r="I2254" s="23">
        <v>20550819</v>
      </c>
      <c r="J2254" s="140">
        <v>45485</v>
      </c>
      <c r="K2254" s="23" t="s">
        <v>12427</v>
      </c>
      <c r="L2254" s="140">
        <v>45492</v>
      </c>
      <c r="P2254" s="23" t="s">
        <v>12430</v>
      </c>
      <c r="Q2254" s="141" t="s">
        <v>12431</v>
      </c>
      <c r="T2254" s="23" t="s">
        <v>305</v>
      </c>
      <c r="U2254" s="23" t="s">
        <v>305</v>
      </c>
      <c r="V2254" s="23" t="s">
        <v>299</v>
      </c>
      <c r="W2254" s="23" t="s">
        <v>12407</v>
      </c>
      <c r="Y2254" s="23">
        <v>1539</v>
      </c>
      <c r="Z2254" s="23">
        <v>14100</v>
      </c>
      <c r="AB2254" s="23" t="s">
        <v>12419</v>
      </c>
      <c r="AC2254" s="23">
        <v>1</v>
      </c>
      <c r="AD2254" s="23">
        <v>0</v>
      </c>
      <c r="AE2254" s="23">
        <v>0</v>
      </c>
      <c r="AF2254" s="23" t="s">
        <v>10241</v>
      </c>
      <c r="AG2254" s="23" t="s">
        <v>1553</v>
      </c>
      <c r="AH2254" s="39">
        <v>45495</v>
      </c>
      <c r="AI2254" s="53" t="s">
        <v>5851</v>
      </c>
    </row>
    <row r="2255" spans="1:37" ht="32">
      <c r="A2255" s="75" t="s">
        <v>12408</v>
      </c>
      <c r="B2255" s="23" t="s">
        <v>12406</v>
      </c>
      <c r="C2255" s="140">
        <v>45486</v>
      </c>
      <c r="D2255" s="23" t="s">
        <v>729</v>
      </c>
      <c r="E2255" s="23" t="s">
        <v>752</v>
      </c>
      <c r="F2255" s="23" t="s">
        <v>2200</v>
      </c>
      <c r="G2255" s="23" t="s">
        <v>301</v>
      </c>
      <c r="H2255" s="23">
        <v>20550818</v>
      </c>
      <c r="I2255" s="23">
        <v>20550818</v>
      </c>
      <c r="J2255" s="140">
        <v>45485</v>
      </c>
      <c r="K2255" s="23" t="s">
        <v>12428</v>
      </c>
      <c r="L2255" s="140">
        <v>45492</v>
      </c>
      <c r="P2255" s="23" t="s">
        <v>12430</v>
      </c>
      <c r="Q2255" s="141" t="s">
        <v>12431</v>
      </c>
      <c r="T2255" s="23" t="s">
        <v>305</v>
      </c>
      <c r="U2255" s="23" t="s">
        <v>305</v>
      </c>
      <c r="V2255" s="23" t="s">
        <v>299</v>
      </c>
      <c r="W2255" s="23" t="s">
        <v>12407</v>
      </c>
      <c r="Y2255" s="23">
        <v>9234</v>
      </c>
      <c r="Z2255" s="23">
        <v>84600</v>
      </c>
      <c r="AB2255" s="19" t="s">
        <v>12454</v>
      </c>
      <c r="AC2255" s="23">
        <v>6</v>
      </c>
      <c r="AD2255" s="23">
        <v>0</v>
      </c>
      <c r="AE2255" s="23">
        <v>2</v>
      </c>
      <c r="AF2255" s="23" t="s">
        <v>9622</v>
      </c>
      <c r="AG2255" s="23" t="s">
        <v>1553</v>
      </c>
      <c r="AH2255" s="39">
        <v>45495</v>
      </c>
      <c r="AI2255" s="53" t="s">
        <v>5851</v>
      </c>
    </row>
    <row r="2256" spans="1:37">
      <c r="A2256" s="75" t="s">
        <v>12409</v>
      </c>
      <c r="B2256" s="23" t="s">
        <v>12417</v>
      </c>
      <c r="C2256" s="140">
        <v>45486</v>
      </c>
      <c r="D2256" s="23" t="s">
        <v>729</v>
      </c>
      <c r="E2256" s="23" t="s">
        <v>752</v>
      </c>
      <c r="F2256" s="23" t="s">
        <v>2200</v>
      </c>
      <c r="G2256" s="23" t="s">
        <v>301</v>
      </c>
      <c r="H2256" s="23">
        <v>20550904</v>
      </c>
      <c r="I2256" s="23">
        <v>20550904</v>
      </c>
      <c r="J2256" s="140">
        <v>45485</v>
      </c>
      <c r="K2256" s="23" t="s">
        <v>12429</v>
      </c>
      <c r="L2256" s="140">
        <v>45492</v>
      </c>
      <c r="P2256" s="23" t="s">
        <v>12430</v>
      </c>
      <c r="Q2256" s="141" t="s">
        <v>12431</v>
      </c>
      <c r="T2256" s="23" t="s">
        <v>305</v>
      </c>
      <c r="U2256" s="23" t="s">
        <v>305</v>
      </c>
      <c r="V2256" s="23" t="s">
        <v>299</v>
      </c>
      <c r="W2256" s="23" t="s">
        <v>12404</v>
      </c>
      <c r="Y2256" s="23">
        <v>4617</v>
      </c>
      <c r="Z2256" s="23">
        <v>40500</v>
      </c>
      <c r="AB2256" s="59" t="s">
        <v>12420</v>
      </c>
      <c r="AC2256" s="23">
        <v>3</v>
      </c>
      <c r="AD2256" s="23">
        <v>0</v>
      </c>
      <c r="AE2256" s="23">
        <v>1</v>
      </c>
      <c r="AF2256" s="23" t="s">
        <v>9622</v>
      </c>
      <c r="AG2256" s="23" t="s">
        <v>1553</v>
      </c>
      <c r="AH2256" s="39">
        <v>45495</v>
      </c>
      <c r="AI2256" s="53" t="s">
        <v>5851</v>
      </c>
    </row>
    <row r="2257" spans="1:37">
      <c r="A2257" s="75" t="s">
        <v>12423</v>
      </c>
      <c r="B2257" s="23" t="s">
        <v>12421</v>
      </c>
      <c r="C2257" s="140">
        <v>45483</v>
      </c>
      <c r="D2257" s="23" t="s">
        <v>729</v>
      </c>
      <c r="E2257" s="23" t="s">
        <v>752</v>
      </c>
      <c r="F2257" s="23" t="s">
        <v>2200</v>
      </c>
      <c r="G2257" s="23" t="s">
        <v>301</v>
      </c>
      <c r="H2257" s="23">
        <v>55020332</v>
      </c>
      <c r="I2257" s="23">
        <v>55020332</v>
      </c>
      <c r="J2257" s="140">
        <v>45472</v>
      </c>
      <c r="K2257" s="23" t="s">
        <v>12424</v>
      </c>
      <c r="L2257" s="140">
        <v>45485</v>
      </c>
      <c r="O2257" s="23" t="s">
        <v>12464</v>
      </c>
      <c r="P2257" s="23" t="s">
        <v>12462</v>
      </c>
      <c r="Q2257" s="140">
        <v>45507</v>
      </c>
      <c r="T2257" s="23" t="s">
        <v>305</v>
      </c>
      <c r="U2257" s="23" t="s">
        <v>305</v>
      </c>
      <c r="V2257" s="23" t="s">
        <v>298</v>
      </c>
      <c r="W2257" s="23" t="s">
        <v>11559</v>
      </c>
      <c r="Y2257" s="23">
        <v>4915</v>
      </c>
      <c r="Z2257" s="23">
        <v>42425</v>
      </c>
      <c r="AB2257" s="59" t="s">
        <v>12422</v>
      </c>
      <c r="AC2257" s="23">
        <v>20</v>
      </c>
      <c r="AD2257" s="23">
        <v>0</v>
      </c>
      <c r="AE2257" s="23">
        <v>1</v>
      </c>
      <c r="AF2257" s="23" t="s">
        <v>9622</v>
      </c>
      <c r="AG2257" s="23" t="s">
        <v>5950</v>
      </c>
      <c r="AH2257" s="39">
        <v>45497</v>
      </c>
    </row>
    <row r="2258" spans="1:37" ht="80">
      <c r="A2258" s="75" t="s">
        <v>12432</v>
      </c>
      <c r="B2258" s="23" t="s">
        <v>12433</v>
      </c>
      <c r="C2258" s="140">
        <v>45498</v>
      </c>
      <c r="D2258" s="23" t="s">
        <v>729</v>
      </c>
      <c r="E2258" s="23" t="s">
        <v>752</v>
      </c>
      <c r="F2258" s="23" t="s">
        <v>12533</v>
      </c>
      <c r="G2258" s="23" t="s">
        <v>57</v>
      </c>
      <c r="H2258" s="23" t="s">
        <v>12434</v>
      </c>
      <c r="I2258" s="23" t="s">
        <v>12434</v>
      </c>
      <c r="J2258" s="140">
        <v>45496</v>
      </c>
      <c r="K2258" s="23" t="s">
        <v>12600</v>
      </c>
      <c r="L2258" s="140">
        <v>45541</v>
      </c>
      <c r="P2258" s="23" t="s">
        <v>12435</v>
      </c>
      <c r="Q2258" s="140">
        <v>45505</v>
      </c>
      <c r="S2258" s="23" t="s">
        <v>183</v>
      </c>
      <c r="T2258" s="23" t="s">
        <v>305</v>
      </c>
      <c r="U2258" s="23" t="s">
        <v>305</v>
      </c>
      <c r="V2258" s="23" t="s">
        <v>233</v>
      </c>
      <c r="W2258" s="23" t="s">
        <v>351</v>
      </c>
      <c r="X2258" s="37">
        <v>81791.8</v>
      </c>
      <c r="Y2258" s="37">
        <v>82335.199999999997</v>
      </c>
      <c r="Z2258" s="37">
        <v>79239.81</v>
      </c>
      <c r="AB2258" s="19" t="s">
        <v>12534</v>
      </c>
      <c r="AC2258" s="23" t="s">
        <v>12436</v>
      </c>
      <c r="AD2258" s="23">
        <v>0</v>
      </c>
      <c r="AE2258" s="23">
        <v>5</v>
      </c>
      <c r="AF2258" s="23" t="s">
        <v>9622</v>
      </c>
      <c r="AG2258" s="23" t="s">
        <v>792</v>
      </c>
      <c r="AH2258" s="39">
        <v>45505</v>
      </c>
    </row>
    <row r="2259" spans="1:37">
      <c r="A2259" s="75" t="s">
        <v>12437</v>
      </c>
      <c r="B2259" s="23" t="s">
        <v>12438</v>
      </c>
      <c r="C2259" s="140">
        <v>45493</v>
      </c>
      <c r="D2259" s="23" t="s">
        <v>729</v>
      </c>
      <c r="E2259" s="23" t="s">
        <v>752</v>
      </c>
      <c r="F2259" s="23" t="s">
        <v>2200</v>
      </c>
      <c r="G2259" s="23" t="s">
        <v>301</v>
      </c>
      <c r="H2259" s="23">
        <v>20551741</v>
      </c>
      <c r="I2259" s="23">
        <v>20551741</v>
      </c>
      <c r="J2259" s="140">
        <v>45491</v>
      </c>
      <c r="K2259" s="23" t="s">
        <v>12457</v>
      </c>
      <c r="L2259" s="140">
        <v>45503</v>
      </c>
      <c r="O2259" s="23" t="s">
        <v>12465</v>
      </c>
      <c r="P2259" s="23" t="s">
        <v>12463</v>
      </c>
      <c r="Q2259" s="140">
        <v>45510</v>
      </c>
      <c r="T2259" s="23" t="s">
        <v>305</v>
      </c>
      <c r="U2259" s="23" t="s">
        <v>305</v>
      </c>
      <c r="V2259" s="23" t="s">
        <v>299</v>
      </c>
      <c r="W2259" s="23" t="s">
        <v>12439</v>
      </c>
      <c r="Y2259" s="23">
        <v>5025</v>
      </c>
      <c r="Z2259" s="23">
        <v>62250</v>
      </c>
      <c r="AB2259" s="59" t="s">
        <v>12440</v>
      </c>
      <c r="AC2259" s="23">
        <v>3</v>
      </c>
      <c r="AD2259" s="23">
        <v>0</v>
      </c>
      <c r="AE2259" s="23">
        <v>1</v>
      </c>
      <c r="AF2259" s="23" t="s">
        <v>9622</v>
      </c>
      <c r="AG2259" s="23" t="s">
        <v>659</v>
      </c>
      <c r="AH2259" s="39">
        <v>45505</v>
      </c>
      <c r="AI2259" s="53" t="s">
        <v>5851</v>
      </c>
      <c r="AJ2259" s="75" t="s">
        <v>13400</v>
      </c>
      <c r="AK2259" s="53">
        <v>45510</v>
      </c>
    </row>
    <row r="2260" spans="1:37">
      <c r="A2260" s="75" t="s">
        <v>12441</v>
      </c>
      <c r="B2260" s="23" t="s">
        <v>12442</v>
      </c>
      <c r="C2260" s="140">
        <v>45493</v>
      </c>
      <c r="D2260" s="23" t="s">
        <v>729</v>
      </c>
      <c r="E2260" s="23" t="s">
        <v>752</v>
      </c>
      <c r="F2260" s="23" t="s">
        <v>2200</v>
      </c>
      <c r="G2260" s="23" t="s">
        <v>301</v>
      </c>
      <c r="H2260" s="23">
        <v>20551743</v>
      </c>
      <c r="I2260" s="23">
        <v>20551743</v>
      </c>
      <c r="J2260" s="140">
        <v>45491</v>
      </c>
      <c r="K2260" s="23" t="s">
        <v>12458</v>
      </c>
      <c r="L2260" s="140">
        <v>45503</v>
      </c>
      <c r="O2260" s="23" t="s">
        <v>12465</v>
      </c>
      <c r="P2260" s="23" t="s">
        <v>12463</v>
      </c>
      <c r="Q2260" s="140">
        <v>45510</v>
      </c>
      <c r="T2260" s="23" t="s">
        <v>305</v>
      </c>
      <c r="U2260" s="23" t="s">
        <v>305</v>
      </c>
      <c r="V2260" s="23" t="s">
        <v>299</v>
      </c>
      <c r="W2260" s="23" t="s">
        <v>12443</v>
      </c>
      <c r="Y2260" s="23">
        <v>2636</v>
      </c>
      <c r="Z2260" s="23">
        <v>23400</v>
      </c>
      <c r="AB2260" s="59" t="s">
        <v>12446</v>
      </c>
      <c r="AC2260" s="23">
        <v>2</v>
      </c>
      <c r="AD2260" s="23">
        <v>0</v>
      </c>
      <c r="AE2260" s="23">
        <v>1</v>
      </c>
      <c r="AF2260" s="23" t="s">
        <v>9622</v>
      </c>
      <c r="AG2260" s="23" t="s">
        <v>659</v>
      </c>
      <c r="AH2260" s="39">
        <v>45505</v>
      </c>
      <c r="AI2260" s="53" t="s">
        <v>5851</v>
      </c>
    </row>
    <row r="2261" spans="1:37" ht="64">
      <c r="A2261" s="75" t="s">
        <v>12444</v>
      </c>
      <c r="B2261" s="59" t="s">
        <v>12445</v>
      </c>
      <c r="C2261" s="140">
        <v>45493</v>
      </c>
      <c r="D2261" s="23" t="s">
        <v>729</v>
      </c>
      <c r="E2261" s="23" t="s">
        <v>752</v>
      </c>
      <c r="F2261" s="23" t="s">
        <v>2200</v>
      </c>
      <c r="G2261" s="23" t="s">
        <v>301</v>
      </c>
      <c r="H2261" s="23">
        <v>20551742</v>
      </c>
      <c r="I2261" s="23">
        <v>20551742</v>
      </c>
      <c r="J2261" s="140">
        <v>45491</v>
      </c>
      <c r="K2261" s="23" t="s">
        <v>12459</v>
      </c>
      <c r="L2261" s="140">
        <v>45503</v>
      </c>
      <c r="O2261" s="23" t="s">
        <v>12465</v>
      </c>
      <c r="P2261" s="23" t="s">
        <v>12463</v>
      </c>
      <c r="Q2261" s="140">
        <v>45510</v>
      </c>
      <c r="T2261" s="23" t="s">
        <v>305</v>
      </c>
      <c r="U2261" s="23" t="s">
        <v>305</v>
      </c>
      <c r="V2261" s="23" t="s">
        <v>299</v>
      </c>
      <c r="W2261" s="23" t="s">
        <v>12443</v>
      </c>
      <c r="Y2261" s="23">
        <v>15816</v>
      </c>
      <c r="Z2261" s="23">
        <v>140400</v>
      </c>
      <c r="AB2261" s="19" t="s">
        <v>12492</v>
      </c>
      <c r="AC2261" s="23">
        <v>12</v>
      </c>
      <c r="AD2261" s="23">
        <v>0</v>
      </c>
      <c r="AE2261" s="23">
        <v>4</v>
      </c>
      <c r="AF2261" s="23" t="s">
        <v>9622</v>
      </c>
      <c r="AG2261" s="23" t="s">
        <v>659</v>
      </c>
      <c r="AH2261" s="39">
        <v>45505</v>
      </c>
      <c r="AI2261" s="53" t="s">
        <v>5851</v>
      </c>
    </row>
    <row r="2262" spans="1:37">
      <c r="A2262" s="75" t="s">
        <v>12447</v>
      </c>
      <c r="B2262" s="23" t="s">
        <v>12448</v>
      </c>
      <c r="C2262" s="140">
        <v>45493</v>
      </c>
      <c r="D2262" s="23" t="s">
        <v>729</v>
      </c>
      <c r="E2262" s="23" t="s">
        <v>752</v>
      </c>
      <c r="F2262" s="23" t="s">
        <v>2200</v>
      </c>
      <c r="G2262" s="23" t="s">
        <v>301</v>
      </c>
      <c r="H2262" s="23">
        <v>20551744</v>
      </c>
      <c r="I2262" s="23">
        <v>20551744</v>
      </c>
      <c r="J2262" s="140">
        <v>45491</v>
      </c>
      <c r="K2262" s="23" t="s">
        <v>12460</v>
      </c>
      <c r="L2262" s="140">
        <v>45503</v>
      </c>
      <c r="O2262" s="23" t="s">
        <v>12465</v>
      </c>
      <c r="P2262" s="23" t="s">
        <v>12463</v>
      </c>
      <c r="Q2262" s="140">
        <v>45510</v>
      </c>
      <c r="T2262" s="23" t="s">
        <v>305</v>
      </c>
      <c r="U2262" s="23" t="s">
        <v>305</v>
      </c>
      <c r="V2262" s="23" t="s">
        <v>299</v>
      </c>
      <c r="W2262" s="23" t="s">
        <v>12439</v>
      </c>
      <c r="Y2262" s="23">
        <v>5025</v>
      </c>
      <c r="Z2262" s="23">
        <v>62250</v>
      </c>
      <c r="AB2262" s="59" t="s">
        <v>12449</v>
      </c>
      <c r="AC2262" s="23">
        <v>3</v>
      </c>
      <c r="AD2262" s="23">
        <v>0</v>
      </c>
      <c r="AE2262" s="23">
        <v>1</v>
      </c>
      <c r="AF2262" s="23" t="s">
        <v>9622</v>
      </c>
      <c r="AG2262" s="23" t="s">
        <v>659</v>
      </c>
      <c r="AH2262" s="39">
        <v>45505</v>
      </c>
      <c r="AI2262" s="53" t="s">
        <v>5851</v>
      </c>
      <c r="AJ2262" s="75" t="s">
        <v>13399</v>
      </c>
      <c r="AK2262" s="53">
        <v>45510</v>
      </c>
    </row>
    <row r="2263" spans="1:37" ht="96">
      <c r="A2263" s="75" t="s">
        <v>12451</v>
      </c>
      <c r="B2263" s="59" t="s">
        <v>12450</v>
      </c>
      <c r="C2263" s="140">
        <v>45493</v>
      </c>
      <c r="D2263" s="23" t="s">
        <v>729</v>
      </c>
      <c r="E2263" s="23" t="s">
        <v>752</v>
      </c>
      <c r="F2263" s="23" t="s">
        <v>2200</v>
      </c>
      <c r="G2263" s="23" t="s">
        <v>301</v>
      </c>
      <c r="H2263" s="23">
        <v>20551776</v>
      </c>
      <c r="I2263" s="23">
        <v>20551776</v>
      </c>
      <c r="J2263" s="140">
        <v>45491</v>
      </c>
      <c r="K2263" s="23" t="s">
        <v>12461</v>
      </c>
      <c r="L2263" s="140">
        <v>45503</v>
      </c>
      <c r="O2263" s="23" t="s">
        <v>12465</v>
      </c>
      <c r="P2263" s="23" t="s">
        <v>12463</v>
      </c>
      <c r="Q2263" s="140">
        <v>45510</v>
      </c>
      <c r="T2263" s="23" t="s">
        <v>305</v>
      </c>
      <c r="U2263" s="23" t="s">
        <v>305</v>
      </c>
      <c r="V2263" s="23" t="s">
        <v>299</v>
      </c>
      <c r="W2263" s="23" t="s">
        <v>12443</v>
      </c>
      <c r="Y2263" s="23">
        <v>23724</v>
      </c>
      <c r="Z2263" s="23">
        <v>210600</v>
      </c>
      <c r="AB2263" s="19" t="s">
        <v>12493</v>
      </c>
      <c r="AC2263" s="23">
        <v>18</v>
      </c>
      <c r="AD2263" s="23">
        <v>0</v>
      </c>
      <c r="AE2263" s="23">
        <v>6</v>
      </c>
      <c r="AF2263" s="23" t="s">
        <v>9622</v>
      </c>
      <c r="AG2263" s="23" t="s">
        <v>659</v>
      </c>
      <c r="AH2263" s="39">
        <v>45505</v>
      </c>
      <c r="AI2263" s="53" t="s">
        <v>5851</v>
      </c>
    </row>
    <row r="2264" spans="1:37" ht="112">
      <c r="A2264" s="75" t="s">
        <v>12452</v>
      </c>
      <c r="B2264" s="23" t="s">
        <v>12453</v>
      </c>
      <c r="C2264" s="140">
        <v>45500</v>
      </c>
      <c r="D2264" s="23" t="s">
        <v>729</v>
      </c>
      <c r="E2264" s="23" t="s">
        <v>752</v>
      </c>
      <c r="F2264" s="23" t="s">
        <v>2200</v>
      </c>
      <c r="G2264" s="23" t="s">
        <v>301</v>
      </c>
      <c r="H2264" s="23">
        <v>20552908</v>
      </c>
      <c r="I2264" s="23">
        <v>20552908</v>
      </c>
      <c r="J2264" s="140">
        <v>45497</v>
      </c>
      <c r="O2264" s="23" t="s">
        <v>12486</v>
      </c>
      <c r="P2264" s="23" t="s">
        <v>12487</v>
      </c>
      <c r="Q2264" s="140">
        <v>45518</v>
      </c>
      <c r="T2264" s="23" t="s">
        <v>305</v>
      </c>
      <c r="U2264" s="23" t="s">
        <v>305</v>
      </c>
      <c r="V2264" s="23" t="s">
        <v>299</v>
      </c>
      <c r="W2264" s="23" t="s">
        <v>11608</v>
      </c>
      <c r="Y2264" s="23">
        <v>27678</v>
      </c>
      <c r="Z2264" s="23">
        <v>189000</v>
      </c>
      <c r="AB2264" s="19" t="s">
        <v>12512</v>
      </c>
      <c r="AC2264" s="23">
        <v>21</v>
      </c>
      <c r="AD2264" s="23" t="s">
        <v>51</v>
      </c>
      <c r="AE2264" s="23">
        <v>7</v>
      </c>
      <c r="AF2264" s="23" t="s">
        <v>9622</v>
      </c>
      <c r="AG2264" s="23" t="s">
        <v>659</v>
      </c>
      <c r="AH2264" s="39">
        <v>45505</v>
      </c>
      <c r="AI2264" s="53" t="s">
        <v>5851</v>
      </c>
    </row>
    <row r="2265" spans="1:37">
      <c r="A2265" s="75" t="s">
        <v>12466</v>
      </c>
      <c r="B2265" s="23" t="s">
        <v>12468</v>
      </c>
      <c r="C2265" s="140">
        <v>45506</v>
      </c>
      <c r="D2265" s="23" t="s">
        <v>729</v>
      </c>
      <c r="E2265" s="23" t="s">
        <v>752</v>
      </c>
      <c r="F2265" s="23" t="s">
        <v>57</v>
      </c>
      <c r="G2265" s="23" t="s">
        <v>57</v>
      </c>
      <c r="H2265" s="23" t="s">
        <v>12469</v>
      </c>
      <c r="I2265" s="23" t="s">
        <v>12469</v>
      </c>
      <c r="J2265" s="140">
        <v>45504</v>
      </c>
      <c r="K2265" s="23" t="s">
        <v>12470</v>
      </c>
      <c r="L2265" s="140">
        <v>45512</v>
      </c>
      <c r="O2265" s="23" t="s">
        <v>12472</v>
      </c>
      <c r="P2265" s="23" t="s">
        <v>12471</v>
      </c>
      <c r="Q2265" s="140">
        <v>45516</v>
      </c>
      <c r="S2265" s="23" t="s">
        <v>183</v>
      </c>
      <c r="T2265" s="23" t="s">
        <v>305</v>
      </c>
      <c r="U2265" s="23" t="s">
        <v>305</v>
      </c>
      <c r="V2265" s="23" t="s">
        <v>233</v>
      </c>
      <c r="W2265" s="23" t="s">
        <v>351</v>
      </c>
      <c r="X2265" s="23">
        <v>112026.2</v>
      </c>
      <c r="Y2265" s="23">
        <v>112688.2</v>
      </c>
      <c r="Z2265" s="23">
        <v>106019.66</v>
      </c>
      <c r="AB2265" s="23" t="s">
        <v>12473</v>
      </c>
      <c r="AC2265" s="23" t="s">
        <v>12474</v>
      </c>
      <c r="AD2265" s="23">
        <v>0</v>
      </c>
      <c r="AE2265" s="23">
        <v>6</v>
      </c>
      <c r="AF2265" s="23" t="s">
        <v>9622</v>
      </c>
      <c r="AG2265" s="23" t="s">
        <v>792</v>
      </c>
      <c r="AH2265" s="39">
        <v>45514</v>
      </c>
    </row>
    <row r="2266" spans="1:37">
      <c r="A2266" s="75" t="s">
        <v>12467</v>
      </c>
      <c r="B2266" s="23" t="s">
        <v>12527</v>
      </c>
      <c r="C2266" s="140">
        <v>45511</v>
      </c>
      <c r="D2266" s="23" t="s">
        <v>729</v>
      </c>
      <c r="E2266" s="23" t="s">
        <v>752</v>
      </c>
      <c r="F2266" s="23" t="s">
        <v>12533</v>
      </c>
      <c r="G2266" s="23" t="s">
        <v>57</v>
      </c>
      <c r="H2266" s="23" t="s">
        <v>12528</v>
      </c>
      <c r="I2266" s="23" t="s">
        <v>12528</v>
      </c>
      <c r="J2266" s="140">
        <v>45506</v>
      </c>
      <c r="S2266" s="23" t="s">
        <v>184</v>
      </c>
      <c r="T2266" s="23" t="s">
        <v>12031</v>
      </c>
      <c r="U2266" s="23" t="s">
        <v>12031</v>
      </c>
      <c r="V2266" s="23" t="s">
        <v>233</v>
      </c>
      <c r="W2266" s="23" t="s">
        <v>12529</v>
      </c>
      <c r="X2266" s="37">
        <v>5812.4</v>
      </c>
      <c r="Y2266" s="37">
        <v>5947.5</v>
      </c>
      <c r="Z2266" s="37">
        <v>8351.66</v>
      </c>
      <c r="AB2266" s="59" t="s">
        <v>12530</v>
      </c>
      <c r="AC2266" s="23" t="s">
        <v>4143</v>
      </c>
      <c r="AD2266" s="23">
        <v>1</v>
      </c>
      <c r="AE2266" s="23">
        <v>0</v>
      </c>
      <c r="AF2266" s="23" t="s">
        <v>9622</v>
      </c>
      <c r="AG2266" s="23" t="s">
        <v>787</v>
      </c>
      <c r="AH2266" s="39">
        <v>45527</v>
      </c>
    </row>
    <row r="2267" spans="1:37">
      <c r="A2267" s="75" t="s">
        <v>12475</v>
      </c>
      <c r="B2267" s="23" t="s">
        <v>12478</v>
      </c>
      <c r="C2267" s="140">
        <v>45504</v>
      </c>
      <c r="D2267" s="23" t="s">
        <v>729</v>
      </c>
      <c r="E2267" s="23" t="s">
        <v>752</v>
      </c>
      <c r="F2267" s="23" t="s">
        <v>2200</v>
      </c>
      <c r="G2267" s="23" t="s">
        <v>301</v>
      </c>
      <c r="H2267" s="23" t="s">
        <v>12479</v>
      </c>
      <c r="I2267" s="23" t="s">
        <v>12479</v>
      </c>
      <c r="J2267" s="39">
        <v>45503</v>
      </c>
      <c r="K2267" s="39" t="s">
        <v>12480</v>
      </c>
      <c r="L2267" s="140">
        <v>45509</v>
      </c>
      <c r="O2267" s="23" t="s">
        <v>12490</v>
      </c>
      <c r="P2267" s="23" t="s">
        <v>12488</v>
      </c>
      <c r="Q2267" s="140">
        <v>45517</v>
      </c>
      <c r="T2267" s="23" t="s">
        <v>305</v>
      </c>
      <c r="U2267" s="23" t="s">
        <v>305</v>
      </c>
      <c r="V2267" s="23" t="s">
        <v>299</v>
      </c>
      <c r="W2267" s="23" t="s">
        <v>11891</v>
      </c>
      <c r="X2267" s="23">
        <v>4650</v>
      </c>
      <c r="Y2267" s="23">
        <v>4650</v>
      </c>
      <c r="Z2267" s="23">
        <v>41400</v>
      </c>
      <c r="AB2267" s="59" t="s">
        <v>12481</v>
      </c>
      <c r="AC2267" s="23">
        <v>3</v>
      </c>
      <c r="AD2267" s="23">
        <v>0</v>
      </c>
      <c r="AE2267" s="23">
        <v>1</v>
      </c>
      <c r="AF2267" s="23" t="s">
        <v>9622</v>
      </c>
      <c r="AG2267" s="23" t="s">
        <v>1553</v>
      </c>
      <c r="AH2267" s="39">
        <v>45514</v>
      </c>
      <c r="AI2267" s="53" t="s">
        <v>5851</v>
      </c>
    </row>
    <row r="2268" spans="1:37" ht="64">
      <c r="A2268" s="75" t="s">
        <v>12476</v>
      </c>
      <c r="B2268" s="23" t="s">
        <v>12482</v>
      </c>
      <c r="C2268" s="140">
        <v>45504</v>
      </c>
      <c r="D2268" s="23" t="s">
        <v>729</v>
      </c>
      <c r="E2268" s="23" t="s">
        <v>752</v>
      </c>
      <c r="F2268" s="23" t="s">
        <v>2200</v>
      </c>
      <c r="G2268" s="23" t="s">
        <v>301</v>
      </c>
      <c r="H2268" s="23">
        <v>20553580</v>
      </c>
      <c r="I2268" s="23">
        <v>20553580</v>
      </c>
      <c r="J2268" s="39">
        <v>45503</v>
      </c>
      <c r="K2268" s="23" t="s">
        <v>12483</v>
      </c>
      <c r="L2268" s="140">
        <v>45509</v>
      </c>
      <c r="O2268" s="23" t="s">
        <v>12490</v>
      </c>
      <c r="P2268" s="23" t="s">
        <v>12488</v>
      </c>
      <c r="Q2268" s="140">
        <v>45517</v>
      </c>
      <c r="T2268" s="23" t="s">
        <v>305</v>
      </c>
      <c r="U2268" s="23" t="s">
        <v>305</v>
      </c>
      <c r="V2268" s="23" t="s">
        <v>299</v>
      </c>
      <c r="W2268" s="23" t="s">
        <v>11415</v>
      </c>
      <c r="X2268" s="23">
        <v>16544</v>
      </c>
      <c r="Y2268" s="23">
        <v>16544</v>
      </c>
      <c r="Z2268" s="23">
        <v>166400</v>
      </c>
      <c r="AB2268" s="19" t="s">
        <v>12514</v>
      </c>
      <c r="AC2268" s="23">
        <v>8</v>
      </c>
      <c r="AD2268" s="23">
        <v>0</v>
      </c>
      <c r="AE2268" s="23">
        <v>4</v>
      </c>
      <c r="AF2268" s="23" t="s">
        <v>9622</v>
      </c>
      <c r="AG2268" s="23" t="s">
        <v>1553</v>
      </c>
      <c r="AH2268" s="39">
        <v>45514</v>
      </c>
      <c r="AI2268" s="53" t="s">
        <v>5851</v>
      </c>
    </row>
    <row r="2269" spans="1:37" ht="80">
      <c r="A2269" s="75" t="s">
        <v>12477</v>
      </c>
      <c r="B2269" s="23" t="s">
        <v>12484</v>
      </c>
      <c r="C2269" s="140">
        <v>45502</v>
      </c>
      <c r="D2269" s="23" t="s">
        <v>729</v>
      </c>
      <c r="E2269" s="23" t="s">
        <v>752</v>
      </c>
      <c r="F2269" s="23" t="s">
        <v>2200</v>
      </c>
      <c r="G2269" s="23" t="s">
        <v>301</v>
      </c>
      <c r="H2269" s="23">
        <v>20552907</v>
      </c>
      <c r="I2269" s="23">
        <v>20552907</v>
      </c>
      <c r="J2269" s="140">
        <v>45501</v>
      </c>
      <c r="K2269" s="23" t="s">
        <v>12485</v>
      </c>
      <c r="L2269" s="140">
        <v>45509</v>
      </c>
      <c r="O2269" s="23" t="s">
        <v>12489</v>
      </c>
      <c r="P2269" s="23" t="s">
        <v>12488</v>
      </c>
      <c r="Q2269" s="140">
        <v>45517</v>
      </c>
      <c r="T2269" s="23" t="s">
        <v>305</v>
      </c>
      <c r="U2269" s="23" t="s">
        <v>305</v>
      </c>
      <c r="V2269" s="23" t="s">
        <v>299</v>
      </c>
      <c r="W2269" s="23" t="s">
        <v>11415</v>
      </c>
      <c r="X2269" s="23">
        <v>20680</v>
      </c>
      <c r="Y2269" s="23">
        <v>20680</v>
      </c>
      <c r="Z2269" s="23">
        <v>208000</v>
      </c>
      <c r="AB2269" s="19" t="s">
        <v>12513</v>
      </c>
      <c r="AC2269" s="23">
        <v>10</v>
      </c>
      <c r="AD2269" s="23">
        <v>0</v>
      </c>
      <c r="AE2269" s="23">
        <v>5</v>
      </c>
      <c r="AF2269" s="23" t="s">
        <v>9622</v>
      </c>
      <c r="AG2269" s="23" t="s">
        <v>1553</v>
      </c>
      <c r="AH2269" s="39">
        <v>45514</v>
      </c>
      <c r="AI2269" s="53" t="s">
        <v>5851</v>
      </c>
    </row>
    <row r="2270" spans="1:37" ht="64">
      <c r="A2270" s="75" t="s">
        <v>12491</v>
      </c>
      <c r="B2270" s="23" t="s">
        <v>12494</v>
      </c>
      <c r="C2270" s="140">
        <v>45503</v>
      </c>
      <c r="D2270" s="23" t="s">
        <v>729</v>
      </c>
      <c r="E2270" s="23" t="s">
        <v>752</v>
      </c>
      <c r="F2270" s="23" t="s">
        <v>2200</v>
      </c>
      <c r="G2270" s="23" t="s">
        <v>301</v>
      </c>
      <c r="H2270" s="23" t="s">
        <v>12495</v>
      </c>
      <c r="I2270" s="23" t="s">
        <v>12495</v>
      </c>
      <c r="J2270" s="139" t="s">
        <v>12498</v>
      </c>
      <c r="K2270" s="19" t="s">
        <v>12496</v>
      </c>
      <c r="L2270" s="139" t="s">
        <v>12499</v>
      </c>
      <c r="O2270" s="23" t="s">
        <v>12516</v>
      </c>
      <c r="P2270" s="23" t="s">
        <v>12515</v>
      </c>
      <c r="Q2270" s="140">
        <v>45521</v>
      </c>
      <c r="S2270" s="23" t="s">
        <v>12517</v>
      </c>
      <c r="T2270" s="23" t="s">
        <v>305</v>
      </c>
      <c r="U2270" s="23" t="s">
        <v>305</v>
      </c>
      <c r="V2270" s="23" t="s">
        <v>298</v>
      </c>
      <c r="W2270" s="23" t="s">
        <v>3141</v>
      </c>
      <c r="X2270" s="23">
        <v>10773</v>
      </c>
      <c r="Y2270" s="23">
        <v>14098</v>
      </c>
      <c r="Z2270" s="23">
        <v>126600</v>
      </c>
      <c r="AB2270" s="19" t="s">
        <v>12572</v>
      </c>
      <c r="AC2270" s="23" t="s">
        <v>12497</v>
      </c>
      <c r="AD2270" s="23">
        <v>0</v>
      </c>
      <c r="AE2270" s="23">
        <v>2</v>
      </c>
      <c r="AF2270" s="23" t="s">
        <v>9622</v>
      </c>
      <c r="AG2270" s="23" t="s">
        <v>5950</v>
      </c>
      <c r="AH2270" s="39">
        <v>45520</v>
      </c>
    </row>
    <row r="2271" spans="1:37" ht="32">
      <c r="A2271" s="75" t="s">
        <v>12500</v>
      </c>
      <c r="B2271" s="23" t="s">
        <v>12501</v>
      </c>
      <c r="C2271" s="140">
        <v>45511</v>
      </c>
      <c r="D2271" s="23" t="s">
        <v>729</v>
      </c>
      <c r="E2271" s="23" t="s">
        <v>752</v>
      </c>
      <c r="F2271" s="23" t="s">
        <v>2200</v>
      </c>
      <c r="G2271" s="23" t="s">
        <v>301</v>
      </c>
      <c r="H2271" s="23">
        <v>20554506</v>
      </c>
      <c r="I2271" s="23">
        <v>20554506</v>
      </c>
      <c r="J2271" s="140">
        <v>45506</v>
      </c>
      <c r="K2271" s="23" t="s">
        <v>12502</v>
      </c>
      <c r="L2271" s="140">
        <v>45513</v>
      </c>
      <c r="O2271" s="23" t="s">
        <v>12535</v>
      </c>
      <c r="P2271" s="140" t="s">
        <v>12536</v>
      </c>
      <c r="Q2271" s="140">
        <v>45527</v>
      </c>
      <c r="T2271" s="23" t="s">
        <v>305</v>
      </c>
      <c r="U2271" s="23" t="s">
        <v>305</v>
      </c>
      <c r="V2271" s="23" t="s">
        <v>299</v>
      </c>
      <c r="W2271" s="23" t="s">
        <v>12503</v>
      </c>
      <c r="Y2271" s="23">
        <v>9234</v>
      </c>
      <c r="Z2271" s="23">
        <v>81000</v>
      </c>
      <c r="AB2271" s="19" t="s">
        <v>12574</v>
      </c>
      <c r="AC2271" s="23">
        <v>6</v>
      </c>
      <c r="AD2271" s="23">
        <v>0</v>
      </c>
      <c r="AE2271" s="23">
        <v>2</v>
      </c>
      <c r="AF2271" s="23" t="s">
        <v>9622</v>
      </c>
      <c r="AG2271" s="23" t="s">
        <v>1553</v>
      </c>
      <c r="AH2271" s="39">
        <v>45520</v>
      </c>
      <c r="AI2271" s="53" t="s">
        <v>5851</v>
      </c>
    </row>
    <row r="2272" spans="1:37" ht="80">
      <c r="A2272" s="75" t="s">
        <v>12504</v>
      </c>
      <c r="B2272" s="23" t="s">
        <v>12505</v>
      </c>
      <c r="C2272" s="140">
        <v>45511</v>
      </c>
      <c r="D2272" s="23" t="s">
        <v>729</v>
      </c>
      <c r="E2272" s="23" t="s">
        <v>752</v>
      </c>
      <c r="F2272" s="23" t="s">
        <v>2200</v>
      </c>
      <c r="G2272" s="23" t="s">
        <v>301</v>
      </c>
      <c r="H2272" s="23">
        <v>20554505</v>
      </c>
      <c r="I2272" s="23">
        <v>20554505</v>
      </c>
      <c r="J2272" s="140">
        <v>45509</v>
      </c>
      <c r="K2272" s="23" t="s">
        <v>12506</v>
      </c>
      <c r="L2272" s="140">
        <v>45513</v>
      </c>
      <c r="O2272" s="23" t="s">
        <v>12535</v>
      </c>
      <c r="P2272" s="140" t="s">
        <v>12536</v>
      </c>
      <c r="Q2272" s="140">
        <v>45527</v>
      </c>
      <c r="T2272" s="23" t="s">
        <v>305</v>
      </c>
      <c r="U2272" s="23" t="s">
        <v>305</v>
      </c>
      <c r="V2272" s="23" t="s">
        <v>299</v>
      </c>
      <c r="W2272" s="23" t="s">
        <v>12503</v>
      </c>
      <c r="Y2272" s="23">
        <v>23085</v>
      </c>
      <c r="Z2272" s="23">
        <v>202500</v>
      </c>
      <c r="AB2272" s="19" t="s">
        <v>12575</v>
      </c>
      <c r="AC2272" s="23">
        <v>15</v>
      </c>
      <c r="AD2272" s="23">
        <v>0</v>
      </c>
      <c r="AE2272" s="23">
        <v>5</v>
      </c>
      <c r="AF2272" s="23" t="s">
        <v>9622</v>
      </c>
      <c r="AG2272" s="23" t="s">
        <v>1553</v>
      </c>
      <c r="AH2272" s="39">
        <v>45520</v>
      </c>
      <c r="AI2272" s="53" t="s">
        <v>5851</v>
      </c>
    </row>
    <row r="2273" spans="1:35" ht="48">
      <c r="A2273" s="75" t="s">
        <v>12507</v>
      </c>
      <c r="B2273" s="23" t="s">
        <v>12508</v>
      </c>
      <c r="C2273" s="140">
        <v>45513</v>
      </c>
      <c r="D2273" s="23" t="s">
        <v>729</v>
      </c>
      <c r="E2273" s="23" t="s">
        <v>752</v>
      </c>
      <c r="F2273" s="23" t="s">
        <v>2200</v>
      </c>
      <c r="G2273" s="23" t="s">
        <v>301</v>
      </c>
      <c r="H2273" s="23">
        <v>20554501</v>
      </c>
      <c r="I2273" s="23">
        <v>20554501</v>
      </c>
      <c r="J2273" s="140">
        <v>45509</v>
      </c>
      <c r="K2273" s="23" t="s">
        <v>12519</v>
      </c>
      <c r="L2273" s="140">
        <v>45519</v>
      </c>
      <c r="O2273" s="23" t="s">
        <v>12537</v>
      </c>
      <c r="P2273" s="140" t="s">
        <v>12536</v>
      </c>
      <c r="Q2273" s="140">
        <v>45527</v>
      </c>
      <c r="T2273" s="23" t="s">
        <v>305</v>
      </c>
      <c r="U2273" s="23" t="s">
        <v>305</v>
      </c>
      <c r="V2273" s="23" t="s">
        <v>299</v>
      </c>
      <c r="W2273" s="23" t="s">
        <v>12503</v>
      </c>
      <c r="Y2273" s="23">
        <v>13851</v>
      </c>
      <c r="AB2273" s="19" t="s">
        <v>12577</v>
      </c>
      <c r="AC2273" s="23">
        <v>9</v>
      </c>
      <c r="AD2273" s="23">
        <v>0</v>
      </c>
      <c r="AE2273" s="23">
        <v>3</v>
      </c>
      <c r="AF2273" s="23" t="s">
        <v>9622</v>
      </c>
      <c r="AG2273" s="23" t="s">
        <v>1553</v>
      </c>
      <c r="AH2273" s="39">
        <v>45520</v>
      </c>
      <c r="AI2273" s="53" t="s">
        <v>5851</v>
      </c>
    </row>
    <row r="2274" spans="1:35" ht="64">
      <c r="A2274" s="75" t="s">
        <v>12509</v>
      </c>
      <c r="B2274" s="23" t="s">
        <v>12510</v>
      </c>
      <c r="C2274" s="140">
        <v>45513</v>
      </c>
      <c r="D2274" s="23" t="s">
        <v>729</v>
      </c>
      <c r="E2274" s="23" t="s">
        <v>752</v>
      </c>
      <c r="F2274" s="23" t="s">
        <v>2200</v>
      </c>
      <c r="G2274" s="23" t="s">
        <v>301</v>
      </c>
      <c r="H2274" s="23" t="s">
        <v>12531</v>
      </c>
      <c r="I2274" s="23" t="s">
        <v>12531</v>
      </c>
      <c r="J2274" s="140">
        <v>45510</v>
      </c>
      <c r="K2274" s="23" t="s">
        <v>12532</v>
      </c>
      <c r="L2274" s="140">
        <v>45526</v>
      </c>
      <c r="O2274" s="23" t="s">
        <v>12537</v>
      </c>
      <c r="P2274" s="140" t="s">
        <v>12536</v>
      </c>
      <c r="Q2274" s="140">
        <v>45527</v>
      </c>
      <c r="T2274" s="23" t="s">
        <v>305</v>
      </c>
      <c r="U2274" s="23" t="s">
        <v>305</v>
      </c>
      <c r="V2274" s="23" t="s">
        <v>299</v>
      </c>
      <c r="W2274" s="23" t="s">
        <v>12511</v>
      </c>
      <c r="Y2274" s="23">
        <v>15860</v>
      </c>
      <c r="AB2274" s="19" t="s">
        <v>12576</v>
      </c>
      <c r="AC2274" s="23">
        <v>10</v>
      </c>
      <c r="AD2274" s="23">
        <v>1</v>
      </c>
      <c r="AE2274" s="23">
        <v>3</v>
      </c>
      <c r="AF2274" s="23" t="s">
        <v>9622</v>
      </c>
      <c r="AG2274" s="23" t="s">
        <v>1553</v>
      </c>
      <c r="AH2274" s="39">
        <v>45520</v>
      </c>
      <c r="AI2274" s="53" t="s">
        <v>5851</v>
      </c>
    </row>
    <row r="2275" spans="1:35">
      <c r="A2275" s="75" t="s">
        <v>12518</v>
      </c>
      <c r="B2275" s="23" t="s">
        <v>12563</v>
      </c>
      <c r="C2275" s="140">
        <v>45523</v>
      </c>
      <c r="D2275" s="23" t="s">
        <v>729</v>
      </c>
      <c r="E2275" s="23" t="s">
        <v>752</v>
      </c>
      <c r="F2275" s="23" t="s">
        <v>12533</v>
      </c>
      <c r="G2275" s="23" t="s">
        <v>57</v>
      </c>
      <c r="H2275" s="23" t="s">
        <v>12564</v>
      </c>
      <c r="I2275" s="23" t="s">
        <v>12564</v>
      </c>
      <c r="J2275" s="140">
        <v>45517</v>
      </c>
      <c r="K2275" s="23" t="s">
        <v>12568</v>
      </c>
      <c r="L2275" s="140">
        <v>45531</v>
      </c>
      <c r="S2275" s="23" t="s">
        <v>184</v>
      </c>
      <c r="T2275" s="23" t="s">
        <v>12031</v>
      </c>
      <c r="U2275" s="23" t="s">
        <v>12031</v>
      </c>
      <c r="V2275" s="23" t="s">
        <v>233</v>
      </c>
      <c r="W2275" s="23" t="s">
        <v>284</v>
      </c>
      <c r="X2275" s="23">
        <v>3358</v>
      </c>
      <c r="Y2275" s="23">
        <v>3391.6</v>
      </c>
      <c r="Z2275" s="23">
        <v>3308.97</v>
      </c>
      <c r="AB2275" s="59" t="s">
        <v>12565</v>
      </c>
      <c r="AC2275" s="23" t="s">
        <v>12566</v>
      </c>
      <c r="AD2275" s="23">
        <f>SUM(AD2271:AD2274)</f>
        <v>1</v>
      </c>
      <c r="AE2275" s="23">
        <v>0</v>
      </c>
      <c r="AF2275" s="23" t="s">
        <v>9622</v>
      </c>
      <c r="AG2275" s="23" t="s">
        <v>787</v>
      </c>
      <c r="AH2275" s="39">
        <v>45537</v>
      </c>
    </row>
    <row r="2276" spans="1:35" ht="128">
      <c r="A2276" s="75" t="s">
        <v>12520</v>
      </c>
      <c r="B2276" s="23" t="s">
        <v>12522</v>
      </c>
      <c r="C2276" s="140">
        <v>45522</v>
      </c>
      <c r="D2276" s="23" t="s">
        <v>729</v>
      </c>
      <c r="E2276" s="23" t="s">
        <v>752</v>
      </c>
      <c r="F2276" s="23" t="s">
        <v>2200</v>
      </c>
      <c r="G2276" s="23" t="s">
        <v>301</v>
      </c>
      <c r="H2276" s="23">
        <v>20555541</v>
      </c>
      <c r="I2276" s="23">
        <v>20555541</v>
      </c>
      <c r="J2276" s="140">
        <v>45516</v>
      </c>
      <c r="K2276" s="23" t="s">
        <v>12523</v>
      </c>
      <c r="L2276" s="140">
        <v>45524</v>
      </c>
      <c r="O2276" s="23" t="s">
        <v>12571</v>
      </c>
      <c r="P2276" s="23" t="s">
        <v>12570</v>
      </c>
      <c r="Q2276" s="140">
        <v>45532</v>
      </c>
      <c r="T2276" s="23" t="s">
        <v>305</v>
      </c>
      <c r="U2276" s="23" t="s">
        <v>305</v>
      </c>
      <c r="V2276" s="23" t="s">
        <v>299</v>
      </c>
      <c r="W2276" s="23" t="s">
        <v>12524</v>
      </c>
      <c r="Y2276" s="23">
        <v>31632</v>
      </c>
      <c r="Z2276" s="23">
        <v>216000</v>
      </c>
      <c r="AB2276" s="19" t="s">
        <v>12601</v>
      </c>
      <c r="AC2276" s="23">
        <v>24</v>
      </c>
      <c r="AD2276" s="23">
        <v>0</v>
      </c>
      <c r="AE2276" s="23">
        <v>8</v>
      </c>
      <c r="AF2276" s="23" t="s">
        <v>9622</v>
      </c>
      <c r="AG2276" s="23" t="s">
        <v>1553</v>
      </c>
      <c r="AH2276" s="39">
        <v>45525</v>
      </c>
      <c r="AI2276" s="53" t="s">
        <v>5851</v>
      </c>
    </row>
    <row r="2277" spans="1:35" ht="144">
      <c r="A2277" s="75" t="s">
        <v>12521</v>
      </c>
      <c r="B2277" s="23" t="s">
        <v>12525</v>
      </c>
      <c r="C2277" s="140">
        <v>45516</v>
      </c>
      <c r="D2277" s="23" t="s">
        <v>729</v>
      </c>
      <c r="E2277" s="23" t="s">
        <v>752</v>
      </c>
      <c r="F2277" s="23" t="s">
        <v>2200</v>
      </c>
      <c r="G2277" s="23" t="s">
        <v>301</v>
      </c>
      <c r="H2277" s="23">
        <v>20555473</v>
      </c>
      <c r="I2277" s="23">
        <v>20555473</v>
      </c>
      <c r="J2277" s="140">
        <v>45514</v>
      </c>
      <c r="K2277" s="23" t="s">
        <v>12526</v>
      </c>
      <c r="L2277" s="140">
        <v>45523</v>
      </c>
      <c r="O2277" s="23" t="s">
        <v>12542</v>
      </c>
      <c r="P2277" s="23" t="s">
        <v>12543</v>
      </c>
      <c r="Q2277" s="140">
        <v>45532</v>
      </c>
      <c r="T2277" s="23" t="s">
        <v>305</v>
      </c>
      <c r="U2277" s="23" t="s">
        <v>305</v>
      </c>
      <c r="V2277" s="23" t="s">
        <v>299</v>
      </c>
      <c r="W2277" s="23" t="s">
        <v>12524</v>
      </c>
      <c r="Y2277" s="23">
        <v>35586</v>
      </c>
      <c r="Z2277" s="23">
        <v>243000</v>
      </c>
      <c r="AB2277" s="19" t="s">
        <v>12573</v>
      </c>
      <c r="AC2277" s="23">
        <v>27</v>
      </c>
      <c r="AD2277" s="23">
        <v>0</v>
      </c>
      <c r="AE2277" s="23">
        <v>9</v>
      </c>
      <c r="AF2277" s="23" t="s">
        <v>9622</v>
      </c>
      <c r="AG2277" s="23" t="s">
        <v>1553</v>
      </c>
      <c r="AH2277" s="39">
        <v>45525</v>
      </c>
      <c r="AI2277" s="53" t="s">
        <v>5851</v>
      </c>
    </row>
    <row r="2278" spans="1:35" ht="32">
      <c r="A2278" s="75" t="s">
        <v>12538</v>
      </c>
      <c r="B2278" s="23" t="s">
        <v>12539</v>
      </c>
      <c r="C2278" s="140">
        <v>45525</v>
      </c>
      <c r="D2278" s="23" t="s">
        <v>729</v>
      </c>
      <c r="E2278" s="23" t="s">
        <v>752</v>
      </c>
      <c r="F2278" s="23" t="s">
        <v>12533</v>
      </c>
      <c r="G2278" s="23" t="s">
        <v>57</v>
      </c>
      <c r="H2278" s="23" t="s">
        <v>12567</v>
      </c>
      <c r="I2278" s="23" t="s">
        <v>12567</v>
      </c>
      <c r="J2278" s="140">
        <v>45520</v>
      </c>
      <c r="K2278" s="23" t="s">
        <v>12606</v>
      </c>
      <c r="L2278" s="140">
        <v>45532</v>
      </c>
      <c r="O2278" s="23" t="s">
        <v>12540</v>
      </c>
      <c r="P2278" s="23" t="s">
        <v>12541</v>
      </c>
      <c r="Q2278" s="140">
        <v>45532</v>
      </c>
      <c r="S2278" s="23" t="s">
        <v>183</v>
      </c>
      <c r="T2278" s="23" t="s">
        <v>305</v>
      </c>
      <c r="U2278" s="23" t="s">
        <v>305</v>
      </c>
      <c r="V2278" s="23" t="s">
        <v>233</v>
      </c>
      <c r="W2278" s="23" t="s">
        <v>351</v>
      </c>
      <c r="X2278" s="23">
        <v>37073</v>
      </c>
      <c r="Y2278" s="37">
        <v>37294.6</v>
      </c>
      <c r="Z2278" s="23">
        <v>34807.760000000002</v>
      </c>
      <c r="AA2278" s="23">
        <v>33587.760000000002</v>
      </c>
      <c r="AB2278" s="19" t="s">
        <v>12636</v>
      </c>
      <c r="AC2278" s="23" t="s">
        <v>791</v>
      </c>
      <c r="AD2278" s="23">
        <v>0</v>
      </c>
      <c r="AE2278" s="23">
        <v>2</v>
      </c>
      <c r="AF2278" s="23" t="s">
        <v>9622</v>
      </c>
      <c r="AG2278" s="23" t="s">
        <v>792</v>
      </c>
      <c r="AH2278" s="39">
        <v>45532</v>
      </c>
    </row>
    <row r="2279" spans="1:35">
      <c r="A2279" s="75" t="s">
        <v>12544</v>
      </c>
      <c r="B2279" s="23" t="s">
        <v>12551</v>
      </c>
      <c r="C2279" s="140">
        <v>45528</v>
      </c>
      <c r="D2279" s="23" t="s">
        <v>729</v>
      </c>
      <c r="E2279" s="23" t="s">
        <v>752</v>
      </c>
      <c r="F2279" s="23" t="s">
        <v>2200</v>
      </c>
      <c r="G2279" s="23" t="s">
        <v>301</v>
      </c>
      <c r="H2279" s="23">
        <v>20557885</v>
      </c>
      <c r="I2279" s="23">
        <v>20557885</v>
      </c>
      <c r="J2279" s="140">
        <v>45525</v>
      </c>
      <c r="K2279" s="23" t="s">
        <v>12578</v>
      </c>
      <c r="L2279" s="140">
        <v>45531</v>
      </c>
      <c r="O2279" s="23" t="s">
        <v>12552</v>
      </c>
      <c r="P2279" s="140" t="s">
        <v>12586</v>
      </c>
      <c r="T2279" s="23" t="s">
        <v>305</v>
      </c>
      <c r="U2279" s="23" t="s">
        <v>305</v>
      </c>
      <c r="V2279" s="23" t="s">
        <v>299</v>
      </c>
      <c r="W2279" s="23" t="s">
        <v>11891</v>
      </c>
      <c r="Y2279" s="23">
        <v>1550</v>
      </c>
      <c r="AB2279" s="59" t="s">
        <v>12553</v>
      </c>
      <c r="AC2279" s="23">
        <v>1</v>
      </c>
      <c r="AD2279" s="23">
        <v>0</v>
      </c>
      <c r="AE2279" s="23">
        <v>1</v>
      </c>
      <c r="AF2279" s="23" t="s">
        <v>9622</v>
      </c>
      <c r="AG2279" s="23" t="s">
        <v>1553</v>
      </c>
      <c r="AH2279" s="39">
        <v>45537</v>
      </c>
      <c r="AI2279" s="53" t="s">
        <v>5851</v>
      </c>
    </row>
    <row r="2280" spans="1:35">
      <c r="A2280" s="75" t="s">
        <v>12545</v>
      </c>
      <c r="B2280" s="23" t="s">
        <v>12555</v>
      </c>
      <c r="C2280" s="140">
        <v>45528</v>
      </c>
      <c r="D2280" s="23" t="s">
        <v>729</v>
      </c>
      <c r="E2280" s="23" t="s">
        <v>752</v>
      </c>
      <c r="F2280" s="23" t="s">
        <v>2200</v>
      </c>
      <c r="G2280" s="23" t="s">
        <v>301</v>
      </c>
      <c r="H2280" s="23">
        <v>20557890</v>
      </c>
      <c r="I2280" s="23">
        <v>20557890</v>
      </c>
      <c r="J2280" s="140">
        <v>45525</v>
      </c>
      <c r="K2280" s="23" t="s">
        <v>12579</v>
      </c>
      <c r="L2280" s="140">
        <v>45531</v>
      </c>
      <c r="O2280" s="23" t="s">
        <v>12552</v>
      </c>
      <c r="P2280" s="140" t="s">
        <v>12586</v>
      </c>
      <c r="T2280" s="23" t="s">
        <v>305</v>
      </c>
      <c r="U2280" s="23" t="s">
        <v>305</v>
      </c>
      <c r="V2280" s="23" t="s">
        <v>299</v>
      </c>
      <c r="W2280" s="23" t="s">
        <v>12503</v>
      </c>
      <c r="Y2280" s="23">
        <v>1539</v>
      </c>
      <c r="AB2280" s="59" t="s">
        <v>12554</v>
      </c>
      <c r="AC2280" s="23">
        <v>1</v>
      </c>
      <c r="AD2280" s="23">
        <v>0</v>
      </c>
      <c r="AE2280" s="23">
        <v>0</v>
      </c>
      <c r="AF2280" s="23" t="s">
        <v>9622</v>
      </c>
      <c r="AG2280" s="23" t="s">
        <v>1553</v>
      </c>
      <c r="AH2280" s="39">
        <v>45537</v>
      </c>
      <c r="AI2280" s="53" t="s">
        <v>5851</v>
      </c>
    </row>
    <row r="2281" spans="1:35" ht="48">
      <c r="A2281" s="75" t="s">
        <v>12546</v>
      </c>
      <c r="B2281" s="23" t="s">
        <v>12557</v>
      </c>
      <c r="C2281" s="140">
        <v>45528</v>
      </c>
      <c r="D2281" s="23" t="s">
        <v>729</v>
      </c>
      <c r="E2281" s="23" t="s">
        <v>752</v>
      </c>
      <c r="F2281" s="23" t="s">
        <v>2200</v>
      </c>
      <c r="G2281" s="23" t="s">
        <v>301</v>
      </c>
      <c r="H2281" s="23">
        <v>20557889</v>
      </c>
      <c r="I2281" s="23">
        <v>20557889</v>
      </c>
      <c r="J2281" s="140">
        <v>45525</v>
      </c>
      <c r="K2281" s="23" t="s">
        <v>12580</v>
      </c>
      <c r="L2281" s="140">
        <v>45531</v>
      </c>
      <c r="O2281" s="23" t="s">
        <v>12552</v>
      </c>
      <c r="P2281" s="140" t="s">
        <v>12586</v>
      </c>
      <c r="T2281" s="23" t="s">
        <v>305</v>
      </c>
      <c r="U2281" s="23" t="s">
        <v>305</v>
      </c>
      <c r="V2281" s="23" t="s">
        <v>299</v>
      </c>
      <c r="W2281" s="23" t="s">
        <v>12503</v>
      </c>
      <c r="Y2281" s="23">
        <v>13851</v>
      </c>
      <c r="AB2281" s="19" t="s">
        <v>12611</v>
      </c>
      <c r="AC2281" s="23">
        <v>9</v>
      </c>
      <c r="AD2281" s="23">
        <v>0</v>
      </c>
      <c r="AE2281" s="23">
        <v>3</v>
      </c>
      <c r="AF2281" s="23" t="s">
        <v>9622</v>
      </c>
      <c r="AG2281" s="23" t="s">
        <v>1553</v>
      </c>
      <c r="AH2281" s="39">
        <v>45537</v>
      </c>
      <c r="AI2281" s="53" t="s">
        <v>5851</v>
      </c>
    </row>
    <row r="2282" spans="1:35" ht="80">
      <c r="A2282" s="75" t="s">
        <v>12547</v>
      </c>
      <c r="B2282" s="23" t="s">
        <v>12558</v>
      </c>
      <c r="C2282" s="140">
        <v>45528</v>
      </c>
      <c r="D2282" s="23" t="s">
        <v>729</v>
      </c>
      <c r="E2282" s="23" t="s">
        <v>752</v>
      </c>
      <c r="F2282" s="23" t="s">
        <v>2200</v>
      </c>
      <c r="G2282" s="23" t="s">
        <v>301</v>
      </c>
      <c r="H2282" s="23">
        <v>20557887</v>
      </c>
      <c r="I2282" s="23">
        <v>20557887</v>
      </c>
      <c r="J2282" s="140">
        <v>45525</v>
      </c>
      <c r="K2282" s="23" t="s">
        <v>12581</v>
      </c>
      <c r="L2282" s="140">
        <v>45531</v>
      </c>
      <c r="O2282" s="23" t="s">
        <v>12552</v>
      </c>
      <c r="P2282" s="140" t="s">
        <v>12586</v>
      </c>
      <c r="T2282" s="23" t="s">
        <v>305</v>
      </c>
      <c r="U2282" s="23" t="s">
        <v>305</v>
      </c>
      <c r="V2282" s="23" t="s">
        <v>299</v>
      </c>
      <c r="W2282" s="23" t="s">
        <v>12556</v>
      </c>
      <c r="Y2282" s="23">
        <v>23250</v>
      </c>
      <c r="AB2282" s="19" t="s">
        <v>12612</v>
      </c>
      <c r="AC2282" s="23">
        <v>15</v>
      </c>
      <c r="AD2282" s="23">
        <v>0</v>
      </c>
      <c r="AE2282" s="23">
        <v>5</v>
      </c>
      <c r="AF2282" s="23" t="s">
        <v>9622</v>
      </c>
      <c r="AG2282" s="23" t="s">
        <v>1553</v>
      </c>
      <c r="AH2282" s="39">
        <v>45537</v>
      </c>
      <c r="AI2282" s="53" t="s">
        <v>5851</v>
      </c>
    </row>
    <row r="2283" spans="1:35">
      <c r="A2283" s="75" t="s">
        <v>12548</v>
      </c>
      <c r="B2283" s="23" t="s">
        <v>12559</v>
      </c>
      <c r="C2283" s="140">
        <v>45528</v>
      </c>
      <c r="D2283" s="23" t="s">
        <v>729</v>
      </c>
      <c r="E2283" s="23" t="s">
        <v>752</v>
      </c>
      <c r="F2283" s="23" t="s">
        <v>2200</v>
      </c>
      <c r="G2283" s="23" t="s">
        <v>301</v>
      </c>
      <c r="H2283" s="23" t="s">
        <v>12582</v>
      </c>
      <c r="I2283" s="23" t="s">
        <v>12582</v>
      </c>
      <c r="J2283" s="140">
        <v>45525</v>
      </c>
      <c r="K2283" s="23" t="s">
        <v>12583</v>
      </c>
      <c r="L2283" s="140">
        <v>45531</v>
      </c>
      <c r="O2283" s="23" t="s">
        <v>12552</v>
      </c>
      <c r="P2283" s="140" t="s">
        <v>12586</v>
      </c>
      <c r="T2283" s="23" t="s">
        <v>305</v>
      </c>
      <c r="U2283" s="23" t="s">
        <v>305</v>
      </c>
      <c r="V2283" s="23" t="s">
        <v>299</v>
      </c>
      <c r="W2283" s="23" t="s">
        <v>12556</v>
      </c>
      <c r="Y2283" s="23">
        <v>4650</v>
      </c>
      <c r="AB2283" s="59" t="s">
        <v>12560</v>
      </c>
      <c r="AC2283" s="23">
        <v>3</v>
      </c>
      <c r="AD2283" s="23">
        <v>0</v>
      </c>
      <c r="AE2283" s="23">
        <v>1</v>
      </c>
      <c r="AF2283" s="23" t="s">
        <v>9622</v>
      </c>
      <c r="AG2283" s="23" t="s">
        <v>1553</v>
      </c>
      <c r="AH2283" s="39">
        <v>45537</v>
      </c>
      <c r="AI2283" s="53" t="s">
        <v>5851</v>
      </c>
    </row>
    <row r="2284" spans="1:35" ht="112">
      <c r="A2284" s="75" t="s">
        <v>12549</v>
      </c>
      <c r="B2284" s="23" t="s">
        <v>12561</v>
      </c>
      <c r="C2284" s="140">
        <v>45528</v>
      </c>
      <c r="D2284" s="23" t="s">
        <v>729</v>
      </c>
      <c r="E2284" s="23" t="s">
        <v>752</v>
      </c>
      <c r="F2284" s="23" t="s">
        <v>2200</v>
      </c>
      <c r="G2284" s="23" t="s">
        <v>301</v>
      </c>
      <c r="H2284" s="23">
        <v>20557886</v>
      </c>
      <c r="I2284" s="23">
        <v>20557886</v>
      </c>
      <c r="J2284" s="140">
        <v>45525</v>
      </c>
      <c r="K2284" s="23" t="s">
        <v>12584</v>
      </c>
      <c r="L2284" s="140">
        <v>45531</v>
      </c>
      <c r="O2284" s="23" t="s">
        <v>12552</v>
      </c>
      <c r="P2284" s="140" t="s">
        <v>12586</v>
      </c>
      <c r="T2284" s="23" t="s">
        <v>305</v>
      </c>
      <c r="U2284" s="23" t="s">
        <v>305</v>
      </c>
      <c r="V2284" s="23" t="s">
        <v>299</v>
      </c>
      <c r="W2284" s="23" t="s">
        <v>12503</v>
      </c>
      <c r="Y2284" s="23">
        <v>32319</v>
      </c>
      <c r="AB2284" s="19" t="s">
        <v>12613</v>
      </c>
      <c r="AC2284" s="23">
        <v>21</v>
      </c>
      <c r="AD2284" s="23">
        <v>0</v>
      </c>
      <c r="AE2284" s="23">
        <v>7</v>
      </c>
      <c r="AF2284" s="23" t="s">
        <v>9622</v>
      </c>
      <c r="AG2284" s="23" t="s">
        <v>1553</v>
      </c>
      <c r="AH2284" s="39">
        <v>45537</v>
      </c>
      <c r="AI2284" s="53" t="s">
        <v>5851</v>
      </c>
    </row>
    <row r="2285" spans="1:35" ht="192">
      <c r="A2285" s="75" t="s">
        <v>12550</v>
      </c>
      <c r="B2285" s="23" t="s">
        <v>12562</v>
      </c>
      <c r="C2285" s="140">
        <v>45528</v>
      </c>
      <c r="D2285" s="23" t="s">
        <v>729</v>
      </c>
      <c r="E2285" s="23" t="s">
        <v>752</v>
      </c>
      <c r="F2285" s="23" t="s">
        <v>2200</v>
      </c>
      <c r="G2285" s="23" t="s">
        <v>301</v>
      </c>
      <c r="H2285" s="23">
        <v>20557888</v>
      </c>
      <c r="I2285" s="23">
        <v>20557888</v>
      </c>
      <c r="J2285" s="140">
        <v>45525</v>
      </c>
      <c r="K2285" s="23" t="s">
        <v>12585</v>
      </c>
      <c r="L2285" s="140">
        <v>45539</v>
      </c>
      <c r="O2285" s="23" t="s">
        <v>12552</v>
      </c>
      <c r="P2285" s="140" t="s">
        <v>12586</v>
      </c>
      <c r="T2285" s="23" t="s">
        <v>305</v>
      </c>
      <c r="U2285" s="23" t="s">
        <v>305</v>
      </c>
      <c r="V2285" s="23" t="s">
        <v>299</v>
      </c>
      <c r="W2285" s="23" t="s">
        <v>12524</v>
      </c>
      <c r="Y2285" s="23">
        <v>47448</v>
      </c>
      <c r="Z2285" s="23">
        <v>324000</v>
      </c>
      <c r="AB2285" s="19" t="s">
        <v>12614</v>
      </c>
      <c r="AC2285" s="23">
        <v>36</v>
      </c>
      <c r="AD2285" s="23">
        <v>0</v>
      </c>
      <c r="AE2285" s="23">
        <v>12</v>
      </c>
      <c r="AF2285" s="23" t="s">
        <v>9622</v>
      </c>
      <c r="AG2285" s="23" t="s">
        <v>1553</v>
      </c>
      <c r="AH2285" s="39">
        <v>45537</v>
      </c>
      <c r="AI2285" s="53" t="s">
        <v>5851</v>
      </c>
    </row>
    <row r="2286" spans="1:35" ht="128">
      <c r="A2286" s="75" t="s">
        <v>12587</v>
      </c>
      <c r="B2286" s="23" t="s">
        <v>12589</v>
      </c>
      <c r="C2286" s="140">
        <v>45537</v>
      </c>
      <c r="D2286" s="23" t="s">
        <v>729</v>
      </c>
      <c r="E2286" s="23" t="s">
        <v>752</v>
      </c>
      <c r="F2286" s="23" t="s">
        <v>2200</v>
      </c>
      <c r="G2286" s="23" t="s">
        <v>301</v>
      </c>
      <c r="H2286" s="23">
        <v>20559936</v>
      </c>
      <c r="I2286" s="23">
        <v>20559936</v>
      </c>
      <c r="J2286" s="140">
        <v>45536</v>
      </c>
      <c r="K2286" s="23" t="s">
        <v>12590</v>
      </c>
      <c r="L2286" s="140">
        <v>45539</v>
      </c>
      <c r="O2286" s="23" t="s">
        <v>12615</v>
      </c>
      <c r="P2286" s="23" t="s">
        <v>12616</v>
      </c>
      <c r="Q2286" s="140">
        <v>45549</v>
      </c>
      <c r="T2286" s="23" t="s">
        <v>305</v>
      </c>
      <c r="U2286" s="23" t="s">
        <v>305</v>
      </c>
      <c r="V2286" s="23" t="s">
        <v>299</v>
      </c>
      <c r="W2286" s="23" t="s">
        <v>12524</v>
      </c>
      <c r="Y2286" s="23">
        <v>31632</v>
      </c>
      <c r="Z2286" s="23">
        <v>216000</v>
      </c>
      <c r="AB2286" s="19" t="s">
        <v>12623</v>
      </c>
      <c r="AC2286" s="23">
        <v>24</v>
      </c>
      <c r="AD2286" s="23">
        <v>0</v>
      </c>
      <c r="AE2286" s="23">
        <v>8</v>
      </c>
      <c r="AF2286" s="23" t="s">
        <v>9622</v>
      </c>
      <c r="AG2286" s="23" t="s">
        <v>1553</v>
      </c>
      <c r="AH2286" s="39">
        <v>45544</v>
      </c>
      <c r="AI2286" s="53" t="s">
        <v>5851</v>
      </c>
    </row>
    <row r="2287" spans="1:35" ht="128">
      <c r="A2287" s="75" t="s">
        <v>12588</v>
      </c>
      <c r="B2287" s="23" t="s">
        <v>12591</v>
      </c>
      <c r="C2287" s="140">
        <v>45537</v>
      </c>
      <c r="D2287" s="23" t="s">
        <v>729</v>
      </c>
      <c r="E2287" s="23" t="s">
        <v>752</v>
      </c>
      <c r="F2287" s="23" t="s">
        <v>2200</v>
      </c>
      <c r="G2287" s="23" t="s">
        <v>301</v>
      </c>
      <c r="H2287" s="23">
        <v>20559928</v>
      </c>
      <c r="I2287" s="23">
        <v>20559928</v>
      </c>
      <c r="J2287" s="140">
        <v>45533</v>
      </c>
      <c r="K2287" s="23" t="s">
        <v>12592</v>
      </c>
      <c r="L2287" s="140">
        <v>45540</v>
      </c>
      <c r="O2287" s="23" t="s">
        <v>12615</v>
      </c>
      <c r="P2287" s="23" t="s">
        <v>12616</v>
      </c>
      <c r="Q2287" s="140">
        <v>45549</v>
      </c>
      <c r="T2287" s="23" t="s">
        <v>305</v>
      </c>
      <c r="U2287" s="23" t="s">
        <v>305</v>
      </c>
      <c r="V2287" s="23" t="s">
        <v>299</v>
      </c>
      <c r="W2287" s="23" t="s">
        <v>12503</v>
      </c>
      <c r="Y2287" s="23">
        <v>36936</v>
      </c>
      <c r="Z2287" s="23">
        <v>324000</v>
      </c>
      <c r="AB2287" s="19" t="s">
        <v>12624</v>
      </c>
      <c r="AC2287" s="23">
        <v>24</v>
      </c>
      <c r="AD2287" s="23">
        <v>0</v>
      </c>
      <c r="AE2287" s="23">
        <v>8</v>
      </c>
      <c r="AF2287" s="23" t="s">
        <v>9622</v>
      </c>
      <c r="AG2287" s="23" t="s">
        <v>1553</v>
      </c>
      <c r="AH2287" s="39">
        <v>45544</v>
      </c>
      <c r="AI2287" s="53" t="s">
        <v>5851</v>
      </c>
    </row>
    <row r="2288" spans="1:35">
      <c r="A2288" s="75" t="s">
        <v>12593</v>
      </c>
      <c r="B2288" s="23" t="s">
        <v>12594</v>
      </c>
      <c r="C2288" s="140">
        <v>45534</v>
      </c>
      <c r="D2288" s="23" t="s">
        <v>729</v>
      </c>
      <c r="E2288" s="23" t="s">
        <v>752</v>
      </c>
      <c r="F2288" s="23" t="s">
        <v>12533</v>
      </c>
      <c r="G2288" s="23" t="s">
        <v>57</v>
      </c>
      <c r="H2288" s="23" t="s">
        <v>12595</v>
      </c>
      <c r="I2288" s="23" t="s">
        <v>12595</v>
      </c>
      <c r="J2288" s="140">
        <v>45530</v>
      </c>
      <c r="K2288" s="23" t="s">
        <v>12596</v>
      </c>
      <c r="L2288" s="140">
        <v>45541</v>
      </c>
      <c r="O2288" s="23" t="s">
        <v>12597</v>
      </c>
      <c r="P2288" s="23" t="s">
        <v>12598</v>
      </c>
      <c r="Q2288" s="140">
        <v>45545</v>
      </c>
      <c r="S2288" s="23" t="s">
        <v>183</v>
      </c>
      <c r="T2288" s="23" t="s">
        <v>305</v>
      </c>
      <c r="U2288" s="23" t="s">
        <v>305</v>
      </c>
      <c r="V2288" s="23" t="s">
        <v>233</v>
      </c>
      <c r="W2288" s="23" t="s">
        <v>351</v>
      </c>
      <c r="X2288" s="23">
        <v>35598.300000000003</v>
      </c>
      <c r="Y2288" s="37">
        <v>35819.9</v>
      </c>
      <c r="Z2288" s="23">
        <v>33428.379999999997</v>
      </c>
      <c r="AB2288" s="59" t="s">
        <v>12599</v>
      </c>
      <c r="AC2288" s="23" t="s">
        <v>791</v>
      </c>
      <c r="AD2288" s="23">
        <v>0</v>
      </c>
      <c r="AE2288" s="23">
        <v>2</v>
      </c>
      <c r="AF2288" s="23" t="s">
        <v>9622</v>
      </c>
      <c r="AG2288" s="23" t="s">
        <v>792</v>
      </c>
      <c r="AH2288" s="39">
        <v>45546</v>
      </c>
    </row>
    <row r="2289" spans="1:35">
      <c r="A2289" s="75" t="s">
        <v>12602</v>
      </c>
      <c r="B2289" s="23" t="s">
        <v>12603</v>
      </c>
      <c r="C2289" s="140">
        <v>45537</v>
      </c>
      <c r="D2289" s="23" t="s">
        <v>729</v>
      </c>
      <c r="E2289" s="23" t="s">
        <v>752</v>
      </c>
      <c r="F2289" s="23" t="s">
        <v>2200</v>
      </c>
      <c r="G2289" s="23" t="s">
        <v>301</v>
      </c>
      <c r="H2289" s="23">
        <v>55021140</v>
      </c>
      <c r="I2289" s="23">
        <v>55021140</v>
      </c>
      <c r="J2289" s="140">
        <v>45530</v>
      </c>
      <c r="K2289" s="23" t="s">
        <v>12604</v>
      </c>
      <c r="L2289" s="140">
        <v>45538</v>
      </c>
      <c r="O2289" s="23" t="s">
        <v>12637</v>
      </c>
      <c r="P2289" s="23" t="s">
        <v>12625</v>
      </c>
      <c r="Q2289" s="141" t="s">
        <v>12626</v>
      </c>
      <c r="S2289" s="23" t="s">
        <v>12517</v>
      </c>
      <c r="T2289" s="23" t="s">
        <v>305</v>
      </c>
      <c r="U2289" s="23" t="s">
        <v>305</v>
      </c>
      <c r="V2289" s="23" t="s">
        <v>298</v>
      </c>
      <c r="W2289" s="23" t="s">
        <v>3141</v>
      </c>
      <c r="Y2289" s="23">
        <v>6652</v>
      </c>
      <c r="Z2289" s="23">
        <v>61.36</v>
      </c>
      <c r="AB2289" s="59" t="s">
        <v>12605</v>
      </c>
      <c r="AC2289" s="23" t="s">
        <v>12158</v>
      </c>
      <c r="AD2289" s="23">
        <v>0</v>
      </c>
      <c r="AE2289" s="23">
        <v>1</v>
      </c>
      <c r="AF2289" s="23" t="s">
        <v>9622</v>
      </c>
      <c r="AG2289" s="23" t="s">
        <v>5950</v>
      </c>
      <c r="AH2289" s="39">
        <v>45544</v>
      </c>
    </row>
    <row r="2290" spans="1:35">
      <c r="A2290" s="75" t="s">
        <v>12607</v>
      </c>
      <c r="B2290" s="23" t="s">
        <v>12619</v>
      </c>
      <c r="C2290" s="140">
        <v>45551</v>
      </c>
      <c r="D2290" s="23" t="s">
        <v>729</v>
      </c>
      <c r="E2290" s="23" t="s">
        <v>752</v>
      </c>
      <c r="F2290" s="23" t="s">
        <v>12533</v>
      </c>
      <c r="G2290" s="23" t="s">
        <v>57</v>
      </c>
      <c r="H2290" s="23" t="s">
        <v>12620</v>
      </c>
      <c r="I2290" s="23" t="s">
        <v>12620</v>
      </c>
      <c r="J2290" s="140">
        <v>45546</v>
      </c>
      <c r="Q2290" s="140">
        <v>45554</v>
      </c>
      <c r="S2290" s="23" t="s">
        <v>184</v>
      </c>
      <c r="T2290" s="23" t="s">
        <v>12031</v>
      </c>
      <c r="U2290" s="23" t="s">
        <v>12031</v>
      </c>
      <c r="V2290" s="23" t="s">
        <v>233</v>
      </c>
      <c r="W2290" s="23" t="s">
        <v>12621</v>
      </c>
      <c r="X2290" s="37">
        <v>7312.64</v>
      </c>
      <c r="Y2290" s="37">
        <v>7443.65</v>
      </c>
      <c r="Z2290" s="37">
        <v>13599.32</v>
      </c>
      <c r="AB2290" s="59" t="s">
        <v>12622</v>
      </c>
      <c r="AC2290" s="23" t="s">
        <v>4143</v>
      </c>
      <c r="AD2290" s="23">
        <v>1</v>
      </c>
      <c r="AE2290" s="23">
        <v>0</v>
      </c>
      <c r="AF2290" s="23" t="s">
        <v>9622</v>
      </c>
      <c r="AG2290" s="23" t="s">
        <v>787</v>
      </c>
      <c r="AH2290" s="39">
        <v>45545</v>
      </c>
    </row>
    <row r="2291" spans="1:35" ht="144">
      <c r="A2291" s="64" t="s">
        <v>12608</v>
      </c>
      <c r="B2291" s="23" t="s">
        <v>12609</v>
      </c>
      <c r="C2291" s="140">
        <v>45546</v>
      </c>
      <c r="D2291" s="23" t="s">
        <v>729</v>
      </c>
      <c r="E2291" s="23" t="s">
        <v>752</v>
      </c>
      <c r="F2291" s="23" t="s">
        <v>2200</v>
      </c>
      <c r="G2291" s="23" t="s">
        <v>301</v>
      </c>
      <c r="H2291" s="23">
        <v>20561153</v>
      </c>
      <c r="I2291" s="23">
        <v>20561153</v>
      </c>
      <c r="J2291" s="140">
        <v>45544</v>
      </c>
      <c r="K2291" s="23" t="s">
        <v>12610</v>
      </c>
      <c r="L2291" s="140">
        <v>45547</v>
      </c>
      <c r="O2291" s="23" t="s">
        <v>12638</v>
      </c>
      <c r="P2291" s="23" t="s">
        <v>12639</v>
      </c>
      <c r="Q2291" s="140">
        <v>45563</v>
      </c>
      <c r="T2291" s="23" t="s">
        <v>305</v>
      </c>
      <c r="U2291" s="23" t="s">
        <v>305</v>
      </c>
      <c r="V2291" s="23" t="s">
        <v>298</v>
      </c>
      <c r="W2291" s="23" t="s">
        <v>12524</v>
      </c>
      <c r="Y2291" s="23">
        <v>35586</v>
      </c>
      <c r="Z2291" s="23">
        <v>243000</v>
      </c>
      <c r="AB2291" s="19" t="s">
        <v>12641</v>
      </c>
      <c r="AC2291" s="23">
        <v>27</v>
      </c>
      <c r="AD2291" s="23">
        <v>0</v>
      </c>
      <c r="AE2291" s="23">
        <v>9</v>
      </c>
      <c r="AF2291" s="23" t="s">
        <v>9622</v>
      </c>
      <c r="AG2291" s="23" t="s">
        <v>5950</v>
      </c>
      <c r="AH2291" s="39">
        <v>45551</v>
      </c>
      <c r="AI2291" s="53" t="s">
        <v>5851</v>
      </c>
    </row>
    <row r="2292" spans="1:35" ht="48">
      <c r="A2292" s="75" t="s">
        <v>12617</v>
      </c>
      <c r="B2292" s="23">
        <v>243758596</v>
      </c>
      <c r="C2292" s="140">
        <v>45552</v>
      </c>
      <c r="D2292" s="23" t="s">
        <v>729</v>
      </c>
      <c r="E2292" s="23" t="s">
        <v>752</v>
      </c>
      <c r="F2292" s="23" t="s">
        <v>11006</v>
      </c>
      <c r="G2292" s="23" t="s">
        <v>5538</v>
      </c>
      <c r="H2292" s="23" t="s">
        <v>12618</v>
      </c>
      <c r="I2292" s="23" t="s">
        <v>12618</v>
      </c>
      <c r="J2292" s="140">
        <v>45545</v>
      </c>
      <c r="T2292" s="23" t="s">
        <v>12031</v>
      </c>
      <c r="U2292" s="23" t="s">
        <v>12031</v>
      </c>
      <c r="V2292" s="23" t="s">
        <v>299</v>
      </c>
      <c r="W2292" s="23" t="s">
        <v>12355</v>
      </c>
      <c r="Y2292" s="23">
        <v>12540</v>
      </c>
      <c r="AB2292" s="19" t="s">
        <v>12642</v>
      </c>
      <c r="AC2292" s="23">
        <v>6</v>
      </c>
      <c r="AD2292" s="23">
        <v>0</v>
      </c>
      <c r="AE2292" s="23">
        <v>3</v>
      </c>
      <c r="AF2292" s="23" t="s">
        <v>9622</v>
      </c>
      <c r="AG2292" s="23" t="s">
        <v>12179</v>
      </c>
      <c r="AH2292" s="39">
        <v>45554</v>
      </c>
      <c r="AI2292" s="53" t="s">
        <v>8387</v>
      </c>
    </row>
    <row r="2293" spans="1:35" ht="144">
      <c r="A2293" s="75" t="s">
        <v>12627</v>
      </c>
      <c r="B2293" s="23" t="s">
        <v>12628</v>
      </c>
      <c r="C2293" s="140">
        <v>45553</v>
      </c>
      <c r="D2293" s="23" t="s">
        <v>729</v>
      </c>
      <c r="E2293" s="23" t="s">
        <v>752</v>
      </c>
      <c r="F2293" s="23" t="s">
        <v>2200</v>
      </c>
      <c r="G2293" s="23" t="s">
        <v>301</v>
      </c>
      <c r="H2293" s="23">
        <v>20563449</v>
      </c>
      <c r="I2293" s="23">
        <v>20563449</v>
      </c>
      <c r="J2293" s="140">
        <v>45549</v>
      </c>
      <c r="K2293" s="23" t="s">
        <v>12629</v>
      </c>
      <c r="L2293" s="140">
        <v>45555</v>
      </c>
      <c r="T2293" s="23" t="s">
        <v>305</v>
      </c>
      <c r="U2293" s="23" t="s">
        <v>305</v>
      </c>
      <c r="V2293" s="23" t="s">
        <v>299</v>
      </c>
      <c r="W2293" s="23" t="s">
        <v>12524</v>
      </c>
      <c r="Y2293" s="23">
        <v>35586</v>
      </c>
      <c r="Z2293" s="23">
        <v>243000</v>
      </c>
      <c r="AB2293" s="19" t="s">
        <v>12687</v>
      </c>
      <c r="AC2293" s="23">
        <v>27</v>
      </c>
      <c r="AD2293" s="23">
        <v>0</v>
      </c>
      <c r="AE2293" s="23">
        <v>9</v>
      </c>
      <c r="AF2293" s="23" t="s">
        <v>9622</v>
      </c>
      <c r="AG2293" s="23" t="s">
        <v>659</v>
      </c>
      <c r="AH2293" s="39">
        <v>45560</v>
      </c>
      <c r="AI2293" s="53" t="s">
        <v>5851</v>
      </c>
    </row>
    <row r="2294" spans="1:35" ht="96">
      <c r="A2294" s="75" t="s">
        <v>12630</v>
      </c>
      <c r="B2294" s="23" t="s">
        <v>12631</v>
      </c>
      <c r="C2294" s="140">
        <v>45553</v>
      </c>
      <c r="D2294" s="23" t="s">
        <v>729</v>
      </c>
      <c r="E2294" s="23" t="s">
        <v>752</v>
      </c>
      <c r="F2294" s="23" t="s">
        <v>2200</v>
      </c>
      <c r="G2294" s="23" t="s">
        <v>301</v>
      </c>
      <c r="H2294" s="23">
        <v>20563450</v>
      </c>
      <c r="I2294" s="23">
        <v>20563450</v>
      </c>
      <c r="J2294" s="140">
        <v>45550</v>
      </c>
      <c r="K2294" s="23" t="s">
        <v>12632</v>
      </c>
      <c r="L2294" s="140">
        <v>45558</v>
      </c>
      <c r="T2294" s="23" t="s">
        <v>305</v>
      </c>
      <c r="U2294" s="23" t="s">
        <v>305</v>
      </c>
      <c r="V2294" s="23" t="s">
        <v>299</v>
      </c>
      <c r="W2294" s="23" t="s">
        <v>12503</v>
      </c>
      <c r="Y2294" s="23">
        <v>27702</v>
      </c>
      <c r="Z2294" s="23">
        <v>243000</v>
      </c>
      <c r="AB2294" s="19" t="s">
        <v>12688</v>
      </c>
      <c r="AC2294" s="23">
        <v>18</v>
      </c>
      <c r="AD2294" s="23">
        <v>0</v>
      </c>
      <c r="AE2294" s="23">
        <v>6</v>
      </c>
      <c r="AF2294" s="23" t="s">
        <v>9622</v>
      </c>
      <c r="AG2294" s="23" t="s">
        <v>659</v>
      </c>
      <c r="AH2294" s="39">
        <v>45560</v>
      </c>
      <c r="AI2294" s="53" t="s">
        <v>5851</v>
      </c>
    </row>
    <row r="2295" spans="1:35" ht="96">
      <c r="A2295" s="75" t="s">
        <v>12633</v>
      </c>
      <c r="B2295" s="23" t="s">
        <v>12634</v>
      </c>
      <c r="C2295" s="140">
        <v>45553</v>
      </c>
      <c r="D2295" s="23" t="s">
        <v>729</v>
      </c>
      <c r="E2295" s="23" t="s">
        <v>752</v>
      </c>
      <c r="F2295" s="23" t="s">
        <v>2200</v>
      </c>
      <c r="G2295" s="23" t="s">
        <v>301</v>
      </c>
      <c r="H2295" s="23">
        <v>20563451</v>
      </c>
      <c r="I2295" s="23">
        <v>20563451</v>
      </c>
      <c r="J2295" s="140">
        <v>45550</v>
      </c>
      <c r="K2295" s="23" t="s">
        <v>12635</v>
      </c>
      <c r="L2295" s="140">
        <v>45558</v>
      </c>
      <c r="T2295" s="23" t="s">
        <v>305</v>
      </c>
      <c r="U2295" s="23" t="s">
        <v>305</v>
      </c>
      <c r="V2295" s="23" t="s">
        <v>299</v>
      </c>
      <c r="W2295" s="23" t="s">
        <v>12503</v>
      </c>
      <c r="Y2295" s="23">
        <v>27702</v>
      </c>
      <c r="Z2295" s="23">
        <v>243000</v>
      </c>
      <c r="AB2295" s="19" t="s">
        <v>12689</v>
      </c>
      <c r="AC2295" s="23">
        <v>18</v>
      </c>
      <c r="AD2295" s="23">
        <v>0</v>
      </c>
      <c r="AE2295" s="23">
        <v>6</v>
      </c>
      <c r="AF2295" s="23" t="s">
        <v>9622</v>
      </c>
      <c r="AG2295" s="23" t="s">
        <v>659</v>
      </c>
      <c r="AH2295" s="39">
        <v>45560</v>
      </c>
      <c r="AI2295" s="53" t="s">
        <v>5851</v>
      </c>
    </row>
    <row r="2296" spans="1:35">
      <c r="A2296" s="75" t="s">
        <v>12640</v>
      </c>
      <c r="B2296" s="23" t="s">
        <v>12648</v>
      </c>
      <c r="C2296" s="140">
        <v>45560</v>
      </c>
      <c r="D2296" s="23" t="s">
        <v>729</v>
      </c>
      <c r="E2296" s="23" t="s">
        <v>752</v>
      </c>
      <c r="F2296" s="23" t="s">
        <v>12533</v>
      </c>
      <c r="G2296" s="23" t="s">
        <v>57</v>
      </c>
      <c r="H2296" s="23" t="s">
        <v>12649</v>
      </c>
      <c r="I2296" s="23" t="s">
        <v>12649</v>
      </c>
      <c r="J2296" s="140">
        <v>45558</v>
      </c>
      <c r="K2296" s="23" t="s">
        <v>12650</v>
      </c>
      <c r="L2296" s="140">
        <v>45569</v>
      </c>
      <c r="O2296" s="23" t="s">
        <v>12651</v>
      </c>
      <c r="P2296" s="23" t="s">
        <v>12652</v>
      </c>
      <c r="Q2296" s="140">
        <v>45573</v>
      </c>
      <c r="S2296" s="23" t="s">
        <v>183</v>
      </c>
      <c r="T2296" s="23" t="s">
        <v>305</v>
      </c>
      <c r="U2296" s="23" t="s">
        <v>305</v>
      </c>
      <c r="V2296" s="23" t="s">
        <v>233</v>
      </c>
      <c r="W2296" s="23" t="s">
        <v>351</v>
      </c>
      <c r="X2296" s="37">
        <v>35882.300000000003</v>
      </c>
      <c r="Y2296" s="37">
        <v>36103.9</v>
      </c>
      <c r="Z2296" s="37">
        <v>33688.870000000003</v>
      </c>
      <c r="AA2296" s="37">
        <v>32468.87</v>
      </c>
      <c r="AB2296" s="59" t="s">
        <v>12653</v>
      </c>
      <c r="AC2296" s="23" t="s">
        <v>791</v>
      </c>
      <c r="AD2296" s="23">
        <v>0</v>
      </c>
      <c r="AE2296" s="23">
        <v>2</v>
      </c>
      <c r="AF2296" s="23" t="s">
        <v>9622</v>
      </c>
      <c r="AG2296" s="23" t="s">
        <v>792</v>
      </c>
      <c r="AH2296" s="39">
        <v>45575</v>
      </c>
    </row>
    <row r="2297" spans="1:35">
      <c r="A2297" s="75" t="s">
        <v>12643</v>
      </c>
      <c r="B2297" s="23" t="s">
        <v>12644</v>
      </c>
      <c r="C2297" s="140">
        <v>45559</v>
      </c>
      <c r="D2297" s="23" t="s">
        <v>729</v>
      </c>
      <c r="E2297" s="23" t="s">
        <v>752</v>
      </c>
      <c r="F2297" s="23" t="s">
        <v>2200</v>
      </c>
      <c r="G2297" s="23" t="s">
        <v>301</v>
      </c>
      <c r="H2297" s="23">
        <v>70402722</v>
      </c>
      <c r="I2297" s="23">
        <v>70402722</v>
      </c>
      <c r="J2297" s="140">
        <v>45559</v>
      </c>
      <c r="K2297" s="23" t="s">
        <v>12686</v>
      </c>
      <c r="L2297" s="140">
        <v>45582</v>
      </c>
      <c r="O2297" s="23" t="s">
        <v>12699</v>
      </c>
      <c r="P2297" s="23" t="s">
        <v>12698</v>
      </c>
      <c r="Q2297" s="140">
        <v>45567</v>
      </c>
      <c r="S2297" s="23" t="s">
        <v>183</v>
      </c>
      <c r="T2297" s="23" t="s">
        <v>305</v>
      </c>
      <c r="U2297" s="23" t="s">
        <v>305</v>
      </c>
      <c r="V2297" s="23" t="s">
        <v>298</v>
      </c>
      <c r="W2297" s="23" t="s">
        <v>11022</v>
      </c>
      <c r="Y2297" s="23">
        <v>8010</v>
      </c>
      <c r="Z2297" s="190">
        <v>73800</v>
      </c>
      <c r="AB2297" s="59" t="s">
        <v>12645</v>
      </c>
      <c r="AC2297" s="23" t="s">
        <v>12646</v>
      </c>
      <c r="AD2297" s="23">
        <v>0</v>
      </c>
      <c r="AE2297" s="23">
        <v>1</v>
      </c>
      <c r="AF2297" s="23" t="s">
        <v>9622</v>
      </c>
      <c r="AG2297" s="23" t="s">
        <v>12647</v>
      </c>
      <c r="AH2297" s="39">
        <v>45572</v>
      </c>
    </row>
    <row r="2298" spans="1:35" ht="15" customHeight="1">
      <c r="A2298" s="75" t="s">
        <v>12654</v>
      </c>
      <c r="B2298" s="23">
        <v>278767591</v>
      </c>
      <c r="C2298" s="140">
        <v>45561</v>
      </c>
      <c r="D2298" s="23" t="s">
        <v>729</v>
      </c>
      <c r="E2298" s="23" t="s">
        <v>752</v>
      </c>
      <c r="F2298" s="23" t="s">
        <v>11006</v>
      </c>
      <c r="G2298" s="23" t="s">
        <v>5538</v>
      </c>
      <c r="H2298" s="23" t="s">
        <v>12655</v>
      </c>
      <c r="I2298" s="23" t="s">
        <v>12655</v>
      </c>
      <c r="J2298" s="140">
        <v>45554</v>
      </c>
      <c r="T2298" s="23" t="s">
        <v>12031</v>
      </c>
      <c r="U2298" s="23" t="s">
        <v>12031</v>
      </c>
      <c r="V2298" s="23" t="s">
        <v>299</v>
      </c>
      <c r="W2298" s="23" t="s">
        <v>12656</v>
      </c>
      <c r="Y2298" s="23">
        <v>4410</v>
      </c>
      <c r="Z2298" s="23">
        <v>74000</v>
      </c>
      <c r="AB2298" s="59" t="s">
        <v>12657</v>
      </c>
      <c r="AC2298" s="23">
        <v>2</v>
      </c>
      <c r="AD2298" s="23">
        <v>0</v>
      </c>
      <c r="AE2298" s="23">
        <v>1</v>
      </c>
      <c r="AF2298" s="23" t="s">
        <v>9622</v>
      </c>
      <c r="AG2298" s="23" t="s">
        <v>12658</v>
      </c>
      <c r="AH2298" s="39">
        <v>45576</v>
      </c>
      <c r="AI2298" s="53" t="s">
        <v>8387</v>
      </c>
    </row>
    <row r="2299" spans="1:35" ht="75" customHeight="1">
      <c r="A2299" s="75" t="s">
        <v>12659</v>
      </c>
      <c r="B2299" s="59" t="s">
        <v>12661</v>
      </c>
      <c r="C2299" s="140">
        <v>45566</v>
      </c>
      <c r="D2299" s="23" t="s">
        <v>729</v>
      </c>
      <c r="E2299" s="23" t="s">
        <v>752</v>
      </c>
      <c r="F2299" s="23" t="s">
        <v>2200</v>
      </c>
      <c r="G2299" s="23" t="s">
        <v>301</v>
      </c>
      <c r="H2299" s="23">
        <v>20565459</v>
      </c>
      <c r="I2299" s="23">
        <v>20565459</v>
      </c>
      <c r="J2299" s="140">
        <v>45562</v>
      </c>
      <c r="K2299" s="23" t="s">
        <v>12662</v>
      </c>
      <c r="L2299" s="140">
        <v>45573</v>
      </c>
      <c r="O2299" s="23" t="s">
        <v>12684</v>
      </c>
      <c r="P2299" s="23" t="s">
        <v>12692</v>
      </c>
      <c r="Q2299" s="140">
        <v>45585</v>
      </c>
      <c r="T2299" s="23" t="s">
        <v>305</v>
      </c>
      <c r="U2299" s="23" t="s">
        <v>305</v>
      </c>
      <c r="V2299" s="23" t="s">
        <v>299</v>
      </c>
      <c r="W2299" s="23" t="s">
        <v>12556</v>
      </c>
      <c r="Y2299" s="23">
        <v>23250</v>
      </c>
      <c r="Z2299" s="23">
        <v>207000</v>
      </c>
      <c r="AB2299" s="60" t="s">
        <v>12663</v>
      </c>
      <c r="AC2299" s="23">
        <v>15</v>
      </c>
      <c r="AD2299" s="23">
        <v>0</v>
      </c>
      <c r="AE2299" s="23">
        <v>5</v>
      </c>
      <c r="AF2299" s="23" t="s">
        <v>9622</v>
      </c>
      <c r="AG2299" s="23" t="s">
        <v>659</v>
      </c>
      <c r="AH2299" s="39">
        <v>45577</v>
      </c>
      <c r="AI2299" s="53" t="s">
        <v>5851</v>
      </c>
    </row>
    <row r="2300" spans="1:35" ht="208">
      <c r="A2300" s="75" t="s">
        <v>12660</v>
      </c>
      <c r="B2300" s="59" t="s">
        <v>12664</v>
      </c>
      <c r="C2300" s="140">
        <v>45566</v>
      </c>
      <c r="D2300" s="23" t="s">
        <v>729</v>
      </c>
      <c r="E2300" s="23" t="s">
        <v>752</v>
      </c>
      <c r="F2300" s="23" t="s">
        <v>2200</v>
      </c>
      <c r="G2300" s="23" t="s">
        <v>301</v>
      </c>
      <c r="H2300" s="23" t="s">
        <v>12665</v>
      </c>
      <c r="I2300" s="23" t="s">
        <v>12665</v>
      </c>
      <c r="J2300" s="140">
        <v>45560</v>
      </c>
      <c r="K2300" s="23" t="s">
        <v>12666</v>
      </c>
      <c r="L2300" s="140">
        <v>45573</v>
      </c>
      <c r="O2300" s="23" t="s">
        <v>12684</v>
      </c>
      <c r="P2300" s="23" t="s">
        <v>12692</v>
      </c>
      <c r="Q2300" s="140">
        <v>45587</v>
      </c>
      <c r="T2300" s="23" t="s">
        <v>305</v>
      </c>
      <c r="U2300" s="23" t="s">
        <v>305</v>
      </c>
      <c r="V2300" s="23" t="s">
        <v>299</v>
      </c>
      <c r="W2300" s="19" t="s">
        <v>12667</v>
      </c>
      <c r="Y2300" s="23">
        <v>53438</v>
      </c>
      <c r="Z2300" s="23">
        <v>459400</v>
      </c>
      <c r="AB2300" s="19" t="s">
        <v>12718</v>
      </c>
      <c r="AC2300" s="23">
        <v>37</v>
      </c>
      <c r="AD2300" s="23">
        <v>0</v>
      </c>
      <c r="AE2300" s="23">
        <v>13</v>
      </c>
      <c r="AF2300" s="23" t="s">
        <v>9622</v>
      </c>
      <c r="AG2300" s="23" t="s">
        <v>659</v>
      </c>
      <c r="AH2300" s="39">
        <v>45577</v>
      </c>
      <c r="AI2300" s="53" t="s">
        <v>5851</v>
      </c>
    </row>
    <row r="2301" spans="1:35" ht="96">
      <c r="A2301" s="75" t="s">
        <v>12669</v>
      </c>
      <c r="B2301" s="23" t="s">
        <v>12674</v>
      </c>
      <c r="C2301" s="140">
        <v>45575</v>
      </c>
      <c r="D2301" s="23" t="s">
        <v>729</v>
      </c>
      <c r="E2301" s="23" t="s">
        <v>752</v>
      </c>
      <c r="F2301" s="23" t="s">
        <v>2200</v>
      </c>
      <c r="G2301" s="23" t="s">
        <v>301</v>
      </c>
      <c r="H2301" s="23">
        <v>20566880</v>
      </c>
      <c r="I2301" s="23">
        <v>20566880</v>
      </c>
      <c r="J2301" s="140">
        <v>45564</v>
      </c>
      <c r="K2301" s="23" t="s">
        <v>12675</v>
      </c>
      <c r="L2301" s="140">
        <v>45577</v>
      </c>
      <c r="O2301" s="23" t="s">
        <v>12685</v>
      </c>
      <c r="P2301" s="23" t="s">
        <v>12715</v>
      </c>
      <c r="Q2301" s="140">
        <v>45587</v>
      </c>
      <c r="R2301" s="53">
        <v>45593</v>
      </c>
      <c r="T2301" s="23" t="s">
        <v>305</v>
      </c>
      <c r="U2301" s="23" t="s">
        <v>305</v>
      </c>
      <c r="V2301" s="23" t="s">
        <v>299</v>
      </c>
      <c r="W2301" s="23" t="s">
        <v>12443</v>
      </c>
      <c r="Y2301" s="23">
        <v>23724</v>
      </c>
      <c r="Z2301" s="23">
        <v>210600</v>
      </c>
      <c r="AB2301" s="19" t="s">
        <v>12719</v>
      </c>
      <c r="AC2301" s="23">
        <v>18</v>
      </c>
      <c r="AD2301" s="23">
        <v>0</v>
      </c>
      <c r="AE2301" s="23">
        <v>6</v>
      </c>
      <c r="AF2301" s="23" t="s">
        <v>9622</v>
      </c>
      <c r="AG2301" s="23" t="s">
        <v>659</v>
      </c>
      <c r="AH2301" s="39">
        <v>45582</v>
      </c>
      <c r="AI2301" s="53" t="s">
        <v>5851</v>
      </c>
    </row>
    <row r="2302" spans="1:35" ht="48">
      <c r="A2302" s="75" t="s">
        <v>12670</v>
      </c>
      <c r="B2302" s="59" t="s">
        <v>12676</v>
      </c>
      <c r="C2302" s="140">
        <v>45575</v>
      </c>
      <c r="D2302" s="23" t="s">
        <v>729</v>
      </c>
      <c r="E2302" s="23" t="s">
        <v>752</v>
      </c>
      <c r="F2302" s="23" t="s">
        <v>2200</v>
      </c>
      <c r="G2302" s="23" t="s">
        <v>301</v>
      </c>
      <c r="H2302" s="23">
        <v>20567312</v>
      </c>
      <c r="I2302" s="23">
        <v>20567312</v>
      </c>
      <c r="J2302" s="140">
        <v>45574</v>
      </c>
      <c r="K2302" s="23" t="s">
        <v>12677</v>
      </c>
      <c r="L2302" s="140">
        <v>45579</v>
      </c>
      <c r="O2302" s="23" t="s">
        <v>12685</v>
      </c>
      <c r="P2302" s="23" t="s">
        <v>12691</v>
      </c>
      <c r="Q2302" s="140">
        <v>45585</v>
      </c>
      <c r="T2302" s="23" t="s">
        <v>305</v>
      </c>
      <c r="U2302" s="23" t="s">
        <v>305</v>
      </c>
      <c r="V2302" s="23" t="s">
        <v>299</v>
      </c>
      <c r="W2302" s="23" t="s">
        <v>12503</v>
      </c>
      <c r="Y2302" s="23">
        <v>13851</v>
      </c>
      <c r="Z2302" s="23">
        <v>121500</v>
      </c>
      <c r="AB2302" s="19" t="s">
        <v>12712</v>
      </c>
      <c r="AC2302" s="23">
        <v>9</v>
      </c>
      <c r="AD2302" s="23">
        <v>0</v>
      </c>
      <c r="AE2302" s="23">
        <v>3</v>
      </c>
      <c r="AF2302" s="23" t="s">
        <v>9622</v>
      </c>
      <c r="AG2302" s="23" t="s">
        <v>659</v>
      </c>
      <c r="AH2302" s="39">
        <v>45582</v>
      </c>
      <c r="AI2302" s="53" t="s">
        <v>5851</v>
      </c>
    </row>
    <row r="2303" spans="1:35" ht="96">
      <c r="A2303" s="75" t="s">
        <v>12671</v>
      </c>
      <c r="B2303" s="59" t="s">
        <v>12678</v>
      </c>
      <c r="C2303" s="140">
        <v>45575</v>
      </c>
      <c r="D2303" s="23" t="s">
        <v>729</v>
      </c>
      <c r="E2303" s="23" t="s">
        <v>752</v>
      </c>
      <c r="F2303" s="23" t="s">
        <v>2200</v>
      </c>
      <c r="G2303" s="23" t="s">
        <v>301</v>
      </c>
      <c r="H2303" s="23">
        <v>20567314</v>
      </c>
      <c r="I2303" s="23">
        <v>20567314</v>
      </c>
      <c r="J2303" s="140">
        <v>45574</v>
      </c>
      <c r="K2303" s="23" t="s">
        <v>12679</v>
      </c>
      <c r="L2303" s="140">
        <v>45579</v>
      </c>
      <c r="O2303" s="23" t="s">
        <v>12685</v>
      </c>
      <c r="P2303" s="23" t="s">
        <v>12691</v>
      </c>
      <c r="Q2303" s="140">
        <v>45585</v>
      </c>
      <c r="T2303" s="23" t="s">
        <v>305</v>
      </c>
      <c r="U2303" s="23" t="s">
        <v>305</v>
      </c>
      <c r="V2303" s="23" t="s">
        <v>299</v>
      </c>
      <c r="W2303" s="23" t="s">
        <v>12503</v>
      </c>
      <c r="Y2303" s="23">
        <v>27702</v>
      </c>
      <c r="Z2303" s="23">
        <v>243000</v>
      </c>
      <c r="AB2303" s="19" t="s">
        <v>12709</v>
      </c>
      <c r="AC2303" s="23">
        <v>18</v>
      </c>
      <c r="AD2303" s="23">
        <v>0</v>
      </c>
      <c r="AE2303" s="23">
        <v>6</v>
      </c>
      <c r="AF2303" s="23" t="s">
        <v>9622</v>
      </c>
      <c r="AG2303" s="23" t="s">
        <v>659</v>
      </c>
      <c r="AH2303" s="39">
        <v>45582</v>
      </c>
      <c r="AI2303" s="53" t="s">
        <v>5851</v>
      </c>
    </row>
    <row r="2304" spans="1:35" ht="128">
      <c r="A2304" s="75" t="s">
        <v>12672</v>
      </c>
      <c r="B2304" s="59" t="s">
        <v>12680</v>
      </c>
      <c r="C2304" s="140">
        <v>45575</v>
      </c>
      <c r="D2304" s="23" t="s">
        <v>729</v>
      </c>
      <c r="E2304" s="23" t="s">
        <v>752</v>
      </c>
      <c r="F2304" s="23" t="s">
        <v>2200</v>
      </c>
      <c r="G2304" s="23" t="s">
        <v>301</v>
      </c>
      <c r="H2304" s="23">
        <v>20567311</v>
      </c>
      <c r="I2304" s="23">
        <v>20567311</v>
      </c>
      <c r="J2304" s="140">
        <v>45574</v>
      </c>
      <c r="K2304" s="23" t="s">
        <v>12681</v>
      </c>
      <c r="L2304" s="140">
        <v>45579</v>
      </c>
      <c r="O2304" s="23" t="s">
        <v>12685</v>
      </c>
      <c r="P2304" s="23" t="s">
        <v>12691</v>
      </c>
      <c r="Q2304" s="140">
        <v>45585</v>
      </c>
      <c r="T2304" s="23" t="s">
        <v>305</v>
      </c>
      <c r="U2304" s="23" t="s">
        <v>305</v>
      </c>
      <c r="V2304" s="23" t="s">
        <v>299</v>
      </c>
      <c r="W2304" s="23" t="s">
        <v>12503</v>
      </c>
      <c r="Y2304" s="23">
        <v>36936</v>
      </c>
      <c r="Z2304" s="23">
        <v>324000</v>
      </c>
      <c r="AB2304" s="19" t="s">
        <v>12711</v>
      </c>
      <c r="AC2304" s="23">
        <v>24</v>
      </c>
      <c r="AD2304" s="23">
        <v>0</v>
      </c>
      <c r="AE2304" s="23">
        <v>8</v>
      </c>
      <c r="AF2304" s="23" t="s">
        <v>9622</v>
      </c>
      <c r="AG2304" s="23" t="s">
        <v>659</v>
      </c>
      <c r="AH2304" s="39">
        <v>45582</v>
      </c>
      <c r="AI2304" s="53" t="s">
        <v>5851</v>
      </c>
    </row>
    <row r="2305" spans="1:35" ht="144">
      <c r="A2305" s="75" t="s">
        <v>12673</v>
      </c>
      <c r="B2305" s="59" t="s">
        <v>12682</v>
      </c>
      <c r="C2305" s="140">
        <v>45575</v>
      </c>
      <c r="D2305" s="23" t="s">
        <v>729</v>
      </c>
      <c r="E2305" s="23" t="s">
        <v>752</v>
      </c>
      <c r="F2305" s="23" t="s">
        <v>2200</v>
      </c>
      <c r="G2305" s="23" t="s">
        <v>301</v>
      </c>
      <c r="H2305" s="23">
        <v>20566879</v>
      </c>
      <c r="I2305" s="23">
        <v>20566879</v>
      </c>
      <c r="J2305" s="140">
        <v>45574</v>
      </c>
      <c r="K2305" s="23" t="s">
        <v>12683</v>
      </c>
      <c r="L2305" s="140">
        <v>45576</v>
      </c>
      <c r="O2305" s="23" t="s">
        <v>12685</v>
      </c>
      <c r="P2305" s="23" t="s">
        <v>12691</v>
      </c>
      <c r="Q2305" s="140">
        <v>45585</v>
      </c>
      <c r="T2305" s="23" t="s">
        <v>305</v>
      </c>
      <c r="U2305" s="23" t="s">
        <v>305</v>
      </c>
      <c r="V2305" s="23" t="s">
        <v>299</v>
      </c>
      <c r="W2305" s="23" t="s">
        <v>12524</v>
      </c>
      <c r="Y2305" s="23">
        <v>35586</v>
      </c>
      <c r="Z2305" s="23">
        <v>243000</v>
      </c>
      <c r="AB2305" s="19" t="s">
        <v>12710</v>
      </c>
      <c r="AC2305" s="23">
        <v>27</v>
      </c>
      <c r="AD2305" s="23">
        <v>0</v>
      </c>
      <c r="AE2305" s="23">
        <v>9</v>
      </c>
      <c r="AF2305" s="23" t="s">
        <v>9622</v>
      </c>
      <c r="AG2305" s="23" t="s">
        <v>659</v>
      </c>
      <c r="AH2305" s="39">
        <v>45582</v>
      </c>
      <c r="AI2305" s="53" t="s">
        <v>5851</v>
      </c>
    </row>
    <row r="2306" spans="1:35">
      <c r="A2306" s="75" t="s">
        <v>12690</v>
      </c>
      <c r="B2306" s="23" t="s">
        <v>12697</v>
      </c>
      <c r="C2306" s="140">
        <v>45583</v>
      </c>
      <c r="D2306" s="23" t="s">
        <v>729</v>
      </c>
      <c r="E2306" s="23" t="s">
        <v>752</v>
      </c>
      <c r="F2306" s="23" t="s">
        <v>12533</v>
      </c>
      <c r="G2306" s="23" t="s">
        <v>57</v>
      </c>
      <c r="H2306" s="23" t="s">
        <v>12696</v>
      </c>
      <c r="I2306" s="23" t="s">
        <v>12696</v>
      </c>
      <c r="J2306" s="140">
        <v>45581</v>
      </c>
      <c r="K2306" s="23" t="s">
        <v>12814</v>
      </c>
      <c r="L2306" s="140">
        <v>45622</v>
      </c>
      <c r="S2306" s="23" t="s">
        <v>184</v>
      </c>
      <c r="T2306" s="23" t="s">
        <v>12031</v>
      </c>
      <c r="U2306" s="23" t="s">
        <v>12031</v>
      </c>
      <c r="V2306" s="23" t="s">
        <v>233</v>
      </c>
      <c r="W2306" s="23" t="s">
        <v>12713</v>
      </c>
      <c r="X2306" s="23">
        <v>4972.6000000000004</v>
      </c>
      <c r="Y2306" s="23">
        <v>5056.6000000000004</v>
      </c>
      <c r="Z2306" s="23">
        <v>12769.51</v>
      </c>
      <c r="AB2306" s="59" t="s">
        <v>12714</v>
      </c>
      <c r="AC2306" s="23" t="s">
        <v>3851</v>
      </c>
      <c r="AD2306" s="23">
        <v>1</v>
      </c>
      <c r="AE2306" s="23">
        <v>0</v>
      </c>
      <c r="AF2306" s="23" t="s">
        <v>9622</v>
      </c>
      <c r="AG2306" s="23" t="s">
        <v>787</v>
      </c>
      <c r="AH2306" s="39">
        <v>45594</v>
      </c>
    </row>
    <row r="2307" spans="1:35" ht="112">
      <c r="A2307" s="75" t="s">
        <v>12693</v>
      </c>
      <c r="B2307" s="23" t="s">
        <v>12694</v>
      </c>
      <c r="C2307" s="140">
        <v>45580</v>
      </c>
      <c r="D2307" s="23" t="s">
        <v>729</v>
      </c>
      <c r="E2307" s="23" t="s">
        <v>752</v>
      </c>
      <c r="F2307" s="23" t="s">
        <v>2200</v>
      </c>
      <c r="G2307" s="23" t="s">
        <v>301</v>
      </c>
      <c r="H2307" s="23">
        <v>20569900</v>
      </c>
      <c r="I2307" s="23">
        <v>20569900</v>
      </c>
      <c r="J2307" s="140">
        <v>45578</v>
      </c>
      <c r="K2307" s="23" t="s">
        <v>12695</v>
      </c>
      <c r="L2307" s="140">
        <v>45582</v>
      </c>
      <c r="O2307" s="23" t="s">
        <v>12716</v>
      </c>
      <c r="P2307" s="23" t="s">
        <v>12717</v>
      </c>
      <c r="Q2307" s="140">
        <v>45593</v>
      </c>
      <c r="T2307" s="23" t="s">
        <v>305</v>
      </c>
      <c r="U2307" s="23" t="s">
        <v>305</v>
      </c>
      <c r="V2307" s="23" t="s">
        <v>299</v>
      </c>
      <c r="W2307" s="23" t="s">
        <v>12524</v>
      </c>
      <c r="Y2307" s="23">
        <v>27678</v>
      </c>
      <c r="Z2307" s="23">
        <v>189000</v>
      </c>
      <c r="AB2307" s="19" t="s">
        <v>12739</v>
      </c>
      <c r="AC2307" s="23">
        <v>21</v>
      </c>
      <c r="AD2307" s="23">
        <v>0</v>
      </c>
      <c r="AE2307" s="23">
        <v>7</v>
      </c>
      <c r="AF2307" s="23" t="s">
        <v>9622</v>
      </c>
      <c r="AG2307" s="23" t="s">
        <v>659</v>
      </c>
      <c r="AH2307" s="39">
        <v>45587</v>
      </c>
      <c r="AI2307" s="53" t="s">
        <v>5851</v>
      </c>
    </row>
    <row r="2308" spans="1:35" ht="64">
      <c r="A2308" s="75" t="s">
        <v>12700</v>
      </c>
      <c r="B2308" s="23" t="s">
        <v>12701</v>
      </c>
      <c r="C2308" s="140">
        <v>45584</v>
      </c>
      <c r="D2308" s="23" t="s">
        <v>729</v>
      </c>
      <c r="E2308" s="23" t="s">
        <v>752</v>
      </c>
      <c r="F2308" s="23" t="s">
        <v>2200</v>
      </c>
      <c r="G2308" s="23" t="s">
        <v>301</v>
      </c>
      <c r="H2308" s="23">
        <v>20569554</v>
      </c>
      <c r="I2308" s="23">
        <v>20569554</v>
      </c>
      <c r="J2308" s="140">
        <v>45582</v>
      </c>
      <c r="K2308" s="23" t="s">
        <v>12702</v>
      </c>
      <c r="L2308" s="140">
        <v>45588</v>
      </c>
      <c r="O2308" s="23" t="s">
        <v>12721</v>
      </c>
      <c r="P2308" s="23" t="s">
        <v>12720</v>
      </c>
      <c r="Q2308" s="140">
        <v>45599</v>
      </c>
      <c r="T2308" s="23" t="s">
        <v>305</v>
      </c>
      <c r="U2308" s="23" t="s">
        <v>305</v>
      </c>
      <c r="V2308" s="23" t="s">
        <v>299</v>
      </c>
      <c r="W2308" s="23" t="s">
        <v>12511</v>
      </c>
      <c r="Y2308" s="23">
        <v>19800</v>
      </c>
      <c r="Z2308" s="23">
        <v>213600</v>
      </c>
      <c r="AB2308" s="19" t="s">
        <v>12738</v>
      </c>
      <c r="AC2308" s="23">
        <v>12</v>
      </c>
      <c r="AD2308" s="23">
        <v>0</v>
      </c>
      <c r="AE2308" s="23">
        <v>4</v>
      </c>
      <c r="AF2308" s="23" t="s">
        <v>9622</v>
      </c>
      <c r="AG2308" s="23" t="s">
        <v>659</v>
      </c>
      <c r="AH2308" s="39">
        <v>45590</v>
      </c>
      <c r="AI2308" s="53" t="s">
        <v>5851</v>
      </c>
    </row>
    <row r="2309" spans="1:35">
      <c r="A2309" s="75" t="s">
        <v>12703</v>
      </c>
      <c r="B2309" s="23" t="s">
        <v>12704</v>
      </c>
      <c r="C2309" s="140">
        <v>45566</v>
      </c>
      <c r="D2309" s="23" t="s">
        <v>729</v>
      </c>
      <c r="E2309" s="23" t="s">
        <v>752</v>
      </c>
      <c r="F2309" s="23" t="s">
        <v>2200</v>
      </c>
      <c r="G2309" s="23" t="s">
        <v>301</v>
      </c>
      <c r="H2309" s="23">
        <v>55021579</v>
      </c>
      <c r="I2309" s="23">
        <v>55021579</v>
      </c>
      <c r="J2309" s="140">
        <v>45556</v>
      </c>
      <c r="K2309" s="23" t="s">
        <v>12705</v>
      </c>
      <c r="L2309" s="140">
        <v>45566</v>
      </c>
      <c r="O2309" s="23" t="s">
        <v>12722</v>
      </c>
      <c r="P2309" s="23" t="s">
        <v>12706</v>
      </c>
      <c r="Q2309" s="141" t="s">
        <v>12707</v>
      </c>
      <c r="S2309" s="23" t="s">
        <v>12517</v>
      </c>
      <c r="T2309" s="23" t="s">
        <v>305</v>
      </c>
      <c r="U2309" s="23" t="s">
        <v>305</v>
      </c>
      <c r="V2309" s="23" t="s">
        <v>298</v>
      </c>
      <c r="W2309" s="23" t="s">
        <v>11559</v>
      </c>
      <c r="Y2309" s="23">
        <v>7719</v>
      </c>
      <c r="Z2309" s="23">
        <v>66270</v>
      </c>
      <c r="AB2309" s="59" t="s">
        <v>12708</v>
      </c>
      <c r="AC2309" s="23" t="s">
        <v>12723</v>
      </c>
      <c r="AD2309" s="23">
        <v>0</v>
      </c>
      <c r="AE2309" s="23">
        <v>1</v>
      </c>
      <c r="AF2309" s="23" t="s">
        <v>9622</v>
      </c>
      <c r="AG2309" s="23" t="s">
        <v>5602</v>
      </c>
      <c r="AH2309" s="39">
        <v>45591</v>
      </c>
    </row>
    <row r="2310" spans="1:35">
      <c r="A2310" s="75" t="s">
        <v>12740</v>
      </c>
      <c r="B2310" s="23" t="s">
        <v>12741</v>
      </c>
      <c r="C2310" s="140">
        <v>45605</v>
      </c>
      <c r="D2310" s="23" t="s">
        <v>729</v>
      </c>
      <c r="E2310" s="23" t="s">
        <v>752</v>
      </c>
      <c r="F2310" s="23" t="s">
        <v>2200</v>
      </c>
      <c r="G2310" s="23" t="s">
        <v>301</v>
      </c>
      <c r="H2310" s="23" t="s">
        <v>12742</v>
      </c>
      <c r="I2310" s="23" t="s">
        <v>12742</v>
      </c>
      <c r="J2310" s="140">
        <v>45597</v>
      </c>
      <c r="K2310" s="23" t="s">
        <v>12743</v>
      </c>
      <c r="L2310" s="140">
        <v>45607</v>
      </c>
      <c r="O2310" s="23" t="s">
        <v>12780</v>
      </c>
      <c r="P2310" s="23" t="s">
        <v>12781</v>
      </c>
      <c r="Q2310" s="140">
        <v>45621</v>
      </c>
      <c r="T2310" s="23" t="s">
        <v>305</v>
      </c>
      <c r="U2310" s="23" t="s">
        <v>305</v>
      </c>
      <c r="V2310" s="23" t="s">
        <v>299</v>
      </c>
      <c r="W2310" s="23" t="s">
        <v>12744</v>
      </c>
      <c r="Y2310" s="23">
        <v>4136</v>
      </c>
      <c r="Z2310" s="23">
        <v>36700</v>
      </c>
      <c r="AB2310" s="59" t="s">
        <v>12745</v>
      </c>
      <c r="AC2310" s="23">
        <v>2</v>
      </c>
      <c r="AD2310" s="23">
        <v>0</v>
      </c>
      <c r="AE2310" s="23">
        <v>1</v>
      </c>
      <c r="AF2310" s="23" t="s">
        <v>9622</v>
      </c>
      <c r="AG2310" s="23" t="s">
        <v>659</v>
      </c>
      <c r="AH2310" s="39">
        <v>45608</v>
      </c>
      <c r="AI2310" s="53" t="s">
        <v>5851</v>
      </c>
    </row>
    <row r="2311" spans="1:35" ht="112">
      <c r="A2311" s="75" t="s">
        <v>12746</v>
      </c>
      <c r="B2311" s="23" t="s">
        <v>12747</v>
      </c>
      <c r="C2311" s="140">
        <v>45605</v>
      </c>
      <c r="D2311" s="23" t="s">
        <v>729</v>
      </c>
      <c r="E2311" s="23" t="s">
        <v>752</v>
      </c>
      <c r="F2311" s="23" t="s">
        <v>2200</v>
      </c>
      <c r="G2311" s="23" t="s">
        <v>301</v>
      </c>
      <c r="H2311" s="23">
        <v>20572061</v>
      </c>
      <c r="I2311" s="23">
        <v>20572061</v>
      </c>
      <c r="J2311" s="140">
        <v>45597</v>
      </c>
      <c r="K2311" s="23" t="s">
        <v>12748</v>
      </c>
      <c r="L2311" s="140">
        <v>45607</v>
      </c>
      <c r="O2311" s="23" t="s">
        <v>12780</v>
      </c>
      <c r="P2311" s="23" t="s">
        <v>12781</v>
      </c>
      <c r="Q2311" s="140">
        <v>45621</v>
      </c>
      <c r="T2311" s="23" t="s">
        <v>305</v>
      </c>
      <c r="U2311" s="23" t="s">
        <v>305</v>
      </c>
      <c r="V2311" s="23" t="s">
        <v>299</v>
      </c>
      <c r="W2311" s="23" t="s">
        <v>12744</v>
      </c>
      <c r="Y2311" s="23">
        <v>28952</v>
      </c>
      <c r="Z2311" s="23">
        <v>256900</v>
      </c>
      <c r="AB2311" s="19" t="s">
        <v>12816</v>
      </c>
      <c r="AC2311" s="23">
        <v>14</v>
      </c>
      <c r="AD2311" s="23">
        <v>0</v>
      </c>
      <c r="AE2311" s="23">
        <v>7</v>
      </c>
      <c r="AF2311" s="23" t="s">
        <v>9622</v>
      </c>
      <c r="AG2311" s="23" t="s">
        <v>659</v>
      </c>
      <c r="AH2311" s="39">
        <v>45608</v>
      </c>
      <c r="AI2311" s="53" t="s">
        <v>5851</v>
      </c>
    </row>
    <row r="2312" spans="1:35" ht="192">
      <c r="A2312" s="75" t="s">
        <v>12749</v>
      </c>
      <c r="B2312" s="23" t="s">
        <v>12750</v>
      </c>
      <c r="C2312" s="140">
        <v>45605</v>
      </c>
      <c r="D2312" s="23" t="s">
        <v>729</v>
      </c>
      <c r="E2312" s="23" t="s">
        <v>752</v>
      </c>
      <c r="F2312" s="23" t="s">
        <v>2200</v>
      </c>
      <c r="G2312" s="23" t="s">
        <v>301</v>
      </c>
      <c r="H2312" s="23">
        <v>20572060</v>
      </c>
      <c r="I2312" s="23">
        <v>20572060</v>
      </c>
      <c r="J2312" s="140">
        <v>45597</v>
      </c>
      <c r="K2312" s="23" t="s">
        <v>12751</v>
      </c>
      <c r="L2312" s="140">
        <v>45607</v>
      </c>
      <c r="O2312" s="23" t="s">
        <v>12780</v>
      </c>
      <c r="P2312" s="23" t="s">
        <v>12781</v>
      </c>
      <c r="Q2312" s="140">
        <v>45621</v>
      </c>
      <c r="T2312" s="23" t="s">
        <v>305</v>
      </c>
      <c r="U2312" s="23" t="s">
        <v>305</v>
      </c>
      <c r="V2312" s="23" t="s">
        <v>299</v>
      </c>
      <c r="W2312" s="23" t="s">
        <v>12524</v>
      </c>
      <c r="Y2312" s="23">
        <v>47448</v>
      </c>
      <c r="Z2312" s="23">
        <v>324000</v>
      </c>
      <c r="AB2312" s="19" t="s">
        <v>12817</v>
      </c>
      <c r="AC2312" s="23">
        <v>36</v>
      </c>
      <c r="AD2312" s="23">
        <v>0</v>
      </c>
      <c r="AE2312" s="23">
        <v>12</v>
      </c>
      <c r="AF2312" s="23" t="s">
        <v>9622</v>
      </c>
      <c r="AG2312" s="23" t="s">
        <v>659</v>
      </c>
      <c r="AH2312" s="39">
        <v>45608</v>
      </c>
      <c r="AI2312" s="53" t="s">
        <v>5851</v>
      </c>
    </row>
    <row r="2313" spans="1:35" ht="64">
      <c r="A2313" s="75" t="s">
        <v>12752</v>
      </c>
      <c r="B2313" s="23" t="s">
        <v>12753</v>
      </c>
      <c r="C2313" s="140">
        <v>45601</v>
      </c>
      <c r="D2313" s="23" t="s">
        <v>729</v>
      </c>
      <c r="E2313" s="23" t="s">
        <v>752</v>
      </c>
      <c r="F2313" s="23" t="s">
        <v>2200</v>
      </c>
      <c r="G2313" s="23" t="s">
        <v>301</v>
      </c>
      <c r="H2313" s="23">
        <v>20573211</v>
      </c>
      <c r="I2313" s="23">
        <v>20573211</v>
      </c>
      <c r="J2313" s="140">
        <v>45599</v>
      </c>
      <c r="K2313" s="23" t="s">
        <v>12754</v>
      </c>
      <c r="L2313" s="140">
        <v>45608</v>
      </c>
      <c r="O2313" s="23" t="s">
        <v>12763</v>
      </c>
      <c r="P2313" s="23" t="s">
        <v>12762</v>
      </c>
      <c r="Q2313" s="140">
        <v>45615</v>
      </c>
      <c r="T2313" s="23" t="s">
        <v>305</v>
      </c>
      <c r="U2313" s="23" t="s">
        <v>305</v>
      </c>
      <c r="V2313" s="23" t="s">
        <v>299</v>
      </c>
      <c r="W2313" s="23" t="s">
        <v>12511</v>
      </c>
      <c r="Y2313" s="23">
        <v>19800</v>
      </c>
      <c r="Z2313" s="23">
        <v>222000</v>
      </c>
      <c r="AB2313" s="19" t="s">
        <v>12779</v>
      </c>
      <c r="AC2313" s="23">
        <v>12</v>
      </c>
      <c r="AD2313" s="23">
        <v>0</v>
      </c>
      <c r="AE2313" s="23">
        <v>4</v>
      </c>
      <c r="AF2313" s="23" t="s">
        <v>9622</v>
      </c>
      <c r="AG2313" s="23" t="s">
        <v>659</v>
      </c>
      <c r="AH2313" s="39">
        <v>45614</v>
      </c>
      <c r="AI2313" s="53" t="s">
        <v>5851</v>
      </c>
    </row>
    <row r="2314" spans="1:35" ht="96">
      <c r="A2314" s="75" t="s">
        <v>12755</v>
      </c>
      <c r="B2314" s="23" t="s">
        <v>12756</v>
      </c>
      <c r="C2314" s="140">
        <v>45606</v>
      </c>
      <c r="D2314" s="23" t="s">
        <v>729</v>
      </c>
      <c r="E2314" s="23" t="s">
        <v>752</v>
      </c>
      <c r="F2314" s="23" t="s">
        <v>2200</v>
      </c>
      <c r="G2314" s="23" t="s">
        <v>301</v>
      </c>
      <c r="H2314" s="23">
        <v>20573210</v>
      </c>
      <c r="I2314" s="23">
        <v>20573210</v>
      </c>
      <c r="J2314" s="140">
        <v>45604</v>
      </c>
      <c r="K2314" s="23" t="s">
        <v>12757</v>
      </c>
      <c r="L2314" s="140">
        <v>45608</v>
      </c>
      <c r="O2314" s="23" t="s">
        <v>12782</v>
      </c>
      <c r="P2314" s="23" t="s">
        <v>12781</v>
      </c>
      <c r="Q2314" s="140">
        <v>45621</v>
      </c>
      <c r="T2314" s="23" t="s">
        <v>305</v>
      </c>
      <c r="U2314" s="23" t="s">
        <v>305</v>
      </c>
      <c r="V2314" s="23" t="s">
        <v>299</v>
      </c>
      <c r="W2314" s="23" t="s">
        <v>12556</v>
      </c>
      <c r="Y2314" s="23">
        <v>26350</v>
      </c>
      <c r="Z2314" s="23">
        <v>234600</v>
      </c>
      <c r="AB2314" s="19" t="s">
        <v>12815</v>
      </c>
      <c r="AC2314" s="23">
        <v>17</v>
      </c>
      <c r="AD2314" s="23">
        <v>0</v>
      </c>
      <c r="AE2314" s="23">
        <v>6</v>
      </c>
      <c r="AF2314" s="23" t="s">
        <v>9622</v>
      </c>
      <c r="AG2314" s="23" t="s">
        <v>659</v>
      </c>
      <c r="AH2314" s="39">
        <v>45614</v>
      </c>
      <c r="AI2314" s="53" t="s">
        <v>5851</v>
      </c>
    </row>
    <row r="2315" spans="1:35">
      <c r="A2315" s="75" t="s">
        <v>12758</v>
      </c>
      <c r="B2315" s="23">
        <v>246238509</v>
      </c>
      <c r="C2315" s="140">
        <v>45615</v>
      </c>
      <c r="D2315" s="23" t="s">
        <v>729</v>
      </c>
      <c r="E2315" s="23" t="s">
        <v>752</v>
      </c>
      <c r="F2315" s="23" t="s">
        <v>11006</v>
      </c>
      <c r="G2315" s="23" t="s">
        <v>5538</v>
      </c>
      <c r="H2315" s="23" t="s">
        <v>12764</v>
      </c>
      <c r="I2315" s="23" t="s">
        <v>12759</v>
      </c>
      <c r="J2315" s="140">
        <v>45601</v>
      </c>
      <c r="T2315" s="23" t="s">
        <v>12031</v>
      </c>
      <c r="U2315" s="23" t="s">
        <v>12031</v>
      </c>
      <c r="V2315" s="23" t="s">
        <v>299</v>
      </c>
      <c r="W2315" s="23" t="s">
        <v>12760</v>
      </c>
      <c r="Y2315" s="23">
        <v>5230</v>
      </c>
      <c r="Z2315" s="23">
        <v>88000</v>
      </c>
      <c r="AB2315" s="59" t="s">
        <v>12761</v>
      </c>
      <c r="AC2315" s="23">
        <v>2</v>
      </c>
      <c r="AD2315" s="23">
        <v>0</v>
      </c>
      <c r="AE2315" s="23">
        <v>1</v>
      </c>
      <c r="AF2315" s="23" t="s">
        <v>9622</v>
      </c>
      <c r="AG2315" s="23" t="s">
        <v>12179</v>
      </c>
      <c r="AH2315" s="39">
        <v>45615</v>
      </c>
      <c r="AI2315" s="53" t="s">
        <v>8387</v>
      </c>
    </row>
    <row r="2316" spans="1:35" ht="48">
      <c r="A2316" s="75" t="s">
        <v>12765</v>
      </c>
      <c r="B2316" s="23" t="s">
        <v>12776</v>
      </c>
      <c r="C2316" s="140">
        <v>45613</v>
      </c>
      <c r="D2316" s="23" t="s">
        <v>729</v>
      </c>
      <c r="E2316" s="23" t="s">
        <v>752</v>
      </c>
      <c r="F2316" s="23" t="s">
        <v>2200</v>
      </c>
      <c r="G2316" s="23" t="s">
        <v>301</v>
      </c>
      <c r="H2316" s="23" t="s">
        <v>12777</v>
      </c>
      <c r="I2316" s="23" t="s">
        <v>12777</v>
      </c>
      <c r="J2316" s="140">
        <v>45603</v>
      </c>
      <c r="K2316" s="27" t="s">
        <v>12786</v>
      </c>
      <c r="L2316" s="140">
        <v>45615</v>
      </c>
      <c r="T2316" s="23" t="s">
        <v>12031</v>
      </c>
      <c r="U2316" s="23" t="s">
        <v>12031</v>
      </c>
      <c r="V2316" s="23" t="s">
        <v>299</v>
      </c>
      <c r="W2316" s="19" t="s">
        <v>12778</v>
      </c>
      <c r="Y2316" s="23">
        <v>11787</v>
      </c>
      <c r="Z2316" s="23">
        <v>1453200</v>
      </c>
      <c r="AB2316" s="19" t="s">
        <v>12818</v>
      </c>
      <c r="AC2316" s="23">
        <v>5</v>
      </c>
      <c r="AD2316" s="23">
        <v>1</v>
      </c>
      <c r="AE2316" s="23">
        <v>2</v>
      </c>
      <c r="AF2316" s="23" t="s">
        <v>9622</v>
      </c>
      <c r="AG2316" s="23" t="s">
        <v>12288</v>
      </c>
      <c r="AH2316" s="39">
        <v>45618</v>
      </c>
      <c r="AI2316" s="53" t="s">
        <v>5851</v>
      </c>
    </row>
    <row r="2317" spans="1:35" ht="32">
      <c r="A2317" s="75" t="s">
        <v>12768</v>
      </c>
      <c r="B2317" s="23" t="s">
        <v>12769</v>
      </c>
      <c r="C2317" s="140">
        <v>45615</v>
      </c>
      <c r="D2317" s="23" t="s">
        <v>729</v>
      </c>
      <c r="E2317" s="23" t="s">
        <v>752</v>
      </c>
      <c r="F2317" s="23" t="s">
        <v>2200</v>
      </c>
      <c r="G2317" s="23" t="s">
        <v>301</v>
      </c>
      <c r="H2317" s="23">
        <v>20575651</v>
      </c>
      <c r="I2317" s="23">
        <v>20575651</v>
      </c>
      <c r="J2317" s="140">
        <v>45614</v>
      </c>
      <c r="K2317" s="23" t="s">
        <v>12770</v>
      </c>
      <c r="L2317" s="140">
        <v>45616</v>
      </c>
      <c r="O2317" s="23" t="s">
        <v>12811</v>
      </c>
      <c r="P2317" s="23" t="s">
        <v>12812</v>
      </c>
      <c r="Q2317" s="140">
        <v>45626</v>
      </c>
      <c r="T2317" s="23" t="s">
        <v>305</v>
      </c>
      <c r="U2317" s="23" t="s">
        <v>305</v>
      </c>
      <c r="V2317" s="23" t="s">
        <v>299</v>
      </c>
      <c r="W2317" s="23" t="s">
        <v>12511</v>
      </c>
      <c r="Y2317" s="23">
        <v>9420</v>
      </c>
      <c r="Z2317" s="23">
        <v>96000</v>
      </c>
      <c r="AB2317" s="19" t="s">
        <v>12824</v>
      </c>
      <c r="AC2317" s="23">
        <v>6</v>
      </c>
      <c r="AD2317" s="23">
        <v>0</v>
      </c>
      <c r="AE2317" s="23">
        <v>2</v>
      </c>
      <c r="AF2317" s="23" t="s">
        <v>9622</v>
      </c>
      <c r="AG2317" s="23" t="s">
        <v>659</v>
      </c>
      <c r="AH2317" s="39">
        <v>45618</v>
      </c>
      <c r="AI2317" s="53" t="s">
        <v>5851</v>
      </c>
    </row>
    <row r="2318" spans="1:35" ht="80">
      <c r="A2318" s="75" t="s">
        <v>12771</v>
      </c>
      <c r="B2318" s="23" t="s">
        <v>12772</v>
      </c>
      <c r="C2318" s="140">
        <v>45613</v>
      </c>
      <c r="D2318" s="23" t="s">
        <v>729</v>
      </c>
      <c r="E2318" s="23" t="s">
        <v>752</v>
      </c>
      <c r="F2318" s="23" t="s">
        <v>2200</v>
      </c>
      <c r="G2318" s="23" t="s">
        <v>301</v>
      </c>
      <c r="H2318" s="23" t="s">
        <v>12773</v>
      </c>
      <c r="I2318" s="23" t="s">
        <v>12773</v>
      </c>
      <c r="J2318" s="140">
        <v>45603</v>
      </c>
      <c r="K2318" s="27" t="s">
        <v>12787</v>
      </c>
      <c r="L2318" s="140">
        <v>45615</v>
      </c>
      <c r="O2318" s="23" t="s">
        <v>12813</v>
      </c>
      <c r="P2318" s="23" t="s">
        <v>12812</v>
      </c>
      <c r="Q2318" s="140">
        <v>45626</v>
      </c>
      <c r="T2318" s="23" t="s">
        <v>305</v>
      </c>
      <c r="U2318" s="23" t="s">
        <v>305</v>
      </c>
      <c r="V2318" s="23" t="s">
        <v>299</v>
      </c>
      <c r="W2318" s="19" t="s">
        <v>12774</v>
      </c>
      <c r="Y2318" s="23">
        <v>16550</v>
      </c>
      <c r="Z2318" s="23">
        <v>1115928</v>
      </c>
      <c r="AB2318" s="19" t="s">
        <v>12823</v>
      </c>
      <c r="AC2318" s="23">
        <v>10</v>
      </c>
      <c r="AD2318" s="23">
        <v>0</v>
      </c>
      <c r="AE2318" s="23">
        <v>5</v>
      </c>
      <c r="AF2318" s="23" t="s">
        <v>9622</v>
      </c>
      <c r="AG2318" s="23" t="s">
        <v>12288</v>
      </c>
      <c r="AH2318" s="39">
        <v>45618</v>
      </c>
      <c r="AI2318" s="53" t="s">
        <v>5852</v>
      </c>
    </row>
    <row r="2319" spans="1:35" ht="192">
      <c r="A2319" s="75" t="s">
        <v>12775</v>
      </c>
      <c r="B2319" s="23" t="s">
        <v>12766</v>
      </c>
      <c r="C2319" s="140">
        <v>45615</v>
      </c>
      <c r="D2319" s="23" t="s">
        <v>729</v>
      </c>
      <c r="E2319" s="23" t="s">
        <v>752</v>
      </c>
      <c r="F2319" s="23" t="s">
        <v>2200</v>
      </c>
      <c r="G2319" s="23" t="s">
        <v>301</v>
      </c>
      <c r="H2319" s="23">
        <v>20575650</v>
      </c>
      <c r="I2319" s="23">
        <v>20575650</v>
      </c>
      <c r="J2319" s="140">
        <v>45614</v>
      </c>
      <c r="K2319" s="23" t="s">
        <v>12767</v>
      </c>
      <c r="L2319" s="140">
        <v>45616</v>
      </c>
      <c r="O2319" s="23" t="s">
        <v>12811</v>
      </c>
      <c r="P2319" s="23" t="s">
        <v>12812</v>
      </c>
      <c r="Q2319" s="140">
        <v>45626</v>
      </c>
      <c r="T2319" s="23" t="s">
        <v>305</v>
      </c>
      <c r="U2319" s="23" t="s">
        <v>305</v>
      </c>
      <c r="V2319" s="23" t="s">
        <v>299</v>
      </c>
      <c r="W2319" s="23" t="s">
        <v>12524</v>
      </c>
      <c r="Y2319" s="23">
        <v>47448</v>
      </c>
      <c r="Z2319" s="23">
        <v>324000</v>
      </c>
      <c r="AB2319" s="19" t="s">
        <v>12825</v>
      </c>
      <c r="AC2319" s="23">
        <v>36</v>
      </c>
      <c r="AD2319" s="23">
        <v>0</v>
      </c>
      <c r="AE2319" s="23">
        <v>12</v>
      </c>
      <c r="AF2319" s="23" t="s">
        <v>9622</v>
      </c>
      <c r="AG2319" s="23" t="s">
        <v>659</v>
      </c>
      <c r="AH2319" s="39">
        <v>45618</v>
      </c>
      <c r="AI2319" s="53" t="s">
        <v>5851</v>
      </c>
    </row>
    <row r="2320" spans="1:35" ht="192">
      <c r="A2320" s="75" t="s">
        <v>12783</v>
      </c>
      <c r="B2320" s="23" t="s">
        <v>12784</v>
      </c>
      <c r="C2320" s="140">
        <v>45616</v>
      </c>
      <c r="D2320" s="23" t="s">
        <v>729</v>
      </c>
      <c r="E2320" s="23" t="s">
        <v>752</v>
      </c>
      <c r="F2320" s="23" t="s">
        <v>2200</v>
      </c>
      <c r="G2320" s="23" t="s">
        <v>301</v>
      </c>
      <c r="H2320" s="23">
        <v>20574302</v>
      </c>
      <c r="I2320" s="23">
        <v>20574302</v>
      </c>
      <c r="J2320" s="140">
        <v>45614</v>
      </c>
      <c r="K2320" s="23" t="s">
        <v>12785</v>
      </c>
      <c r="L2320" s="140">
        <v>45617</v>
      </c>
      <c r="O2320" s="23" t="s">
        <v>12821</v>
      </c>
      <c r="P2320" s="23" t="s">
        <v>12822</v>
      </c>
      <c r="Q2320" s="140">
        <v>45629</v>
      </c>
      <c r="T2320" s="23" t="s">
        <v>305</v>
      </c>
      <c r="U2320" s="23" t="s">
        <v>305</v>
      </c>
      <c r="V2320" s="23" t="s">
        <v>299</v>
      </c>
      <c r="W2320" s="23" t="s">
        <v>12524</v>
      </c>
      <c r="Y2320" s="23">
        <v>47448</v>
      </c>
      <c r="Z2320" s="23">
        <v>324000</v>
      </c>
      <c r="AB2320" s="19" t="s">
        <v>12826</v>
      </c>
      <c r="AC2320" s="23">
        <v>36</v>
      </c>
      <c r="AD2320" s="23">
        <v>0</v>
      </c>
      <c r="AE2320" s="23">
        <v>12</v>
      </c>
      <c r="AF2320" s="23" t="s">
        <v>9622</v>
      </c>
      <c r="AG2320" s="23" t="s">
        <v>659</v>
      </c>
      <c r="AH2320" s="39">
        <v>45618</v>
      </c>
      <c r="AI2320" s="53" t="s">
        <v>5851</v>
      </c>
    </row>
    <row r="2321" spans="1:37">
      <c r="A2321" s="75" t="s">
        <v>12788</v>
      </c>
      <c r="B2321" s="23" t="s">
        <v>12789</v>
      </c>
      <c r="C2321" s="140">
        <v>45619</v>
      </c>
      <c r="D2321" s="23" t="s">
        <v>729</v>
      </c>
      <c r="E2321" s="23" t="s">
        <v>3773</v>
      </c>
      <c r="F2321" s="23" t="s">
        <v>12790</v>
      </c>
      <c r="G2321" s="23" t="s">
        <v>3469</v>
      </c>
      <c r="H2321" s="23" t="s">
        <v>12791</v>
      </c>
      <c r="I2321" s="23" t="s">
        <v>12791</v>
      </c>
      <c r="J2321" s="140">
        <v>45611</v>
      </c>
      <c r="T2321" s="23" t="s">
        <v>12031</v>
      </c>
      <c r="U2321" s="23" t="s">
        <v>12031</v>
      </c>
      <c r="V2321" s="23" t="s">
        <v>298</v>
      </c>
      <c r="W2321" s="23" t="s">
        <v>12792</v>
      </c>
      <c r="Y2321" s="23">
        <v>25880</v>
      </c>
      <c r="Z2321" s="23">
        <v>68000</v>
      </c>
      <c r="AB2321" s="23" t="s">
        <v>97</v>
      </c>
      <c r="AC2321" s="23">
        <v>2</v>
      </c>
      <c r="AD2321" s="23">
        <v>0</v>
      </c>
      <c r="AE2321" s="23">
        <v>0</v>
      </c>
      <c r="AF2321" s="23" t="s">
        <v>97</v>
      </c>
      <c r="AG2321" s="23" t="s">
        <v>8497</v>
      </c>
      <c r="AH2321" s="39">
        <v>45628</v>
      </c>
    </row>
    <row r="2322" spans="1:37">
      <c r="A2322" s="75" t="s">
        <v>12793</v>
      </c>
      <c r="B2322" s="23" t="s">
        <v>12794</v>
      </c>
      <c r="C2322" s="140">
        <v>45619</v>
      </c>
      <c r="D2322" s="23" t="s">
        <v>729</v>
      </c>
      <c r="E2322" s="23" t="s">
        <v>3773</v>
      </c>
      <c r="F2322" s="23" t="s">
        <v>5115</v>
      </c>
      <c r="G2322" s="23" t="s">
        <v>3469</v>
      </c>
      <c r="H2322" s="23" t="s">
        <v>12795</v>
      </c>
      <c r="I2322" s="23" t="s">
        <v>12795</v>
      </c>
      <c r="J2322" s="140">
        <v>45611</v>
      </c>
      <c r="T2322" s="23" t="s">
        <v>12031</v>
      </c>
      <c r="U2322" s="23" t="s">
        <v>12031</v>
      </c>
      <c r="V2322" s="23" t="s">
        <v>299</v>
      </c>
      <c r="W2322" s="23" t="s">
        <v>12796</v>
      </c>
      <c r="Y2322" s="23">
        <v>7590</v>
      </c>
      <c r="Z2322" s="23">
        <v>25000</v>
      </c>
      <c r="AB2322" s="23" t="s">
        <v>97</v>
      </c>
      <c r="AC2322" s="23">
        <v>1</v>
      </c>
      <c r="AD2322" s="23">
        <v>0</v>
      </c>
      <c r="AE2322" s="23">
        <v>0</v>
      </c>
      <c r="AF2322" s="23" t="s">
        <v>97</v>
      </c>
      <c r="AG2322" s="23" t="s">
        <v>8497</v>
      </c>
      <c r="AH2322" s="39">
        <v>45628</v>
      </c>
    </row>
    <row r="2323" spans="1:37" ht="32">
      <c r="A2323" s="75" t="s">
        <v>12797</v>
      </c>
      <c r="B2323" s="23" t="s">
        <v>12798</v>
      </c>
      <c r="C2323" s="140">
        <v>45623</v>
      </c>
      <c r="D2323" s="23" t="s">
        <v>729</v>
      </c>
      <c r="E2323" s="23" t="s">
        <v>752</v>
      </c>
      <c r="F2323" s="23" t="s">
        <v>5115</v>
      </c>
      <c r="G2323" s="23" t="s">
        <v>3469</v>
      </c>
      <c r="H2323" s="23" t="s">
        <v>12799</v>
      </c>
      <c r="I2323" s="23" t="s">
        <v>12799</v>
      </c>
      <c r="J2323" s="140">
        <v>45621</v>
      </c>
      <c r="T2323" s="23" t="s">
        <v>12031</v>
      </c>
      <c r="U2323" s="23" t="s">
        <v>12031</v>
      </c>
      <c r="V2323" s="23" t="s">
        <v>299</v>
      </c>
      <c r="W2323" s="23" t="s">
        <v>12800</v>
      </c>
      <c r="Y2323" s="23">
        <v>14460</v>
      </c>
      <c r="Z2323" s="23">
        <v>33000</v>
      </c>
      <c r="AB2323" s="19" t="s">
        <v>12801</v>
      </c>
      <c r="AC2323" s="23">
        <v>6</v>
      </c>
      <c r="AD2323" s="23">
        <v>0</v>
      </c>
      <c r="AE2323" s="23">
        <v>2</v>
      </c>
      <c r="AF2323" s="23" t="s">
        <v>9622</v>
      </c>
      <c r="AG2323" s="23" t="s">
        <v>10995</v>
      </c>
      <c r="AH2323" s="39">
        <v>45628</v>
      </c>
      <c r="AI2323" s="53" t="s">
        <v>3469</v>
      </c>
    </row>
    <row r="2324" spans="1:37">
      <c r="A2324" s="75" t="s">
        <v>12802</v>
      </c>
      <c r="B2324" s="23" t="s">
        <v>12803</v>
      </c>
      <c r="C2324" s="140">
        <v>45619</v>
      </c>
      <c r="D2324" s="23" t="s">
        <v>729</v>
      </c>
      <c r="E2324" s="23" t="s">
        <v>3773</v>
      </c>
      <c r="F2324" s="23" t="s">
        <v>10928</v>
      </c>
      <c r="G2324" s="23" t="s">
        <v>3469</v>
      </c>
      <c r="H2324" s="23" t="s">
        <v>12804</v>
      </c>
      <c r="I2324" s="23" t="s">
        <v>12804</v>
      </c>
      <c r="J2324" s="140">
        <v>45611</v>
      </c>
      <c r="T2324" s="23" t="s">
        <v>12031</v>
      </c>
      <c r="U2324" s="23" t="s">
        <v>12031</v>
      </c>
      <c r="V2324" s="23" t="s">
        <v>299</v>
      </c>
      <c r="W2324" s="23" t="s">
        <v>12805</v>
      </c>
      <c r="Y2324" s="23">
        <v>265625</v>
      </c>
      <c r="Z2324" s="23">
        <v>265625</v>
      </c>
      <c r="AB2324" s="23" t="s">
        <v>97</v>
      </c>
      <c r="AC2324" s="23">
        <v>17</v>
      </c>
      <c r="AD2324" s="23">
        <v>0</v>
      </c>
      <c r="AE2324" s="23">
        <v>0</v>
      </c>
      <c r="AF2324" s="23" t="s">
        <v>97</v>
      </c>
      <c r="AG2324" s="23" t="s">
        <v>11074</v>
      </c>
      <c r="AH2324" s="39">
        <v>45628</v>
      </c>
      <c r="AI2324" s="53" t="s">
        <v>5706</v>
      </c>
      <c r="AJ2324" s="75" t="s">
        <v>14056</v>
      </c>
      <c r="AK2324" s="53">
        <v>45630</v>
      </c>
    </row>
    <row r="2325" spans="1:37" ht="64">
      <c r="A2325" s="75" t="s">
        <v>12830</v>
      </c>
      <c r="B2325" s="23" t="s">
        <v>12831</v>
      </c>
      <c r="C2325" s="140">
        <v>45635</v>
      </c>
      <c r="D2325" s="23" t="s">
        <v>729</v>
      </c>
      <c r="E2325" s="23" t="s">
        <v>752</v>
      </c>
      <c r="F2325" s="23" t="s">
        <v>2200</v>
      </c>
      <c r="G2325" s="23" t="s">
        <v>301</v>
      </c>
      <c r="H2325" s="23">
        <v>20577394</v>
      </c>
      <c r="I2325" s="23">
        <v>20577394</v>
      </c>
      <c r="J2325" s="140">
        <v>45623</v>
      </c>
      <c r="K2325" s="23" t="s">
        <v>12832</v>
      </c>
      <c r="L2325" s="140">
        <v>45635</v>
      </c>
      <c r="O2325" s="23" t="s">
        <v>12852</v>
      </c>
      <c r="P2325" s="23" t="s">
        <v>12853</v>
      </c>
      <c r="Q2325" s="140">
        <v>45647</v>
      </c>
      <c r="T2325" s="23" t="s">
        <v>305</v>
      </c>
      <c r="U2325" s="23" t="s">
        <v>305</v>
      </c>
      <c r="V2325" s="23" t="s">
        <v>299</v>
      </c>
      <c r="W2325" s="23" t="s">
        <v>12524</v>
      </c>
      <c r="Y2325" s="23">
        <v>15816</v>
      </c>
      <c r="Z2325" s="23">
        <v>108000</v>
      </c>
      <c r="AB2325" s="19" t="s">
        <v>12868</v>
      </c>
      <c r="AC2325" s="23">
        <v>12</v>
      </c>
      <c r="AD2325" s="23">
        <v>0</v>
      </c>
      <c r="AE2325" s="23">
        <v>4</v>
      </c>
      <c r="AF2325" s="23" t="s">
        <v>9622</v>
      </c>
      <c r="AG2325" s="23" t="s">
        <v>659</v>
      </c>
      <c r="AH2325" s="39">
        <v>45640</v>
      </c>
      <c r="AI2325" s="53" t="s">
        <v>5851</v>
      </c>
    </row>
    <row r="2326" spans="1:37" ht="48">
      <c r="A2326" s="75" t="s">
        <v>12833</v>
      </c>
      <c r="B2326" s="23" t="s">
        <v>12834</v>
      </c>
      <c r="C2326" s="140">
        <v>45639</v>
      </c>
      <c r="D2326" s="23" t="s">
        <v>729</v>
      </c>
      <c r="E2326" s="23" t="s">
        <v>752</v>
      </c>
      <c r="F2326" s="23" t="s">
        <v>2200</v>
      </c>
      <c r="G2326" s="23" t="s">
        <v>301</v>
      </c>
      <c r="H2326" s="23">
        <v>20580387</v>
      </c>
      <c r="I2326" s="23">
        <v>20580387</v>
      </c>
      <c r="J2326" s="140">
        <v>45637</v>
      </c>
      <c r="K2326" s="23" t="s">
        <v>12839</v>
      </c>
      <c r="L2326" s="140">
        <v>45642</v>
      </c>
      <c r="O2326" s="23" t="s">
        <v>12865</v>
      </c>
      <c r="P2326" s="23" t="s">
        <v>12866</v>
      </c>
      <c r="Q2326" s="140">
        <v>45653</v>
      </c>
      <c r="S2326" s="23" t="s">
        <v>300</v>
      </c>
      <c r="T2326" s="23" t="s">
        <v>305</v>
      </c>
      <c r="U2326" s="23" t="s">
        <v>305</v>
      </c>
      <c r="V2326" s="23" t="s">
        <v>299</v>
      </c>
      <c r="W2326" s="23" t="s">
        <v>12443</v>
      </c>
      <c r="Y2326" s="23">
        <v>11862</v>
      </c>
      <c r="Z2326" s="23">
        <v>105300</v>
      </c>
      <c r="AB2326" s="19" t="s">
        <v>12835</v>
      </c>
      <c r="AC2326" s="23">
        <v>9</v>
      </c>
      <c r="AD2326" s="23">
        <v>0</v>
      </c>
      <c r="AE2326" s="23">
        <v>3</v>
      </c>
      <c r="AF2326" s="23" t="s">
        <v>9622</v>
      </c>
      <c r="AG2326" s="23" t="s">
        <v>659</v>
      </c>
      <c r="AH2326" s="39">
        <v>45642</v>
      </c>
      <c r="AI2326" s="53" t="s">
        <v>5851</v>
      </c>
    </row>
    <row r="2327" spans="1:37">
      <c r="A2327" s="75" t="s">
        <v>12840</v>
      </c>
      <c r="B2327" s="23" t="s">
        <v>12841</v>
      </c>
      <c r="C2327" s="140">
        <v>45643</v>
      </c>
      <c r="D2327" s="23" t="s">
        <v>729</v>
      </c>
      <c r="E2327" s="23" t="s">
        <v>3773</v>
      </c>
      <c r="F2327" s="23" t="s">
        <v>12847</v>
      </c>
      <c r="G2327" s="23" t="s">
        <v>12867</v>
      </c>
      <c r="H2327" s="23" t="s">
        <v>12842</v>
      </c>
      <c r="I2327" s="23" t="s">
        <v>12842</v>
      </c>
      <c r="J2327" s="140">
        <v>45629</v>
      </c>
      <c r="S2327" s="23" t="s">
        <v>184</v>
      </c>
      <c r="T2327" s="23" t="s">
        <v>12031</v>
      </c>
      <c r="U2327" s="23" t="s">
        <v>12031</v>
      </c>
      <c r="V2327" s="23" t="s">
        <v>233</v>
      </c>
      <c r="W2327" s="23" t="s">
        <v>12843</v>
      </c>
      <c r="X2327" s="23">
        <v>1230.96</v>
      </c>
      <c r="Y2327" s="23">
        <v>1337</v>
      </c>
      <c r="Z2327" s="23">
        <v>43725</v>
      </c>
      <c r="AB2327" s="23" t="s">
        <v>12870</v>
      </c>
      <c r="AC2327" s="23" t="s">
        <v>12869</v>
      </c>
      <c r="AD2327" s="23">
        <v>0</v>
      </c>
      <c r="AE2327" s="23">
        <v>0</v>
      </c>
      <c r="AF2327" s="23" t="s">
        <v>97</v>
      </c>
      <c r="AG2327" s="23" t="s">
        <v>12844</v>
      </c>
      <c r="AH2327" s="39">
        <v>45645</v>
      </c>
    </row>
    <row r="2328" spans="1:37" ht="96">
      <c r="A2328" s="75" t="s">
        <v>12845</v>
      </c>
      <c r="B2328" s="23" t="s">
        <v>12846</v>
      </c>
      <c r="C2328" s="140">
        <v>45643</v>
      </c>
      <c r="D2328" s="23" t="s">
        <v>729</v>
      </c>
      <c r="E2328" s="23" t="s">
        <v>752</v>
      </c>
      <c r="F2328" s="23" t="s">
        <v>12847</v>
      </c>
      <c r="G2328" s="23" t="s">
        <v>12867</v>
      </c>
      <c r="H2328" s="23" t="s">
        <v>12848</v>
      </c>
      <c r="I2328" s="23" t="s">
        <v>12848</v>
      </c>
      <c r="J2328" s="140">
        <v>45638</v>
      </c>
      <c r="Q2328" s="140">
        <v>45649</v>
      </c>
      <c r="S2328" s="23" t="s">
        <v>300</v>
      </c>
      <c r="T2328" s="23" t="s">
        <v>12031</v>
      </c>
      <c r="U2328" s="23" t="s">
        <v>12031</v>
      </c>
      <c r="V2328" s="23" t="s">
        <v>233</v>
      </c>
      <c r="W2328" s="19" t="s">
        <v>12851</v>
      </c>
      <c r="X2328" s="23">
        <v>6615</v>
      </c>
      <c r="Y2328" s="23">
        <v>11487</v>
      </c>
      <c r="Z2328" s="23">
        <v>457448</v>
      </c>
      <c r="AB2328" s="60" t="s">
        <v>12854</v>
      </c>
      <c r="AC2328" s="23" t="s">
        <v>12849</v>
      </c>
      <c r="AD2328" s="23">
        <v>1</v>
      </c>
      <c r="AE2328" s="23">
        <v>2</v>
      </c>
      <c r="AF2328" s="23" t="s">
        <v>9622</v>
      </c>
      <c r="AG2328" s="23" t="s">
        <v>12850</v>
      </c>
      <c r="AH2328" s="39">
        <v>45649</v>
      </c>
    </row>
    <row r="2329" spans="1:37">
      <c r="A2329" s="75" t="s">
        <v>12855</v>
      </c>
      <c r="B2329" s="23" t="s">
        <v>13241</v>
      </c>
      <c r="C2329" s="140">
        <v>45653</v>
      </c>
      <c r="D2329" s="23" t="s">
        <v>729</v>
      </c>
      <c r="E2329" s="23" t="s">
        <v>752</v>
      </c>
      <c r="F2329" s="23" t="s">
        <v>12533</v>
      </c>
      <c r="G2329" s="23" t="s">
        <v>57</v>
      </c>
      <c r="H2329" s="23" t="s">
        <v>13244</v>
      </c>
      <c r="I2329" s="23" t="s">
        <v>13244</v>
      </c>
      <c r="J2329" s="140">
        <v>45651</v>
      </c>
      <c r="P2329" s="23" t="s">
        <v>13245</v>
      </c>
      <c r="Q2329" s="140">
        <v>45656</v>
      </c>
      <c r="S2329" s="23" t="s">
        <v>184</v>
      </c>
      <c r="T2329" s="23" t="s">
        <v>12031</v>
      </c>
      <c r="U2329" s="23" t="s">
        <v>12031</v>
      </c>
      <c r="V2329" s="23" t="s">
        <v>233</v>
      </c>
      <c r="W2329" s="23" t="s">
        <v>13246</v>
      </c>
      <c r="X2329" s="23">
        <v>6581.84</v>
      </c>
      <c r="Y2329" s="23">
        <v>6633.32</v>
      </c>
      <c r="Z2329" s="37">
        <v>21576.85</v>
      </c>
      <c r="AB2329" s="59" t="s">
        <v>13247</v>
      </c>
      <c r="AC2329" s="23" t="s">
        <v>5227</v>
      </c>
      <c r="AD2329" s="23">
        <v>1</v>
      </c>
      <c r="AE2329" s="23">
        <v>0</v>
      </c>
      <c r="AF2329" s="23" t="s">
        <v>9622</v>
      </c>
      <c r="AG2329" s="23" t="s">
        <v>787</v>
      </c>
      <c r="AH2329" s="39">
        <v>45665</v>
      </c>
    </row>
    <row r="2330" spans="1:37" ht="32">
      <c r="A2330" s="75" t="s">
        <v>12856</v>
      </c>
      <c r="B2330" s="23" t="s">
        <v>12857</v>
      </c>
      <c r="C2330" s="140">
        <v>45645</v>
      </c>
      <c r="D2330" s="23" t="s">
        <v>729</v>
      </c>
      <c r="E2330" s="23" t="s">
        <v>752</v>
      </c>
      <c r="F2330" s="23" t="s">
        <v>2200</v>
      </c>
      <c r="G2330" s="23" t="s">
        <v>301</v>
      </c>
      <c r="H2330" s="23">
        <v>20581526</v>
      </c>
      <c r="I2330" s="23">
        <v>20581526</v>
      </c>
      <c r="J2330" s="140">
        <v>45643</v>
      </c>
      <c r="K2330" s="23" t="s">
        <v>12858</v>
      </c>
      <c r="L2330" s="140">
        <v>45649</v>
      </c>
      <c r="O2330" s="23" t="s">
        <v>13249</v>
      </c>
      <c r="P2330" s="23" t="s">
        <v>13248</v>
      </c>
      <c r="T2330" s="23" t="s">
        <v>305</v>
      </c>
      <c r="U2330" s="23" t="s">
        <v>305</v>
      </c>
      <c r="V2330" s="23" t="s">
        <v>299</v>
      </c>
      <c r="W2330" s="23" t="s">
        <v>12859</v>
      </c>
      <c r="Y2330" s="23">
        <v>9420</v>
      </c>
      <c r="Z2330" s="23">
        <v>96000</v>
      </c>
      <c r="AB2330" s="19" t="s">
        <v>12860</v>
      </c>
      <c r="AC2330" s="23">
        <v>6</v>
      </c>
      <c r="AD2330" s="23">
        <v>0</v>
      </c>
      <c r="AE2330" s="23">
        <v>2</v>
      </c>
      <c r="AF2330" s="23" t="s">
        <v>9622</v>
      </c>
      <c r="AG2330" s="23" t="s">
        <v>659</v>
      </c>
      <c r="AH2330" s="39">
        <v>45653</v>
      </c>
      <c r="AI2330" s="53" t="s">
        <v>5851</v>
      </c>
    </row>
    <row r="2331" spans="1:37" ht="128">
      <c r="A2331" s="75" t="s">
        <v>12861</v>
      </c>
      <c r="B2331" s="23" t="s">
        <v>12862</v>
      </c>
      <c r="C2331" s="140">
        <v>45645</v>
      </c>
      <c r="D2331" s="23" t="s">
        <v>729</v>
      </c>
      <c r="E2331" s="23" t="s">
        <v>752</v>
      </c>
      <c r="F2331" s="23" t="s">
        <v>2200</v>
      </c>
      <c r="G2331" s="23" t="s">
        <v>301</v>
      </c>
      <c r="H2331" s="23">
        <v>20581527</v>
      </c>
      <c r="I2331" s="23">
        <v>20581527</v>
      </c>
      <c r="J2331" s="140">
        <v>45643</v>
      </c>
      <c r="K2331" s="23" t="s">
        <v>12863</v>
      </c>
      <c r="L2331" s="140">
        <v>45649</v>
      </c>
      <c r="O2331" s="23" t="s">
        <v>13249</v>
      </c>
      <c r="P2331" s="23" t="s">
        <v>13248</v>
      </c>
      <c r="T2331" s="23" t="s">
        <v>305</v>
      </c>
      <c r="U2331" s="23" t="s">
        <v>305</v>
      </c>
      <c r="V2331" s="23" t="s">
        <v>299</v>
      </c>
      <c r="W2331" s="23" t="s">
        <v>12503</v>
      </c>
      <c r="Y2331" s="23">
        <v>36936</v>
      </c>
      <c r="Z2331" s="23">
        <v>324000</v>
      </c>
      <c r="AB2331" s="19" t="s">
        <v>12864</v>
      </c>
      <c r="AC2331" s="23">
        <v>24</v>
      </c>
      <c r="AD2331" s="23">
        <v>0</v>
      </c>
      <c r="AE2331" s="23">
        <v>8</v>
      </c>
      <c r="AF2331" s="23" t="s">
        <v>9622</v>
      </c>
      <c r="AG2331" s="23" t="s">
        <v>659</v>
      </c>
      <c r="AH2331" s="39">
        <v>45653</v>
      </c>
      <c r="AI2331" s="53" t="s">
        <v>5851</v>
      </c>
    </row>
    <row r="2332" spans="1:37" ht="240">
      <c r="A2332" s="134" t="s">
        <v>13250</v>
      </c>
      <c r="B2332" s="23" t="s">
        <v>13257</v>
      </c>
      <c r="C2332" s="140">
        <v>45662</v>
      </c>
      <c r="D2332" s="23" t="s">
        <v>729</v>
      </c>
      <c r="E2332" s="23" t="s">
        <v>752</v>
      </c>
      <c r="F2332" s="23" t="s">
        <v>2200</v>
      </c>
      <c r="G2332" s="23" t="s">
        <v>301</v>
      </c>
      <c r="H2332" s="23">
        <v>20584306</v>
      </c>
      <c r="I2332" s="23">
        <v>20584306</v>
      </c>
      <c r="J2332" s="140">
        <v>45657</v>
      </c>
      <c r="K2332" s="23" t="s">
        <v>13258</v>
      </c>
      <c r="L2332" s="140">
        <v>45662</v>
      </c>
      <c r="S2332" s="23" t="s">
        <v>300</v>
      </c>
      <c r="T2332" s="23" t="s">
        <v>12031</v>
      </c>
      <c r="U2332" s="23" t="s">
        <v>12031</v>
      </c>
      <c r="V2332" s="23" t="s">
        <v>299</v>
      </c>
      <c r="W2332" s="23" t="s">
        <v>12524</v>
      </c>
      <c r="Y2332" s="23">
        <v>59310</v>
      </c>
      <c r="Z2332" s="23">
        <v>405000</v>
      </c>
      <c r="AB2332" s="19" t="s">
        <v>13259</v>
      </c>
      <c r="AC2332" s="23">
        <v>45</v>
      </c>
      <c r="AD2332" s="23">
        <v>0</v>
      </c>
      <c r="AE2332" s="23">
        <v>15</v>
      </c>
      <c r="AF2332" s="23" t="s">
        <v>9622</v>
      </c>
      <c r="AG2332" s="23" t="s">
        <v>1553</v>
      </c>
      <c r="AH2332" s="39">
        <v>45668</v>
      </c>
      <c r="AI2332" s="53" t="s">
        <v>5851</v>
      </c>
    </row>
    <row r="2333" spans="1:37" ht="48">
      <c r="A2333" s="134" t="s">
        <v>13251</v>
      </c>
      <c r="B2333" s="23" t="s">
        <v>13260</v>
      </c>
      <c r="C2333" s="140">
        <v>45662</v>
      </c>
      <c r="D2333" s="23" t="s">
        <v>729</v>
      </c>
      <c r="E2333" s="23" t="s">
        <v>752</v>
      </c>
      <c r="F2333" s="23" t="s">
        <v>2200</v>
      </c>
      <c r="G2333" s="23" t="s">
        <v>301</v>
      </c>
      <c r="H2333" s="23">
        <v>20584307</v>
      </c>
      <c r="I2333" s="23">
        <v>20584307</v>
      </c>
      <c r="J2333" s="140">
        <v>45659</v>
      </c>
      <c r="K2333" s="23" t="s">
        <v>13261</v>
      </c>
      <c r="L2333" s="140">
        <v>45665</v>
      </c>
      <c r="S2333" s="23" t="s">
        <v>300</v>
      </c>
      <c r="T2333" s="23" t="s">
        <v>12031</v>
      </c>
      <c r="U2333" s="23" t="s">
        <v>12031</v>
      </c>
      <c r="V2333" s="23" t="s">
        <v>299</v>
      </c>
      <c r="W2333" s="23" t="s">
        <v>12511</v>
      </c>
      <c r="Y2333" s="23">
        <v>14850</v>
      </c>
      <c r="Z2333" s="23">
        <v>166500</v>
      </c>
      <c r="AB2333" s="19" t="s">
        <v>13373</v>
      </c>
      <c r="AC2333" s="23">
        <v>9</v>
      </c>
      <c r="AD2333" s="23">
        <v>0</v>
      </c>
      <c r="AE2333" s="23">
        <v>3</v>
      </c>
      <c r="AF2333" s="23" t="s">
        <v>9622</v>
      </c>
      <c r="AG2333" s="23" t="s">
        <v>1553</v>
      </c>
      <c r="AH2333" s="39">
        <v>45668</v>
      </c>
      <c r="AI2333" s="53" t="s">
        <v>5851</v>
      </c>
    </row>
    <row r="2334" spans="1:37">
      <c r="A2334" s="134" t="s">
        <v>13252</v>
      </c>
      <c r="B2334" s="23" t="s">
        <v>13262</v>
      </c>
      <c r="C2334" s="140">
        <v>45662</v>
      </c>
      <c r="D2334" s="23" t="s">
        <v>729</v>
      </c>
      <c r="E2334" s="23" t="s">
        <v>752</v>
      </c>
      <c r="F2334" s="23" t="s">
        <v>2200</v>
      </c>
      <c r="G2334" s="23" t="s">
        <v>301</v>
      </c>
      <c r="H2334" s="23">
        <v>20584308</v>
      </c>
      <c r="I2334" s="23">
        <v>20584308</v>
      </c>
      <c r="J2334" s="140">
        <v>45659</v>
      </c>
      <c r="K2334" s="23" t="s">
        <v>13263</v>
      </c>
      <c r="L2334" s="140">
        <v>45665</v>
      </c>
      <c r="S2334" s="23" t="s">
        <v>300</v>
      </c>
      <c r="T2334" s="23" t="s">
        <v>12031</v>
      </c>
      <c r="U2334" s="23" t="s">
        <v>12031</v>
      </c>
      <c r="V2334" s="23" t="s">
        <v>299</v>
      </c>
      <c r="W2334" s="23" t="s">
        <v>13264</v>
      </c>
      <c r="Y2334" s="23">
        <v>4060</v>
      </c>
      <c r="Z2334" s="23">
        <v>41000</v>
      </c>
      <c r="AB2334" s="59" t="s">
        <v>13265</v>
      </c>
      <c r="AC2334" s="23">
        <v>2</v>
      </c>
      <c r="AD2334" s="23">
        <v>0</v>
      </c>
      <c r="AE2334" s="23">
        <v>1</v>
      </c>
      <c r="AF2334" s="23" t="s">
        <v>9622</v>
      </c>
      <c r="AG2334" s="23" t="s">
        <v>1553</v>
      </c>
      <c r="AH2334" s="39">
        <v>45668</v>
      </c>
      <c r="AI2334" s="53" t="s">
        <v>5851</v>
      </c>
    </row>
    <row r="2335" spans="1:37" ht="48">
      <c r="A2335" s="134" t="s">
        <v>13253</v>
      </c>
      <c r="B2335" s="23" t="s">
        <v>13266</v>
      </c>
      <c r="C2335" s="140">
        <v>45662</v>
      </c>
      <c r="D2335" s="23" t="s">
        <v>729</v>
      </c>
      <c r="E2335" s="23" t="s">
        <v>752</v>
      </c>
      <c r="F2335" s="23" t="s">
        <v>2200</v>
      </c>
      <c r="G2335" s="23" t="s">
        <v>301</v>
      </c>
      <c r="H2335" s="23">
        <v>20584195</v>
      </c>
      <c r="I2335" s="23">
        <v>20584195</v>
      </c>
      <c r="J2335" s="140">
        <v>45659</v>
      </c>
      <c r="K2335" s="23" t="s">
        <v>13267</v>
      </c>
      <c r="L2335" s="140">
        <v>45665</v>
      </c>
      <c r="S2335" s="23" t="s">
        <v>300</v>
      </c>
      <c r="T2335" s="23" t="s">
        <v>12031</v>
      </c>
      <c r="U2335" s="23" t="s">
        <v>12031</v>
      </c>
      <c r="V2335" s="23" t="s">
        <v>299</v>
      </c>
      <c r="W2335" s="23" t="s">
        <v>12443</v>
      </c>
      <c r="Y2335" s="23">
        <v>11862</v>
      </c>
      <c r="Z2335" s="23">
        <v>105300</v>
      </c>
      <c r="AB2335" s="19" t="s">
        <v>13370</v>
      </c>
      <c r="AC2335" s="23">
        <v>9</v>
      </c>
      <c r="AD2335" s="23">
        <v>0</v>
      </c>
      <c r="AE2335" s="23">
        <v>3</v>
      </c>
      <c r="AF2335" s="23" t="s">
        <v>9622</v>
      </c>
      <c r="AG2335" s="23" t="s">
        <v>1553</v>
      </c>
      <c r="AH2335" s="39">
        <v>45668</v>
      </c>
      <c r="AI2335" s="53" t="s">
        <v>5851</v>
      </c>
    </row>
    <row r="2336" spans="1:37" ht="144">
      <c r="A2336" s="134" t="s">
        <v>13254</v>
      </c>
      <c r="B2336" s="23" t="s">
        <v>13268</v>
      </c>
      <c r="C2336" s="140">
        <v>45662</v>
      </c>
      <c r="D2336" s="23" t="s">
        <v>729</v>
      </c>
      <c r="E2336" s="23" t="s">
        <v>752</v>
      </c>
      <c r="F2336" s="23" t="s">
        <v>2200</v>
      </c>
      <c r="G2336" s="23" t="s">
        <v>301</v>
      </c>
      <c r="H2336" s="23">
        <v>20584309</v>
      </c>
      <c r="I2336" s="23">
        <v>20584309</v>
      </c>
      <c r="J2336" s="140">
        <v>45657</v>
      </c>
      <c r="K2336" s="23" t="s">
        <v>13269</v>
      </c>
      <c r="L2336" s="140">
        <v>45665</v>
      </c>
      <c r="S2336" s="23" t="s">
        <v>300</v>
      </c>
      <c r="T2336" s="23" t="s">
        <v>12031</v>
      </c>
      <c r="U2336" s="23" t="s">
        <v>12031</v>
      </c>
      <c r="V2336" s="23" t="s">
        <v>299</v>
      </c>
      <c r="W2336" s="23" t="s">
        <v>12744</v>
      </c>
      <c r="Y2336" s="23">
        <v>37224</v>
      </c>
      <c r="Z2336" s="23">
        <v>374400</v>
      </c>
      <c r="AB2336" s="19" t="s">
        <v>13372</v>
      </c>
      <c r="AC2336" s="23">
        <v>18</v>
      </c>
      <c r="AD2336" s="23">
        <v>0</v>
      </c>
      <c r="AE2336" s="23">
        <v>9</v>
      </c>
      <c r="AF2336" s="23" t="s">
        <v>9622</v>
      </c>
      <c r="AG2336" s="23" t="s">
        <v>1553</v>
      </c>
      <c r="AH2336" s="39">
        <v>45668</v>
      </c>
      <c r="AI2336" s="53" t="s">
        <v>5851</v>
      </c>
    </row>
    <row r="2337" spans="1:37" ht="144">
      <c r="A2337" s="134" t="s">
        <v>13255</v>
      </c>
      <c r="B2337" s="23" t="s">
        <v>13270</v>
      </c>
      <c r="C2337" s="140">
        <v>45662</v>
      </c>
      <c r="D2337" s="23" t="s">
        <v>729</v>
      </c>
      <c r="E2337" s="23" t="s">
        <v>752</v>
      </c>
      <c r="F2337" s="23" t="s">
        <v>2200</v>
      </c>
      <c r="G2337" s="23" t="s">
        <v>301</v>
      </c>
      <c r="H2337" s="23">
        <v>20584310</v>
      </c>
      <c r="I2337" s="23">
        <v>20584310</v>
      </c>
      <c r="J2337" s="140">
        <v>45657</v>
      </c>
      <c r="K2337" s="23" t="s">
        <v>13271</v>
      </c>
      <c r="L2337" s="140">
        <v>45665</v>
      </c>
      <c r="S2337" s="23" t="s">
        <v>300</v>
      </c>
      <c r="T2337" s="23" t="s">
        <v>12031</v>
      </c>
      <c r="U2337" s="23" t="s">
        <v>12031</v>
      </c>
      <c r="V2337" s="23" t="s">
        <v>299</v>
      </c>
      <c r="W2337" s="23" t="s">
        <v>12503</v>
      </c>
      <c r="Y2337" s="23">
        <v>41553</v>
      </c>
      <c r="Z2337" s="23">
        <v>364500</v>
      </c>
      <c r="AB2337" s="19" t="s">
        <v>13371</v>
      </c>
      <c r="AC2337" s="23">
        <v>27</v>
      </c>
      <c r="AD2337" s="23">
        <v>0</v>
      </c>
      <c r="AE2337" s="23">
        <v>9</v>
      </c>
      <c r="AF2337" s="23" t="s">
        <v>9622</v>
      </c>
      <c r="AG2337" s="23" t="s">
        <v>1553</v>
      </c>
      <c r="AH2337" s="39">
        <v>45668</v>
      </c>
      <c r="AI2337" s="53" t="s">
        <v>5851</v>
      </c>
    </row>
    <row r="2338" spans="1:37" ht="192">
      <c r="A2338" s="134" t="s">
        <v>13256</v>
      </c>
      <c r="B2338" s="23" t="s">
        <v>13272</v>
      </c>
      <c r="C2338" s="140">
        <v>45657</v>
      </c>
      <c r="D2338" s="23" t="s">
        <v>729</v>
      </c>
      <c r="E2338" s="23" t="s">
        <v>752</v>
      </c>
      <c r="F2338" s="23" t="s">
        <v>2200</v>
      </c>
      <c r="G2338" s="23" t="s">
        <v>301</v>
      </c>
      <c r="H2338" s="23">
        <v>20582911</v>
      </c>
      <c r="I2338" s="23">
        <v>20582911</v>
      </c>
      <c r="J2338" s="140">
        <v>45656</v>
      </c>
      <c r="K2338" s="23" t="s">
        <v>13273</v>
      </c>
      <c r="L2338" s="140">
        <v>45663</v>
      </c>
      <c r="O2338" s="23" t="s">
        <v>13304</v>
      </c>
      <c r="P2338" s="23" t="s">
        <v>13293</v>
      </c>
      <c r="S2338" s="23" t="s">
        <v>300</v>
      </c>
      <c r="T2338" s="23" t="s">
        <v>305</v>
      </c>
      <c r="U2338" s="23" t="s">
        <v>305</v>
      </c>
      <c r="V2338" s="23" t="s">
        <v>299</v>
      </c>
      <c r="W2338" s="23" t="s">
        <v>12524</v>
      </c>
      <c r="Y2338" s="23">
        <v>47448</v>
      </c>
      <c r="Z2338" s="23">
        <v>324000</v>
      </c>
      <c r="AB2338" s="19" t="s">
        <v>13274</v>
      </c>
      <c r="AC2338" s="23">
        <v>36</v>
      </c>
      <c r="AD2338" s="23">
        <v>0</v>
      </c>
      <c r="AE2338" s="23">
        <v>12</v>
      </c>
      <c r="AF2338" s="23" t="s">
        <v>9622</v>
      </c>
      <c r="AG2338" s="23" t="s">
        <v>1553</v>
      </c>
      <c r="AH2338" s="39">
        <v>45668</v>
      </c>
      <c r="AI2338" s="53" t="s">
        <v>5851</v>
      </c>
    </row>
    <row r="2339" spans="1:37" ht="112">
      <c r="A2339" s="75" t="s">
        <v>13275</v>
      </c>
      <c r="B2339" s="23" t="s">
        <v>13276</v>
      </c>
      <c r="C2339" s="140">
        <v>45656</v>
      </c>
      <c r="D2339" s="23" t="s">
        <v>729</v>
      </c>
      <c r="E2339" s="23" t="s">
        <v>3773</v>
      </c>
      <c r="F2339" s="23" t="s">
        <v>12847</v>
      </c>
      <c r="G2339" s="23" t="s">
        <v>12867</v>
      </c>
      <c r="H2339" s="23" t="s">
        <v>13277</v>
      </c>
      <c r="I2339" s="23" t="s">
        <v>13277</v>
      </c>
      <c r="J2339" s="140">
        <v>45643</v>
      </c>
      <c r="P2339" s="23" t="s">
        <v>13278</v>
      </c>
      <c r="Q2339" s="140">
        <v>45666</v>
      </c>
      <c r="S2339" s="23" t="s">
        <v>184</v>
      </c>
      <c r="T2339" s="23" t="s">
        <v>12031</v>
      </c>
      <c r="U2339" s="23" t="s">
        <v>12031</v>
      </c>
      <c r="V2339" s="23" t="s">
        <v>233</v>
      </c>
      <c r="W2339" s="19" t="s">
        <v>13301</v>
      </c>
      <c r="X2339" s="23">
        <v>53562</v>
      </c>
      <c r="Y2339" s="23">
        <v>59762</v>
      </c>
      <c r="Z2339" s="23">
        <v>217460</v>
      </c>
      <c r="AB2339" s="60" t="s">
        <v>13279</v>
      </c>
      <c r="AC2339" s="23" t="s">
        <v>13280</v>
      </c>
      <c r="AD2339" s="23">
        <v>1</v>
      </c>
      <c r="AE2339" s="23">
        <v>2</v>
      </c>
      <c r="AF2339" s="23" t="s">
        <v>9622</v>
      </c>
      <c r="AG2339" s="23" t="s">
        <v>13281</v>
      </c>
      <c r="AH2339" s="39">
        <v>45668</v>
      </c>
    </row>
    <row r="2340" spans="1:37">
      <c r="A2340" s="75" t="s">
        <v>13289</v>
      </c>
      <c r="B2340" s="23">
        <v>247394759</v>
      </c>
      <c r="C2340" s="140">
        <v>45640</v>
      </c>
      <c r="D2340" s="23" t="s">
        <v>729</v>
      </c>
      <c r="E2340" s="23" t="s">
        <v>752</v>
      </c>
      <c r="F2340" s="23" t="s">
        <v>2200</v>
      </c>
      <c r="G2340" s="23" t="s">
        <v>301</v>
      </c>
      <c r="H2340" s="23">
        <v>55022613</v>
      </c>
      <c r="I2340" s="23">
        <v>55022613</v>
      </c>
      <c r="J2340" s="140">
        <v>45622</v>
      </c>
      <c r="K2340" s="23" t="s">
        <v>13297</v>
      </c>
      <c r="L2340" s="140">
        <v>45643</v>
      </c>
      <c r="O2340" s="23" t="s">
        <v>13298</v>
      </c>
      <c r="P2340" s="23" t="s">
        <v>13248</v>
      </c>
      <c r="Q2340" s="140">
        <v>45662</v>
      </c>
      <c r="S2340" s="23" t="s">
        <v>12517</v>
      </c>
      <c r="T2340" s="23" t="s">
        <v>305</v>
      </c>
      <c r="U2340" s="23" t="s">
        <v>305</v>
      </c>
      <c r="V2340" s="23" t="s">
        <v>298</v>
      </c>
      <c r="W2340" s="23" t="s">
        <v>13299</v>
      </c>
      <c r="X2340" s="23">
        <v>5650</v>
      </c>
      <c r="Y2340" s="23">
        <v>7580</v>
      </c>
      <c r="Z2340" s="23">
        <v>66285</v>
      </c>
      <c r="AB2340" s="59" t="s">
        <v>13300</v>
      </c>
      <c r="AC2340" s="23" t="s">
        <v>8462</v>
      </c>
      <c r="AD2340" s="23">
        <v>0</v>
      </c>
      <c r="AE2340" s="23">
        <v>1</v>
      </c>
      <c r="AF2340" s="23" t="s">
        <v>9622</v>
      </c>
      <c r="AG2340" s="23" t="s">
        <v>3507</v>
      </c>
      <c r="AH2340" s="39">
        <v>45667</v>
      </c>
    </row>
    <row r="2341" spans="1:37">
      <c r="A2341" s="75" t="s">
        <v>13282</v>
      </c>
      <c r="B2341" s="23" t="s">
        <v>13283</v>
      </c>
      <c r="C2341" s="140">
        <v>45660</v>
      </c>
      <c r="D2341" s="23" t="s">
        <v>729</v>
      </c>
      <c r="E2341" s="23" t="s">
        <v>3773</v>
      </c>
      <c r="F2341" s="23" t="s">
        <v>12847</v>
      </c>
      <c r="G2341" s="23" t="s">
        <v>12867</v>
      </c>
      <c r="H2341" s="23" t="s">
        <v>13284</v>
      </c>
      <c r="I2341" s="23" t="s">
        <v>13284</v>
      </c>
      <c r="J2341" s="140">
        <v>45638</v>
      </c>
      <c r="P2341" s="23" t="s">
        <v>13285</v>
      </c>
      <c r="Q2341" s="140">
        <v>45670</v>
      </c>
      <c r="S2341" s="23" t="s">
        <v>300</v>
      </c>
      <c r="T2341" s="23" t="s">
        <v>12031</v>
      </c>
      <c r="U2341" s="23" t="s">
        <v>12031</v>
      </c>
      <c r="V2341" s="23" t="s">
        <v>233</v>
      </c>
      <c r="W2341" s="23" t="s">
        <v>13286</v>
      </c>
      <c r="X2341" s="23">
        <v>39900</v>
      </c>
      <c r="Y2341" s="23">
        <v>40100</v>
      </c>
      <c r="Z2341" s="23">
        <v>176130</v>
      </c>
      <c r="AB2341" s="23" t="s">
        <v>97</v>
      </c>
      <c r="AC2341" s="23" t="s">
        <v>13287</v>
      </c>
      <c r="AD2341" s="23">
        <v>0</v>
      </c>
      <c r="AE2341" s="23">
        <v>0</v>
      </c>
      <c r="AF2341" s="23" t="s">
        <v>97</v>
      </c>
      <c r="AG2341" s="23" t="s">
        <v>13288</v>
      </c>
      <c r="AH2341" s="39">
        <v>45668</v>
      </c>
    </row>
    <row r="2342" spans="1:37" ht="32">
      <c r="A2342" s="134" t="s">
        <v>13290</v>
      </c>
      <c r="B2342" s="23" t="s">
        <v>13291</v>
      </c>
      <c r="C2342" s="140">
        <v>45659</v>
      </c>
      <c r="D2342" s="23" t="s">
        <v>729</v>
      </c>
      <c r="E2342" s="23" t="s">
        <v>752</v>
      </c>
      <c r="F2342" s="23" t="s">
        <v>2200</v>
      </c>
      <c r="G2342" s="23" t="s">
        <v>301</v>
      </c>
      <c r="H2342" s="23" t="s">
        <v>13302</v>
      </c>
      <c r="I2342" s="23" t="s">
        <v>13302</v>
      </c>
      <c r="J2342" s="140">
        <v>45643</v>
      </c>
      <c r="K2342" s="23" t="s">
        <v>13303</v>
      </c>
      <c r="L2342" s="140">
        <v>45659</v>
      </c>
      <c r="O2342" s="23" t="s">
        <v>13292</v>
      </c>
      <c r="P2342" s="23" t="s">
        <v>13293</v>
      </c>
      <c r="Q2342" s="140">
        <v>45670</v>
      </c>
      <c r="S2342" s="23" t="s">
        <v>300</v>
      </c>
      <c r="T2342" s="23" t="s">
        <v>305</v>
      </c>
      <c r="U2342" s="23" t="s">
        <v>305</v>
      </c>
      <c r="V2342" s="23" t="s">
        <v>299</v>
      </c>
      <c r="W2342" s="23" t="s">
        <v>13294</v>
      </c>
      <c r="Y2342" s="23">
        <v>7120</v>
      </c>
      <c r="Z2342" s="196">
        <v>447000</v>
      </c>
      <c r="AB2342" s="19" t="s">
        <v>13295</v>
      </c>
      <c r="AC2342" s="23">
        <v>4</v>
      </c>
      <c r="AD2342" s="23">
        <v>0</v>
      </c>
      <c r="AE2342" s="23">
        <v>2</v>
      </c>
      <c r="AF2342" s="23" t="s">
        <v>9622</v>
      </c>
      <c r="AG2342" s="23" t="s">
        <v>13296</v>
      </c>
      <c r="AH2342" s="39">
        <v>45670</v>
      </c>
      <c r="AI2342" s="53" t="s">
        <v>5851</v>
      </c>
    </row>
    <row r="2343" spans="1:37" ht="112">
      <c r="A2343" s="75" t="s">
        <v>13305</v>
      </c>
      <c r="B2343" s="23" t="s">
        <v>13324</v>
      </c>
      <c r="C2343" s="140">
        <v>45668</v>
      </c>
      <c r="D2343" s="23" t="s">
        <v>729</v>
      </c>
      <c r="E2343" s="23" t="s">
        <v>752</v>
      </c>
      <c r="F2343" s="23" t="s">
        <v>12847</v>
      </c>
      <c r="G2343" s="23" t="s">
        <v>12867</v>
      </c>
      <c r="H2343" s="23" t="s">
        <v>13325</v>
      </c>
      <c r="I2343" s="23" t="s">
        <v>13325</v>
      </c>
      <c r="J2343" s="140">
        <v>45651</v>
      </c>
      <c r="P2343" s="23" t="s">
        <v>13326</v>
      </c>
      <c r="Q2343" s="140">
        <v>45674</v>
      </c>
      <c r="S2343" s="23" t="s">
        <v>300</v>
      </c>
      <c r="T2343" s="23" t="s">
        <v>12031</v>
      </c>
      <c r="U2343" s="23" t="s">
        <v>12031</v>
      </c>
      <c r="V2343" s="23" t="s">
        <v>233</v>
      </c>
      <c r="W2343" s="23" t="s">
        <v>13327</v>
      </c>
      <c r="X2343" s="23">
        <v>27202</v>
      </c>
      <c r="Y2343" s="23">
        <v>35360</v>
      </c>
      <c r="Z2343" s="23">
        <v>348126</v>
      </c>
      <c r="AB2343" s="19" t="s">
        <v>13395</v>
      </c>
      <c r="AC2343" s="23" t="s">
        <v>13328</v>
      </c>
      <c r="AD2343" s="23">
        <v>0</v>
      </c>
      <c r="AE2343" s="23">
        <v>7</v>
      </c>
      <c r="AF2343" s="23" t="s">
        <v>9622</v>
      </c>
      <c r="AG2343" s="23" t="s">
        <v>13288</v>
      </c>
      <c r="AH2343" s="39">
        <v>45672</v>
      </c>
    </row>
    <row r="2344" spans="1:37">
      <c r="A2344" s="75" t="s">
        <v>13306</v>
      </c>
      <c r="B2344" s="23" t="s">
        <v>13308</v>
      </c>
      <c r="C2344" s="140">
        <v>45666</v>
      </c>
      <c r="D2344" s="23" t="s">
        <v>729</v>
      </c>
      <c r="E2344" s="23" t="s">
        <v>752</v>
      </c>
      <c r="F2344" s="23" t="s">
        <v>12097</v>
      </c>
      <c r="G2344" s="23" t="s">
        <v>13333</v>
      </c>
      <c r="H2344" s="23" t="s">
        <v>13309</v>
      </c>
      <c r="I2344" s="23" t="s">
        <v>13309</v>
      </c>
      <c r="J2344" s="140">
        <v>45657</v>
      </c>
      <c r="S2344" s="23" t="s">
        <v>300</v>
      </c>
      <c r="T2344" s="23" t="s">
        <v>12031</v>
      </c>
      <c r="U2344" s="23" t="s">
        <v>12031</v>
      </c>
      <c r="V2344" s="23" t="s">
        <v>299</v>
      </c>
      <c r="W2344" s="23" t="s">
        <v>13310</v>
      </c>
      <c r="Y2344" s="23">
        <v>5120</v>
      </c>
      <c r="Z2344" s="23">
        <v>64000</v>
      </c>
      <c r="AB2344" s="59" t="s">
        <v>13311</v>
      </c>
      <c r="AC2344" s="23">
        <v>2</v>
      </c>
      <c r="AD2344" s="23">
        <v>0</v>
      </c>
      <c r="AE2344" s="23">
        <v>1</v>
      </c>
      <c r="AF2344" s="23" t="s">
        <v>9622</v>
      </c>
      <c r="AG2344" s="23" t="s">
        <v>11320</v>
      </c>
      <c r="AH2344" s="39">
        <v>45673</v>
      </c>
      <c r="AI2344" s="53" t="s">
        <v>13319</v>
      </c>
    </row>
    <row r="2345" spans="1:37">
      <c r="A2345" s="75" t="s">
        <v>13307</v>
      </c>
      <c r="B2345" s="23" t="s">
        <v>13312</v>
      </c>
      <c r="C2345" s="140">
        <v>45666</v>
      </c>
      <c r="D2345" s="23" t="s">
        <v>729</v>
      </c>
      <c r="E2345" s="23" t="s">
        <v>752</v>
      </c>
      <c r="F2345" s="23" t="s">
        <v>12097</v>
      </c>
      <c r="G2345" s="23" t="s">
        <v>13333</v>
      </c>
      <c r="H2345" s="23" t="s">
        <v>13313</v>
      </c>
      <c r="I2345" s="23" t="s">
        <v>13313</v>
      </c>
      <c r="J2345" s="140">
        <v>45657</v>
      </c>
      <c r="S2345" s="23" t="s">
        <v>300</v>
      </c>
      <c r="T2345" s="23" t="s">
        <v>12031</v>
      </c>
      <c r="U2345" s="23" t="s">
        <v>12031</v>
      </c>
      <c r="V2345" s="23" t="s">
        <v>299</v>
      </c>
      <c r="W2345" s="23" t="s">
        <v>13314</v>
      </c>
      <c r="Y2345" s="23">
        <v>4440</v>
      </c>
      <c r="Z2345" s="23">
        <v>26000</v>
      </c>
      <c r="AB2345" s="59" t="s">
        <v>13315</v>
      </c>
      <c r="AC2345" s="23">
        <v>2</v>
      </c>
      <c r="AD2345" s="23">
        <v>0</v>
      </c>
      <c r="AE2345" s="23">
        <v>1</v>
      </c>
      <c r="AF2345" s="23" t="s">
        <v>9622</v>
      </c>
      <c r="AG2345" s="23" t="s">
        <v>11320</v>
      </c>
      <c r="AH2345" s="39">
        <v>45673</v>
      </c>
      <c r="AI2345" s="53" t="s">
        <v>13319</v>
      </c>
    </row>
    <row r="2346" spans="1:37">
      <c r="A2346" s="75" t="s">
        <v>13329</v>
      </c>
      <c r="B2346" s="23">
        <v>248368948</v>
      </c>
      <c r="C2346" s="140">
        <v>45674</v>
      </c>
      <c r="D2346" s="23" t="s">
        <v>729</v>
      </c>
      <c r="E2346" s="23" t="s">
        <v>752</v>
      </c>
      <c r="F2346" s="23" t="s">
        <v>2200</v>
      </c>
      <c r="G2346" s="23" t="s">
        <v>301</v>
      </c>
      <c r="H2346" s="23">
        <v>55023108</v>
      </c>
      <c r="I2346" s="23">
        <v>55023108</v>
      </c>
      <c r="J2346" s="140">
        <v>45652</v>
      </c>
      <c r="K2346" s="23" t="s">
        <v>13330</v>
      </c>
      <c r="L2346" s="140">
        <v>45660</v>
      </c>
      <c r="O2346" s="23" t="s">
        <v>13369</v>
      </c>
      <c r="P2346" s="23" t="s">
        <v>13389</v>
      </c>
      <c r="Q2346" s="140">
        <v>45677</v>
      </c>
      <c r="S2346" s="23" t="s">
        <v>3140</v>
      </c>
      <c r="T2346" s="23" t="s">
        <v>305</v>
      </c>
      <c r="U2346" s="23" t="s">
        <v>305</v>
      </c>
      <c r="V2346" s="23" t="s">
        <v>298</v>
      </c>
      <c r="W2346" s="23" t="s">
        <v>13331</v>
      </c>
      <c r="Y2346" s="23">
        <v>8352</v>
      </c>
      <c r="Z2346" s="23">
        <v>63300</v>
      </c>
      <c r="AB2346" s="59" t="s">
        <v>13332</v>
      </c>
      <c r="AC2346" s="23" t="s">
        <v>13335</v>
      </c>
      <c r="AD2346" s="23">
        <v>0</v>
      </c>
      <c r="AE2346" s="23">
        <v>1</v>
      </c>
      <c r="AF2346" s="23" t="s">
        <v>9622</v>
      </c>
      <c r="AG2346" s="23" t="s">
        <v>11114</v>
      </c>
      <c r="AH2346" s="39">
        <v>45677</v>
      </c>
    </row>
    <row r="2347" spans="1:37" ht="48">
      <c r="A2347" s="75" t="s">
        <v>13342</v>
      </c>
      <c r="B2347" s="23">
        <v>248607623</v>
      </c>
      <c r="C2347" s="140">
        <v>45671</v>
      </c>
      <c r="D2347" s="23" t="s">
        <v>729</v>
      </c>
      <c r="E2347" s="23" t="s">
        <v>752</v>
      </c>
      <c r="F2347" s="23" t="s">
        <v>13348</v>
      </c>
      <c r="G2347" s="23" t="s">
        <v>13368</v>
      </c>
      <c r="H2347" s="23" t="s">
        <v>13343</v>
      </c>
      <c r="I2347" s="23" t="s">
        <v>13343</v>
      </c>
      <c r="J2347" s="140">
        <v>45663</v>
      </c>
      <c r="S2347" s="23" t="s">
        <v>300</v>
      </c>
      <c r="T2347" s="23" t="s">
        <v>12031</v>
      </c>
      <c r="U2347" s="23" t="s">
        <v>12031</v>
      </c>
      <c r="V2347" s="23" t="s">
        <v>299</v>
      </c>
      <c r="W2347" s="19" t="s">
        <v>13344</v>
      </c>
      <c r="Y2347" s="23">
        <v>15370</v>
      </c>
      <c r="Z2347" s="23">
        <v>138000</v>
      </c>
      <c r="AB2347" s="60" t="s">
        <v>13345</v>
      </c>
      <c r="AC2347" s="23">
        <v>6</v>
      </c>
      <c r="AD2347" s="23">
        <v>0</v>
      </c>
      <c r="AE2347" s="23">
        <v>3</v>
      </c>
      <c r="AF2347" s="23" t="s">
        <v>9622</v>
      </c>
      <c r="AG2347" s="23" t="s">
        <v>13346</v>
      </c>
      <c r="AH2347" s="39">
        <v>45679</v>
      </c>
      <c r="AI2347" s="53" t="s">
        <v>13319</v>
      </c>
    </row>
    <row r="2348" spans="1:37" ht="48">
      <c r="A2348" s="134" t="s">
        <v>13352</v>
      </c>
      <c r="B2348" s="23" t="s">
        <v>13353</v>
      </c>
      <c r="C2348" s="140">
        <v>45671</v>
      </c>
      <c r="D2348" s="23" t="s">
        <v>729</v>
      </c>
      <c r="E2348" s="23" t="s">
        <v>752</v>
      </c>
      <c r="F2348" s="23" t="s">
        <v>2200</v>
      </c>
      <c r="G2348" s="23" t="s">
        <v>301</v>
      </c>
      <c r="H2348" s="23" t="s">
        <v>13364</v>
      </c>
      <c r="I2348" s="23" t="s">
        <v>13364</v>
      </c>
      <c r="J2348" s="140">
        <v>45664</v>
      </c>
      <c r="K2348" s="27" t="s">
        <v>13365</v>
      </c>
      <c r="L2348" s="140">
        <v>45679</v>
      </c>
      <c r="O2348" s="23" t="s">
        <v>13378</v>
      </c>
      <c r="P2348" s="23" t="s">
        <v>13377</v>
      </c>
      <c r="Q2348" s="140">
        <v>45681</v>
      </c>
      <c r="S2348" s="23" t="s">
        <v>300</v>
      </c>
      <c r="T2348" s="23" t="s">
        <v>305</v>
      </c>
      <c r="U2348" s="23" t="s">
        <v>305</v>
      </c>
      <c r="V2348" s="23" t="s">
        <v>299</v>
      </c>
      <c r="W2348" s="23" t="s">
        <v>13354</v>
      </c>
      <c r="Y2348" s="23">
        <v>9930</v>
      </c>
      <c r="Z2348" s="23">
        <v>664164</v>
      </c>
      <c r="AB2348" s="19" t="s">
        <v>13394</v>
      </c>
      <c r="AC2348" s="23">
        <v>6</v>
      </c>
      <c r="AD2348" s="23">
        <v>0</v>
      </c>
      <c r="AE2348" s="23">
        <v>3</v>
      </c>
      <c r="AF2348" s="23" t="s">
        <v>9622</v>
      </c>
      <c r="AG2348" s="23" t="s">
        <v>12288</v>
      </c>
      <c r="AH2348" s="39">
        <v>45680</v>
      </c>
      <c r="AI2348" s="53" t="s">
        <v>5852</v>
      </c>
    </row>
    <row r="2349" spans="1:37">
      <c r="A2349" s="134" t="s">
        <v>13355</v>
      </c>
      <c r="B2349" s="23" t="s">
        <v>13356</v>
      </c>
      <c r="C2349" s="140">
        <v>45671</v>
      </c>
      <c r="D2349" s="23" t="s">
        <v>729</v>
      </c>
      <c r="E2349" s="23" t="s">
        <v>752</v>
      </c>
      <c r="F2349" s="23" t="s">
        <v>2200</v>
      </c>
      <c r="G2349" s="23" t="s">
        <v>301</v>
      </c>
      <c r="H2349" s="23" t="s">
        <v>13357</v>
      </c>
      <c r="I2349" s="23" t="s">
        <v>13357</v>
      </c>
      <c r="J2349" s="140">
        <v>45664</v>
      </c>
      <c r="K2349" s="27" t="s">
        <v>13366</v>
      </c>
      <c r="L2349" s="140">
        <v>45678</v>
      </c>
      <c r="O2349" s="23" t="s">
        <v>13378</v>
      </c>
      <c r="P2349" s="23" t="s">
        <v>13377</v>
      </c>
      <c r="Q2349" s="140">
        <v>45681</v>
      </c>
      <c r="S2349" s="23" t="s">
        <v>300</v>
      </c>
      <c r="T2349" s="23" t="s">
        <v>305</v>
      </c>
      <c r="U2349" s="23" t="s">
        <v>305</v>
      </c>
      <c r="V2349" s="23" t="s">
        <v>299</v>
      </c>
      <c r="W2349" s="23" t="s">
        <v>13354</v>
      </c>
      <c r="Y2349" s="23">
        <v>3310</v>
      </c>
      <c r="Z2349" s="23">
        <v>221388</v>
      </c>
      <c r="AB2349" s="59" t="s">
        <v>13358</v>
      </c>
      <c r="AC2349" s="23">
        <v>2</v>
      </c>
      <c r="AD2349" s="23">
        <v>0</v>
      </c>
      <c r="AE2349" s="23">
        <v>1</v>
      </c>
      <c r="AF2349" s="23" t="s">
        <v>9622</v>
      </c>
      <c r="AG2349" s="23" t="s">
        <v>12288</v>
      </c>
      <c r="AH2349" s="39">
        <v>45680</v>
      </c>
      <c r="AI2349" s="53" t="s">
        <v>5852</v>
      </c>
    </row>
    <row r="2350" spans="1:37">
      <c r="A2350" s="134" t="s">
        <v>13359</v>
      </c>
      <c r="B2350" s="23" t="s">
        <v>13360</v>
      </c>
      <c r="C2350" s="140">
        <v>45671</v>
      </c>
      <c r="D2350" s="23" t="s">
        <v>729</v>
      </c>
      <c r="E2350" s="23" t="s">
        <v>752</v>
      </c>
      <c r="F2350" s="23" t="s">
        <v>2200</v>
      </c>
      <c r="G2350" s="23" t="s">
        <v>301</v>
      </c>
      <c r="H2350" s="23" t="s">
        <v>13361</v>
      </c>
      <c r="I2350" s="23" t="s">
        <v>13361</v>
      </c>
      <c r="J2350" s="140">
        <v>45664</v>
      </c>
      <c r="K2350" s="27" t="s">
        <v>13367</v>
      </c>
      <c r="L2350" s="140">
        <v>45678</v>
      </c>
      <c r="O2350" s="23" t="s">
        <v>13378</v>
      </c>
      <c r="P2350" s="23" t="s">
        <v>13377</v>
      </c>
      <c r="Q2350" s="140">
        <v>45681</v>
      </c>
      <c r="S2350" s="23" t="s">
        <v>300</v>
      </c>
      <c r="T2350" s="23" t="s">
        <v>305</v>
      </c>
      <c r="U2350" s="23" t="s">
        <v>305</v>
      </c>
      <c r="V2350" s="23" t="s">
        <v>299</v>
      </c>
      <c r="W2350" s="23" t="s">
        <v>13362</v>
      </c>
      <c r="Y2350" s="23">
        <v>3780</v>
      </c>
      <c r="Z2350" s="23">
        <v>237600</v>
      </c>
      <c r="AB2350" s="59" t="s">
        <v>13363</v>
      </c>
      <c r="AC2350" s="23">
        <v>2</v>
      </c>
      <c r="AD2350" s="23">
        <v>0</v>
      </c>
      <c r="AE2350" s="23">
        <v>1</v>
      </c>
      <c r="AF2350" s="23" t="s">
        <v>9622</v>
      </c>
      <c r="AG2350" s="23" t="s">
        <v>12288</v>
      </c>
      <c r="AH2350" s="39">
        <v>45680</v>
      </c>
      <c r="AI2350" s="53" t="s">
        <v>5852</v>
      </c>
    </row>
    <row r="2351" spans="1:37" ht="288">
      <c r="A2351" s="75" t="s">
        <v>13374</v>
      </c>
      <c r="B2351" s="23" t="s">
        <v>13375</v>
      </c>
      <c r="C2351" s="140">
        <v>45681</v>
      </c>
      <c r="D2351" s="23" t="s">
        <v>729</v>
      </c>
      <c r="E2351" s="23" t="s">
        <v>752</v>
      </c>
      <c r="F2351" s="23" t="s">
        <v>12097</v>
      </c>
      <c r="G2351" s="23" t="s">
        <v>13333</v>
      </c>
      <c r="H2351" s="23" t="s">
        <v>13313</v>
      </c>
      <c r="I2351" s="23" t="s">
        <v>13313</v>
      </c>
      <c r="J2351" s="140">
        <v>45657</v>
      </c>
      <c r="T2351" s="23" t="s">
        <v>12031</v>
      </c>
      <c r="U2351" s="23" t="s">
        <v>12031</v>
      </c>
      <c r="V2351" s="23" t="s">
        <v>299</v>
      </c>
      <c r="W2351" s="23" t="s">
        <v>13376</v>
      </c>
      <c r="Y2351" s="23">
        <v>83220</v>
      </c>
      <c r="Z2351" s="23">
        <v>608000</v>
      </c>
      <c r="AB2351" s="19" t="s">
        <v>13424</v>
      </c>
      <c r="AC2351" s="23">
        <v>36</v>
      </c>
      <c r="AD2351" s="23">
        <v>0</v>
      </c>
      <c r="AE2351" s="23">
        <v>18</v>
      </c>
      <c r="AF2351" s="23" t="s">
        <v>9622</v>
      </c>
      <c r="AG2351" s="23" t="s">
        <v>13346</v>
      </c>
      <c r="AH2351" s="39">
        <v>45685</v>
      </c>
      <c r="AI2351" s="53" t="s">
        <v>13319</v>
      </c>
      <c r="AJ2351" s="75" t="s">
        <v>14426</v>
      </c>
      <c r="AK2351" s="53">
        <v>45688</v>
      </c>
    </row>
    <row r="2352" spans="1:37" ht="128">
      <c r="A2352" s="134" t="s">
        <v>13381</v>
      </c>
      <c r="B2352" s="23" t="s">
        <v>13382</v>
      </c>
      <c r="C2352" s="140">
        <v>45673</v>
      </c>
      <c r="D2352" s="23" t="s">
        <v>729</v>
      </c>
      <c r="E2352" s="23" t="s">
        <v>752</v>
      </c>
      <c r="F2352" s="23" t="s">
        <v>2200</v>
      </c>
      <c r="G2352" s="23" t="s">
        <v>301</v>
      </c>
      <c r="H2352" s="23">
        <v>20586119</v>
      </c>
      <c r="I2352" s="23">
        <v>20586119</v>
      </c>
      <c r="J2352" s="140">
        <v>45672</v>
      </c>
      <c r="K2352" s="23" t="s">
        <v>13383</v>
      </c>
      <c r="L2352" s="140">
        <v>45677</v>
      </c>
      <c r="O2352" s="23" t="s">
        <v>13410</v>
      </c>
      <c r="P2352" s="23" t="s">
        <v>13411</v>
      </c>
      <c r="Q2352" s="140">
        <v>45691</v>
      </c>
      <c r="T2352" s="23" t="s">
        <v>305</v>
      </c>
      <c r="U2352" s="23" t="s">
        <v>305</v>
      </c>
      <c r="V2352" s="23" t="s">
        <v>299</v>
      </c>
      <c r="W2352" s="23" t="s">
        <v>12524</v>
      </c>
      <c r="Y2352" s="23">
        <v>31632</v>
      </c>
      <c r="Z2352" s="23">
        <v>216000</v>
      </c>
      <c r="AB2352" s="19" t="s">
        <v>13447</v>
      </c>
      <c r="AC2352" s="23">
        <v>24</v>
      </c>
      <c r="AD2352" s="23">
        <v>0</v>
      </c>
      <c r="AE2352" s="23">
        <v>8</v>
      </c>
      <c r="AF2352" s="23" t="s">
        <v>9622</v>
      </c>
      <c r="AG2352" s="23" t="s">
        <v>659</v>
      </c>
      <c r="AH2352" s="39">
        <v>45685</v>
      </c>
      <c r="AI2352" s="53" t="s">
        <v>5851</v>
      </c>
    </row>
    <row r="2353" spans="1:37" ht="192">
      <c r="A2353" s="134" t="s">
        <v>13384</v>
      </c>
      <c r="B2353" s="23" t="s">
        <v>13385</v>
      </c>
      <c r="C2353" s="140">
        <v>45673</v>
      </c>
      <c r="D2353" s="23" t="s">
        <v>729</v>
      </c>
      <c r="E2353" s="23" t="s">
        <v>752</v>
      </c>
      <c r="F2353" s="23" t="s">
        <v>2200</v>
      </c>
      <c r="G2353" s="23" t="s">
        <v>301</v>
      </c>
      <c r="H2353" s="23">
        <v>20586120</v>
      </c>
      <c r="I2353" s="23">
        <v>20586120</v>
      </c>
      <c r="J2353" s="140">
        <v>45672</v>
      </c>
      <c r="K2353" s="23" t="s">
        <v>13386</v>
      </c>
      <c r="L2353" s="140">
        <v>45678</v>
      </c>
      <c r="O2353" s="23" t="s">
        <v>13410</v>
      </c>
      <c r="P2353" s="23" t="s">
        <v>13411</v>
      </c>
      <c r="Q2353" s="140">
        <v>45691</v>
      </c>
      <c r="T2353" s="23" t="s">
        <v>305</v>
      </c>
      <c r="U2353" s="23" t="s">
        <v>305</v>
      </c>
      <c r="V2353" s="23" t="s">
        <v>299</v>
      </c>
      <c r="W2353" s="23" t="s">
        <v>12524</v>
      </c>
      <c r="Y2353" s="23">
        <v>47448</v>
      </c>
      <c r="Z2353" s="23">
        <v>324000</v>
      </c>
      <c r="AB2353" s="19" t="s">
        <v>13448</v>
      </c>
      <c r="AC2353" s="23">
        <v>36</v>
      </c>
      <c r="AD2353" s="23">
        <v>0</v>
      </c>
      <c r="AE2353" s="23">
        <v>12</v>
      </c>
      <c r="AF2353" s="23" t="s">
        <v>9622</v>
      </c>
      <c r="AG2353" s="23" t="s">
        <v>659</v>
      </c>
      <c r="AH2353" s="39">
        <v>45685</v>
      </c>
      <c r="AI2353" s="53" t="s">
        <v>5851</v>
      </c>
    </row>
    <row r="2354" spans="1:37">
      <c r="A2354" s="75" t="s">
        <v>13390</v>
      </c>
      <c r="B2354" s="23">
        <v>248276157</v>
      </c>
      <c r="C2354" s="140">
        <v>45682</v>
      </c>
      <c r="D2354" s="23" t="s">
        <v>729</v>
      </c>
      <c r="E2354" s="23" t="s">
        <v>752</v>
      </c>
      <c r="F2354" s="23" t="s">
        <v>11006</v>
      </c>
      <c r="G2354" s="23" t="s">
        <v>5538</v>
      </c>
      <c r="H2354" s="23" t="s">
        <v>13391</v>
      </c>
      <c r="I2354" s="23" t="s">
        <v>13391</v>
      </c>
      <c r="J2354" s="140">
        <v>45663</v>
      </c>
      <c r="T2354" s="23" t="s">
        <v>12031</v>
      </c>
      <c r="U2354" s="23" t="s">
        <v>12031</v>
      </c>
      <c r="V2354" s="23" t="s">
        <v>299</v>
      </c>
      <c r="W2354" s="23" t="s">
        <v>12355</v>
      </c>
      <c r="Y2354" s="23">
        <v>4300</v>
      </c>
      <c r="Z2354" s="23">
        <v>35000</v>
      </c>
      <c r="AB2354" s="59" t="s">
        <v>13392</v>
      </c>
      <c r="AC2354" s="23">
        <v>2</v>
      </c>
      <c r="AD2354" s="23">
        <v>0</v>
      </c>
      <c r="AE2354" s="23">
        <v>1</v>
      </c>
      <c r="AF2354" s="23" t="s">
        <v>9622</v>
      </c>
      <c r="AG2354" s="23" t="s">
        <v>13393</v>
      </c>
      <c r="AH2354" s="39">
        <v>45691</v>
      </c>
      <c r="AI2354" s="53" t="s">
        <v>13396</v>
      </c>
    </row>
    <row r="2355" spans="1:37" ht="80">
      <c r="A2355" s="75" t="s">
        <v>13401</v>
      </c>
      <c r="B2355" s="23">
        <v>248279880</v>
      </c>
      <c r="C2355" s="140">
        <v>45684</v>
      </c>
      <c r="D2355" s="23" t="s">
        <v>729</v>
      </c>
      <c r="E2355" s="23" t="s">
        <v>752</v>
      </c>
      <c r="F2355" s="23" t="s">
        <v>11006</v>
      </c>
      <c r="G2355" s="23" t="s">
        <v>5538</v>
      </c>
      <c r="H2355" s="23" t="s">
        <v>13412</v>
      </c>
      <c r="I2355" s="23" t="s">
        <v>13412</v>
      </c>
      <c r="J2355" s="140">
        <v>45656</v>
      </c>
      <c r="T2355" s="23" t="s">
        <v>12031</v>
      </c>
      <c r="U2355" s="23" t="s">
        <v>12031</v>
      </c>
      <c r="V2355" s="23" t="s">
        <v>299</v>
      </c>
      <c r="W2355" s="23" t="s">
        <v>12355</v>
      </c>
      <c r="Y2355" s="23">
        <v>21500</v>
      </c>
      <c r="Z2355" s="23">
        <v>175000</v>
      </c>
      <c r="AB2355" s="19" t="s">
        <v>13423</v>
      </c>
      <c r="AC2355" s="23">
        <v>10</v>
      </c>
      <c r="AD2355" s="23">
        <v>0</v>
      </c>
      <c r="AE2355" s="23">
        <v>5</v>
      </c>
      <c r="AF2355" s="23" t="s">
        <v>9622</v>
      </c>
      <c r="AG2355" s="23" t="s">
        <v>13393</v>
      </c>
      <c r="AH2355" s="39">
        <v>45692</v>
      </c>
      <c r="AI2355" s="53" t="s">
        <v>13396</v>
      </c>
    </row>
    <row r="2356" spans="1:37">
      <c r="A2356" s="75" t="s">
        <v>13402</v>
      </c>
      <c r="B2356" s="23" t="s">
        <v>13403</v>
      </c>
      <c r="C2356" s="140">
        <v>45681</v>
      </c>
      <c r="D2356" s="23" t="s">
        <v>729</v>
      </c>
      <c r="E2356" s="23" t="s">
        <v>752</v>
      </c>
      <c r="F2356" s="23" t="s">
        <v>12847</v>
      </c>
      <c r="G2356" s="23" t="s">
        <v>12867</v>
      </c>
      <c r="H2356" s="23">
        <v>20250108</v>
      </c>
      <c r="I2356" s="23">
        <v>20250108</v>
      </c>
      <c r="J2356" s="140">
        <v>45665</v>
      </c>
      <c r="K2356" s="27" t="s">
        <v>13407</v>
      </c>
      <c r="L2356" s="140">
        <v>45683</v>
      </c>
      <c r="O2356" s="23" t="s">
        <v>13404</v>
      </c>
      <c r="Q2356" s="140">
        <v>45699</v>
      </c>
      <c r="S2356" s="23" t="s">
        <v>300</v>
      </c>
      <c r="T2356" s="23" t="s">
        <v>305</v>
      </c>
      <c r="U2356" s="23" t="s">
        <v>305</v>
      </c>
      <c r="V2356" s="23" t="s">
        <v>233</v>
      </c>
      <c r="W2356" s="23" t="s">
        <v>13405</v>
      </c>
      <c r="X2356" s="23">
        <v>2280</v>
      </c>
      <c r="Y2356" s="23">
        <v>2310</v>
      </c>
      <c r="Z2356" s="38">
        <v>14000</v>
      </c>
      <c r="AB2356" s="23" t="s">
        <v>13406</v>
      </c>
      <c r="AC2356" s="23" t="s">
        <v>131</v>
      </c>
      <c r="AD2356" s="23">
        <v>1</v>
      </c>
      <c r="AE2356" s="23">
        <v>0</v>
      </c>
      <c r="AF2356" s="23" t="s">
        <v>9622</v>
      </c>
      <c r="AG2356" s="23" t="s">
        <v>13408</v>
      </c>
    </row>
    <row r="2357" spans="1:37" ht="112">
      <c r="A2357" s="75" t="s">
        <v>13413</v>
      </c>
      <c r="B2357" s="23">
        <v>249032070</v>
      </c>
      <c r="C2357" s="140">
        <v>45696</v>
      </c>
      <c r="D2357" s="23" t="s">
        <v>729</v>
      </c>
      <c r="E2357" s="23" t="s">
        <v>752</v>
      </c>
      <c r="F2357" s="23" t="s">
        <v>12097</v>
      </c>
      <c r="G2357" s="23" t="s">
        <v>13333</v>
      </c>
      <c r="H2357" s="23" t="s">
        <v>13414</v>
      </c>
      <c r="I2357" s="23" t="s">
        <v>13414</v>
      </c>
      <c r="J2357" s="140">
        <v>45680</v>
      </c>
      <c r="S2357" s="23" t="s">
        <v>300</v>
      </c>
      <c r="T2357" s="23" t="s">
        <v>12031</v>
      </c>
      <c r="U2357" s="23" t="s">
        <v>12031</v>
      </c>
      <c r="V2357" s="23" t="s">
        <v>299</v>
      </c>
      <c r="W2357" s="19" t="s">
        <v>13415</v>
      </c>
      <c r="Y2357" s="23">
        <v>36060</v>
      </c>
      <c r="Z2357" s="23">
        <v>397000</v>
      </c>
      <c r="AB2357" s="19" t="s">
        <v>13449</v>
      </c>
      <c r="AC2357" s="23">
        <v>14</v>
      </c>
      <c r="AD2357" s="23">
        <v>0</v>
      </c>
      <c r="AE2357" s="23">
        <v>7</v>
      </c>
      <c r="AF2357" s="23" t="s">
        <v>9622</v>
      </c>
      <c r="AG2357" s="23" t="s">
        <v>13346</v>
      </c>
      <c r="AH2357" s="39">
        <v>45698</v>
      </c>
      <c r="AI2357" s="53" t="s">
        <v>13319</v>
      </c>
      <c r="AJ2357" s="75" t="s">
        <v>14427</v>
      </c>
      <c r="AK2357" s="53">
        <v>45699</v>
      </c>
    </row>
    <row r="2358" spans="1:37" ht="112">
      <c r="A2358" s="134" t="s">
        <v>13416</v>
      </c>
      <c r="B2358" s="23" t="s">
        <v>13418</v>
      </c>
      <c r="C2358" s="140">
        <v>45686</v>
      </c>
      <c r="D2358" s="23" t="s">
        <v>729</v>
      </c>
      <c r="E2358" s="23" t="s">
        <v>752</v>
      </c>
      <c r="F2358" s="23" t="s">
        <v>2200</v>
      </c>
      <c r="G2358" s="23" t="s">
        <v>301</v>
      </c>
      <c r="H2358" s="23" t="s">
        <v>13419</v>
      </c>
      <c r="I2358" s="23" t="s">
        <v>13419</v>
      </c>
      <c r="J2358" s="140">
        <v>45681</v>
      </c>
      <c r="K2358" s="23" t="s">
        <v>13420</v>
      </c>
      <c r="L2358" s="140">
        <v>45693</v>
      </c>
      <c r="O2358" s="23" t="s">
        <v>13481</v>
      </c>
      <c r="P2358" s="23" t="s">
        <v>13480</v>
      </c>
      <c r="Q2358" s="140">
        <v>45711</v>
      </c>
      <c r="S2358" s="23" t="s">
        <v>300</v>
      </c>
      <c r="T2358" s="23" t="s">
        <v>305</v>
      </c>
      <c r="U2358" s="23" t="s">
        <v>305</v>
      </c>
      <c r="V2358" s="23" t="s">
        <v>299</v>
      </c>
      <c r="W2358" s="23" t="s">
        <v>12511</v>
      </c>
      <c r="Y2358" s="23">
        <v>33690</v>
      </c>
      <c r="Z2358" s="23">
        <v>358500</v>
      </c>
      <c r="AB2358" s="19" t="s">
        <v>13514</v>
      </c>
      <c r="AC2358" s="23">
        <v>21</v>
      </c>
      <c r="AD2358" s="23">
        <v>0</v>
      </c>
      <c r="AE2358" s="23">
        <v>7</v>
      </c>
      <c r="AF2358" s="23" t="s">
        <v>9622</v>
      </c>
      <c r="AG2358" s="23" t="s">
        <v>659</v>
      </c>
      <c r="AH2358" s="39">
        <v>45695</v>
      </c>
      <c r="AI2358" s="53" t="s">
        <v>5851</v>
      </c>
    </row>
    <row r="2359" spans="1:37" ht="176">
      <c r="A2359" s="134" t="s">
        <v>13421</v>
      </c>
      <c r="B2359" s="23" t="s">
        <v>13417</v>
      </c>
      <c r="C2359" s="140">
        <v>45686</v>
      </c>
      <c r="D2359" s="23" t="s">
        <v>729</v>
      </c>
      <c r="E2359" s="23" t="s">
        <v>752</v>
      </c>
      <c r="F2359" s="23" t="s">
        <v>2200</v>
      </c>
      <c r="G2359" s="23" t="s">
        <v>301</v>
      </c>
      <c r="H2359" s="23">
        <v>20588708</v>
      </c>
      <c r="I2359" s="23">
        <v>20588708</v>
      </c>
      <c r="J2359" s="140">
        <v>45681</v>
      </c>
      <c r="K2359" s="23" t="s">
        <v>13422</v>
      </c>
      <c r="L2359" s="140">
        <v>45693</v>
      </c>
      <c r="O2359" s="23" t="s">
        <v>13481</v>
      </c>
      <c r="P2359" s="23" t="s">
        <v>13480</v>
      </c>
      <c r="Q2359" s="140">
        <v>45711</v>
      </c>
      <c r="S2359" s="23" t="s">
        <v>300</v>
      </c>
      <c r="T2359" s="23" t="s">
        <v>305</v>
      </c>
      <c r="U2359" s="23" t="s">
        <v>305</v>
      </c>
      <c r="V2359" s="23" t="s">
        <v>299</v>
      </c>
      <c r="W2359" s="23" t="s">
        <v>12503</v>
      </c>
      <c r="Y2359" s="23">
        <v>50787</v>
      </c>
      <c r="Z2359" s="23">
        <v>429000</v>
      </c>
      <c r="AB2359" s="19" t="s">
        <v>13513</v>
      </c>
      <c r="AC2359" s="23">
        <v>33</v>
      </c>
      <c r="AD2359" s="23">
        <v>0</v>
      </c>
      <c r="AE2359" s="23">
        <v>11</v>
      </c>
      <c r="AF2359" s="23" t="s">
        <v>9622</v>
      </c>
      <c r="AG2359" s="23" t="s">
        <v>659</v>
      </c>
      <c r="AH2359" s="39">
        <v>45695</v>
      </c>
      <c r="AI2359" s="53" t="s">
        <v>5851</v>
      </c>
    </row>
    <row r="2360" spans="1:37" ht="48">
      <c r="A2360" s="75" t="s">
        <v>13425</v>
      </c>
      <c r="B2360" s="23">
        <v>249099230</v>
      </c>
      <c r="C2360" s="140">
        <v>45696</v>
      </c>
      <c r="D2360" s="23" t="s">
        <v>729</v>
      </c>
      <c r="E2360" s="23" t="s">
        <v>752</v>
      </c>
      <c r="F2360" s="23" t="s">
        <v>13348</v>
      </c>
      <c r="G2360" s="23" t="s">
        <v>13368</v>
      </c>
      <c r="H2360" s="23" t="s">
        <v>13426</v>
      </c>
      <c r="I2360" s="23" t="s">
        <v>13426</v>
      </c>
      <c r="J2360" s="140">
        <v>45680</v>
      </c>
      <c r="S2360" s="23" t="s">
        <v>300</v>
      </c>
      <c r="T2360" s="23" t="s">
        <v>12031</v>
      </c>
      <c r="U2360" s="23" t="s">
        <v>12031</v>
      </c>
      <c r="V2360" s="23" t="s">
        <v>299</v>
      </c>
      <c r="W2360" s="23" t="s">
        <v>13427</v>
      </c>
      <c r="Y2360" s="23">
        <v>15850</v>
      </c>
      <c r="Z2360" s="23">
        <v>138000</v>
      </c>
      <c r="AB2360" s="19" t="s">
        <v>13428</v>
      </c>
      <c r="AC2360" s="23">
        <v>6</v>
      </c>
      <c r="AD2360" s="23">
        <v>0</v>
      </c>
      <c r="AE2360" s="23">
        <v>3</v>
      </c>
      <c r="AF2360" s="23" t="s">
        <v>9622</v>
      </c>
      <c r="AG2360" s="23" t="s">
        <v>11320</v>
      </c>
      <c r="AH2360" s="39">
        <v>45700</v>
      </c>
      <c r="AI2360" s="53" t="s">
        <v>13319</v>
      </c>
      <c r="AJ2360" s="75" t="s">
        <v>14555</v>
      </c>
      <c r="AK2360" s="53">
        <v>45702</v>
      </c>
    </row>
    <row r="2361" spans="1:37">
      <c r="A2361" s="75" t="s">
        <v>13429</v>
      </c>
      <c r="B2361" s="23" t="s">
        <v>13430</v>
      </c>
      <c r="C2361" s="140">
        <v>45677</v>
      </c>
      <c r="D2361" s="23" t="s">
        <v>729</v>
      </c>
      <c r="E2361" s="23" t="s">
        <v>752</v>
      </c>
      <c r="F2361" s="23" t="s">
        <v>11006</v>
      </c>
      <c r="G2361" s="23" t="s">
        <v>5538</v>
      </c>
      <c r="H2361" s="23" t="s">
        <v>13431</v>
      </c>
      <c r="I2361" s="23" t="s">
        <v>13431</v>
      </c>
      <c r="J2361" s="140">
        <v>45667</v>
      </c>
      <c r="S2361" s="23" t="s">
        <v>300</v>
      </c>
      <c r="T2361" s="23" t="s">
        <v>12031</v>
      </c>
      <c r="U2361" s="23" t="s">
        <v>12031</v>
      </c>
      <c r="V2361" s="23" t="s">
        <v>299</v>
      </c>
      <c r="W2361" s="23" t="s">
        <v>13432</v>
      </c>
      <c r="Y2361" s="23">
        <v>2852</v>
      </c>
      <c r="Z2361" s="23">
        <v>80000</v>
      </c>
      <c r="AB2361" s="23" t="s">
        <v>13433</v>
      </c>
      <c r="AC2361" s="23">
        <v>1</v>
      </c>
      <c r="AD2361" s="23">
        <v>0</v>
      </c>
      <c r="AE2361" s="23">
        <v>1</v>
      </c>
      <c r="AF2361" s="23" t="s">
        <v>9622</v>
      </c>
      <c r="AG2361" s="23" t="s">
        <v>13434</v>
      </c>
      <c r="AH2361" s="39">
        <v>45701</v>
      </c>
      <c r="AI2361" s="53" t="s">
        <v>11984</v>
      </c>
    </row>
    <row r="2362" spans="1:37">
      <c r="A2362" s="75" t="s">
        <v>13435</v>
      </c>
      <c r="B2362" s="23" t="s">
        <v>13439</v>
      </c>
      <c r="C2362" s="140">
        <v>45693</v>
      </c>
      <c r="D2362" s="23" t="s">
        <v>729</v>
      </c>
      <c r="E2362" s="23" t="s">
        <v>2861</v>
      </c>
      <c r="F2362" s="23" t="s">
        <v>11006</v>
      </c>
      <c r="G2362" s="23" t="s">
        <v>5538</v>
      </c>
      <c r="H2362" s="23" t="s">
        <v>13440</v>
      </c>
      <c r="I2362" s="23" t="s">
        <v>13440</v>
      </c>
      <c r="J2362" s="140">
        <v>45690</v>
      </c>
      <c r="T2362" s="23" t="s">
        <v>3684</v>
      </c>
      <c r="U2362" s="23" t="s">
        <v>3684</v>
      </c>
      <c r="V2362" s="23" t="s">
        <v>299</v>
      </c>
      <c r="W2362" s="23" t="s">
        <v>13441</v>
      </c>
      <c r="Y2362" s="23">
        <v>2560</v>
      </c>
      <c r="Z2362" s="23">
        <v>80000</v>
      </c>
      <c r="AB2362" s="23" t="s">
        <v>97</v>
      </c>
      <c r="AC2362" s="23">
        <v>1</v>
      </c>
      <c r="AF2362" s="23" t="s">
        <v>97</v>
      </c>
      <c r="AG2362" s="23" t="s">
        <v>13442</v>
      </c>
      <c r="AH2362" s="39">
        <v>45701</v>
      </c>
      <c r="AI2362" s="53" t="s">
        <v>13437</v>
      </c>
    </row>
    <row r="2363" spans="1:37" ht="208">
      <c r="A2363" s="134" t="s">
        <v>13443</v>
      </c>
      <c r="B2363" s="23" t="s">
        <v>13444</v>
      </c>
      <c r="C2363" s="140">
        <v>45702</v>
      </c>
      <c r="D2363" s="23" t="s">
        <v>729</v>
      </c>
      <c r="E2363" s="23" t="s">
        <v>752</v>
      </c>
      <c r="F2363" s="23" t="s">
        <v>2200</v>
      </c>
      <c r="G2363" s="23" t="s">
        <v>301</v>
      </c>
      <c r="H2363" s="23" t="s">
        <v>13445</v>
      </c>
      <c r="I2363" s="23" t="s">
        <v>13445</v>
      </c>
      <c r="J2363" s="140">
        <v>45700</v>
      </c>
      <c r="K2363" s="23" t="s">
        <v>13450</v>
      </c>
      <c r="L2363" s="140">
        <v>45705</v>
      </c>
      <c r="T2363" s="23" t="s">
        <v>12031</v>
      </c>
      <c r="U2363" s="23" t="s">
        <v>12031</v>
      </c>
      <c r="V2363" s="23" t="s">
        <v>299</v>
      </c>
      <c r="W2363" s="19" t="s">
        <v>13446</v>
      </c>
      <c r="Y2363" s="23">
        <v>54426</v>
      </c>
      <c r="Z2363" s="23">
        <v>435000</v>
      </c>
      <c r="AB2363" s="19" t="s">
        <v>13515</v>
      </c>
      <c r="AC2363" s="23">
        <v>39</v>
      </c>
      <c r="AD2363" s="23">
        <v>0</v>
      </c>
      <c r="AE2363" s="23">
        <v>13</v>
      </c>
      <c r="AF2363" s="23" t="s">
        <v>9622</v>
      </c>
      <c r="AG2363" s="23" t="s">
        <v>659</v>
      </c>
      <c r="AH2363" s="39">
        <v>45702</v>
      </c>
      <c r="AI2363" s="53" t="s">
        <v>5851</v>
      </c>
    </row>
    <row r="2364" spans="1:37" ht="48">
      <c r="A2364" s="75" t="s">
        <v>13451</v>
      </c>
      <c r="B2364" s="23" t="s">
        <v>13452</v>
      </c>
      <c r="C2364" s="140">
        <v>45703</v>
      </c>
      <c r="D2364" s="23" t="s">
        <v>729</v>
      </c>
      <c r="E2364" s="23" t="s">
        <v>2861</v>
      </c>
      <c r="F2364" s="23" t="s">
        <v>11006</v>
      </c>
      <c r="G2364" s="23" t="s">
        <v>5538</v>
      </c>
      <c r="H2364" s="23" t="s">
        <v>13453</v>
      </c>
      <c r="I2364" s="23" t="s">
        <v>13453</v>
      </c>
      <c r="J2364" s="140">
        <v>45700</v>
      </c>
      <c r="T2364" s="23" t="s">
        <v>3684</v>
      </c>
      <c r="U2364" s="23" t="s">
        <v>3684</v>
      </c>
      <c r="V2364" s="23" t="s">
        <v>299</v>
      </c>
      <c r="W2364" s="19" t="s">
        <v>13454</v>
      </c>
      <c r="Y2364" s="23">
        <v>5430</v>
      </c>
      <c r="Z2364" s="23">
        <v>170000</v>
      </c>
      <c r="AB2364" s="23" t="s">
        <v>97</v>
      </c>
      <c r="AC2364" s="23">
        <v>2</v>
      </c>
      <c r="AD2364" s="23">
        <v>0</v>
      </c>
      <c r="AE2364" s="23">
        <v>0</v>
      </c>
      <c r="AF2364" s="23" t="s">
        <v>97</v>
      </c>
      <c r="AG2364" s="23" t="s">
        <v>13442</v>
      </c>
      <c r="AH2364" s="39">
        <v>45707</v>
      </c>
      <c r="AI2364" s="53" t="s">
        <v>13437</v>
      </c>
    </row>
    <row r="2365" spans="1:37">
      <c r="A2365" s="75" t="s">
        <v>13455</v>
      </c>
      <c r="B2365" s="23" t="s">
        <v>13459</v>
      </c>
      <c r="C2365" s="140">
        <v>45688</v>
      </c>
      <c r="D2365" s="23" t="s">
        <v>729</v>
      </c>
      <c r="E2365" s="23" t="s">
        <v>752</v>
      </c>
      <c r="F2365" s="23" t="s">
        <v>2200</v>
      </c>
      <c r="G2365" s="23" t="s">
        <v>301</v>
      </c>
      <c r="H2365" s="23">
        <v>70420202</v>
      </c>
      <c r="I2365" s="23">
        <v>70420202</v>
      </c>
      <c r="J2365" s="140">
        <v>45688</v>
      </c>
      <c r="K2365" s="23" t="s">
        <v>13482</v>
      </c>
      <c r="L2365" s="140">
        <v>45716</v>
      </c>
      <c r="O2365" s="23" t="s">
        <v>13511</v>
      </c>
      <c r="P2365" s="23" t="s">
        <v>13512</v>
      </c>
      <c r="T2365" s="23" t="s">
        <v>305</v>
      </c>
      <c r="U2365" s="23" t="s">
        <v>305</v>
      </c>
      <c r="V2365" s="23" t="s">
        <v>298</v>
      </c>
      <c r="W2365" s="23" t="s">
        <v>11022</v>
      </c>
      <c r="Y2365" s="23">
        <v>8010</v>
      </c>
      <c r="Z2365" s="197">
        <v>90000</v>
      </c>
      <c r="AB2365" s="23" t="s">
        <v>13460</v>
      </c>
      <c r="AC2365" s="23" t="s">
        <v>13461</v>
      </c>
      <c r="AD2365" s="23">
        <v>0</v>
      </c>
      <c r="AE2365" s="23">
        <v>1</v>
      </c>
      <c r="AF2365" s="23" t="s">
        <v>9622</v>
      </c>
      <c r="AG2365" s="23" t="s">
        <v>11024</v>
      </c>
      <c r="AH2365" s="39">
        <v>45677</v>
      </c>
    </row>
    <row r="2366" spans="1:37">
      <c r="A2366" s="75" t="s">
        <v>13458</v>
      </c>
      <c r="B2366" s="23">
        <v>249448985</v>
      </c>
      <c r="C2366" s="140">
        <v>45694</v>
      </c>
      <c r="D2366" s="23" t="s">
        <v>729</v>
      </c>
      <c r="E2366" s="23" t="s">
        <v>752</v>
      </c>
      <c r="F2366" s="23" t="s">
        <v>2200</v>
      </c>
      <c r="G2366" s="23" t="s">
        <v>301</v>
      </c>
      <c r="H2366" s="23">
        <v>55023688</v>
      </c>
      <c r="I2366" s="23">
        <v>55023688</v>
      </c>
      <c r="J2366" s="140">
        <v>45685</v>
      </c>
      <c r="K2366" s="23" t="s">
        <v>13600</v>
      </c>
      <c r="L2366" s="140">
        <v>45741</v>
      </c>
      <c r="O2366" s="23" t="s">
        <v>13653</v>
      </c>
      <c r="P2366" s="23" t="s">
        <v>13652</v>
      </c>
      <c r="Q2366" s="140">
        <v>45712</v>
      </c>
      <c r="T2366" s="23" t="s">
        <v>305</v>
      </c>
      <c r="U2366" s="23" t="s">
        <v>305</v>
      </c>
      <c r="V2366" s="23" t="s">
        <v>298</v>
      </c>
      <c r="W2366" s="23" t="s">
        <v>11559</v>
      </c>
      <c r="Y2366" s="23">
        <v>7925</v>
      </c>
      <c r="Z2366" s="23">
        <v>66005</v>
      </c>
      <c r="AB2366" s="23" t="s">
        <v>13456</v>
      </c>
      <c r="AC2366" s="23" t="s">
        <v>13457</v>
      </c>
      <c r="AD2366" s="23">
        <v>0</v>
      </c>
      <c r="AE2366" s="23">
        <v>1</v>
      </c>
      <c r="AF2366" s="23" t="s">
        <v>9622</v>
      </c>
      <c r="AG2366" s="23" t="s">
        <v>5602</v>
      </c>
      <c r="AH2366" s="39">
        <v>45677</v>
      </c>
    </row>
    <row r="2367" spans="1:37">
      <c r="A2367" s="75" t="s">
        <v>13462</v>
      </c>
      <c r="B2367" s="23" t="s">
        <v>13463</v>
      </c>
      <c r="C2367" s="140">
        <v>45698</v>
      </c>
      <c r="D2367" s="23" t="s">
        <v>729</v>
      </c>
      <c r="E2367" s="23" t="s">
        <v>2861</v>
      </c>
      <c r="F2367" s="23" t="s">
        <v>13464</v>
      </c>
      <c r="G2367" s="23" t="s">
        <v>13465</v>
      </c>
      <c r="H2367" s="23" t="s">
        <v>13466</v>
      </c>
      <c r="I2367" s="23" t="s">
        <v>13466</v>
      </c>
      <c r="J2367" s="140">
        <v>45698</v>
      </c>
      <c r="S2367" s="23" t="s">
        <v>183</v>
      </c>
      <c r="T2367" s="23" t="s">
        <v>13467</v>
      </c>
      <c r="U2367" s="23" t="s">
        <v>13467</v>
      </c>
      <c r="V2367" s="23" t="s">
        <v>233</v>
      </c>
      <c r="W2367" s="23" t="s">
        <v>514</v>
      </c>
      <c r="X2367" s="38">
        <v>124680</v>
      </c>
      <c r="Y2367" s="38">
        <v>124680</v>
      </c>
      <c r="Z2367" s="37">
        <v>131795.9</v>
      </c>
      <c r="AB2367" s="23" t="s">
        <v>97</v>
      </c>
      <c r="AC2367" s="23" t="s">
        <v>13468</v>
      </c>
      <c r="AD2367" s="23">
        <v>0</v>
      </c>
      <c r="AE2367" s="23">
        <v>0</v>
      </c>
      <c r="AF2367" s="23" t="s">
        <v>97</v>
      </c>
      <c r="AG2367" s="23" t="s">
        <v>13469</v>
      </c>
      <c r="AH2367" s="39">
        <v>45712</v>
      </c>
    </row>
    <row r="2368" spans="1:37">
      <c r="A2368" s="75" t="s">
        <v>13475</v>
      </c>
      <c r="B2368" s="23" t="s">
        <v>13479</v>
      </c>
      <c r="C2368" s="140">
        <v>45720</v>
      </c>
      <c r="D2368" s="23" t="s">
        <v>729</v>
      </c>
      <c r="E2368" s="23" t="s">
        <v>2861</v>
      </c>
      <c r="F2368" s="23" t="s">
        <v>12847</v>
      </c>
      <c r="G2368" s="23" t="s">
        <v>12867</v>
      </c>
      <c r="H2368" s="23" t="s">
        <v>13483</v>
      </c>
      <c r="I2368" s="23" t="s">
        <v>13483</v>
      </c>
      <c r="J2368" s="140">
        <v>45708</v>
      </c>
      <c r="P2368" s="23" t="s">
        <v>13491</v>
      </c>
      <c r="S2368" s="23" t="s">
        <v>184</v>
      </c>
      <c r="T2368" s="23" t="s">
        <v>12326</v>
      </c>
      <c r="U2368" s="23" t="s">
        <v>12326</v>
      </c>
      <c r="V2368" s="23" t="s">
        <v>233</v>
      </c>
      <c r="W2368" s="23" t="s">
        <v>13476</v>
      </c>
      <c r="X2368" s="23">
        <v>1680</v>
      </c>
      <c r="Y2368" s="23">
        <v>1680</v>
      </c>
      <c r="Z2368" s="23">
        <v>11429</v>
      </c>
      <c r="AB2368" s="23" t="s">
        <v>97</v>
      </c>
      <c r="AC2368" s="23" t="s">
        <v>13477</v>
      </c>
      <c r="AD2368" s="23">
        <v>0</v>
      </c>
      <c r="AE2368" s="23">
        <v>0</v>
      </c>
      <c r="AF2368" s="23" t="s">
        <v>97</v>
      </c>
      <c r="AG2368" s="23" t="s">
        <v>13478</v>
      </c>
      <c r="AH2368" s="39">
        <v>45712</v>
      </c>
      <c r="AI2368" s="53" t="s">
        <v>13797</v>
      </c>
    </row>
    <row r="2369" spans="1:35">
      <c r="A2369" s="75" t="s">
        <v>13484</v>
      </c>
      <c r="B2369" s="23" t="s">
        <v>13485</v>
      </c>
      <c r="C2369" s="140">
        <v>45709</v>
      </c>
      <c r="D2369" s="23" t="s">
        <v>729</v>
      </c>
      <c r="E2369" s="23" t="s">
        <v>752</v>
      </c>
      <c r="F2369" s="23" t="s">
        <v>12533</v>
      </c>
      <c r="G2369" s="23" t="s">
        <v>57</v>
      </c>
      <c r="H2369" s="23" t="s">
        <v>13486</v>
      </c>
      <c r="I2369" s="23" t="s">
        <v>13486</v>
      </c>
      <c r="J2369" s="140">
        <v>45706</v>
      </c>
      <c r="K2369" s="23" t="s">
        <v>13487</v>
      </c>
      <c r="L2369" s="140">
        <v>45714</v>
      </c>
      <c r="O2369" s="23" t="s">
        <v>13488</v>
      </c>
      <c r="P2369" s="23" t="s">
        <v>13489</v>
      </c>
      <c r="Q2369" s="140">
        <v>45718</v>
      </c>
      <c r="S2369" s="23" t="s">
        <v>183</v>
      </c>
      <c r="T2369" s="23" t="s">
        <v>305</v>
      </c>
      <c r="U2369" s="23" t="s">
        <v>305</v>
      </c>
      <c r="V2369" s="23" t="s">
        <v>233</v>
      </c>
      <c r="W2369" s="23" t="s">
        <v>143</v>
      </c>
      <c r="X2369" s="23">
        <v>13748.2</v>
      </c>
      <c r="Y2369" s="23">
        <v>13855</v>
      </c>
      <c r="Z2369" s="23">
        <v>12679.9</v>
      </c>
      <c r="AB2369" s="23" t="s">
        <v>13490</v>
      </c>
      <c r="AC2369" s="23" t="s">
        <v>170</v>
      </c>
      <c r="AD2369" s="23">
        <v>0</v>
      </c>
      <c r="AE2369" s="23">
        <v>1</v>
      </c>
      <c r="AF2369" s="23" t="s">
        <v>9622</v>
      </c>
      <c r="AG2369" s="23" t="s">
        <v>792</v>
      </c>
      <c r="AH2369" s="39">
        <v>45719</v>
      </c>
    </row>
    <row r="2370" spans="1:35" ht="32">
      <c r="A2370" s="134" t="s">
        <v>13492</v>
      </c>
      <c r="B2370" s="23" t="s">
        <v>13493</v>
      </c>
      <c r="C2370" s="140">
        <v>45715</v>
      </c>
      <c r="D2370" s="23" t="s">
        <v>729</v>
      </c>
      <c r="E2370" s="23" t="s">
        <v>752</v>
      </c>
      <c r="F2370" s="23" t="s">
        <v>2200</v>
      </c>
      <c r="G2370" s="23" t="s">
        <v>301</v>
      </c>
      <c r="H2370" s="23">
        <v>20592493</v>
      </c>
      <c r="I2370" s="23">
        <v>20592493</v>
      </c>
      <c r="J2370" s="140">
        <v>45713</v>
      </c>
      <c r="K2370" s="23" t="s">
        <v>13507</v>
      </c>
      <c r="L2370" s="140">
        <v>45719</v>
      </c>
      <c r="T2370" s="23" t="s">
        <v>12031</v>
      </c>
      <c r="U2370" s="23" t="s">
        <v>12031</v>
      </c>
      <c r="V2370" s="23" t="s">
        <v>299</v>
      </c>
      <c r="W2370" s="23" t="s">
        <v>13494</v>
      </c>
      <c r="Y2370" s="23">
        <v>9900</v>
      </c>
      <c r="Z2370" s="23">
        <v>111000</v>
      </c>
      <c r="AB2370" s="19" t="s">
        <v>13527</v>
      </c>
      <c r="AC2370" s="23">
        <v>6</v>
      </c>
      <c r="AD2370" s="23">
        <v>0</v>
      </c>
      <c r="AE2370" s="23">
        <v>2</v>
      </c>
      <c r="AF2370" s="23" t="s">
        <v>9622</v>
      </c>
      <c r="AG2370" s="23" t="s">
        <v>659</v>
      </c>
      <c r="AH2370" s="39">
        <v>45719</v>
      </c>
      <c r="AI2370" s="53" t="s">
        <v>5851</v>
      </c>
    </row>
    <row r="2371" spans="1:35" ht="192">
      <c r="A2371" s="134" t="s">
        <v>13495</v>
      </c>
      <c r="B2371" s="23" t="s">
        <v>13496</v>
      </c>
      <c r="C2371" s="140">
        <v>45715</v>
      </c>
      <c r="D2371" s="23" t="s">
        <v>729</v>
      </c>
      <c r="E2371" s="23" t="s">
        <v>752</v>
      </c>
      <c r="F2371" s="23" t="s">
        <v>2200</v>
      </c>
      <c r="G2371" s="23" t="s">
        <v>301</v>
      </c>
      <c r="H2371" s="23">
        <v>20592494</v>
      </c>
      <c r="I2371" s="23">
        <v>20592494</v>
      </c>
      <c r="J2371" s="140">
        <v>45713</v>
      </c>
      <c r="K2371" s="23" t="s">
        <v>13506</v>
      </c>
      <c r="L2371" s="140">
        <v>45719</v>
      </c>
      <c r="T2371" s="23" t="s">
        <v>12031</v>
      </c>
      <c r="U2371" s="23" t="s">
        <v>12031</v>
      </c>
      <c r="V2371" s="23" t="s">
        <v>299</v>
      </c>
      <c r="W2371" s="23" t="s">
        <v>12524</v>
      </c>
      <c r="Y2371" s="23">
        <v>47448</v>
      </c>
      <c r="Z2371" s="23">
        <v>324000</v>
      </c>
      <c r="AB2371" s="19" t="s">
        <v>13497</v>
      </c>
      <c r="AC2371" s="23">
        <v>36</v>
      </c>
      <c r="AD2371" s="23">
        <v>0</v>
      </c>
      <c r="AE2371" s="23">
        <v>12</v>
      </c>
      <c r="AF2371" s="23" t="s">
        <v>9622</v>
      </c>
      <c r="AG2371" s="23" t="s">
        <v>659</v>
      </c>
      <c r="AH2371" s="39">
        <v>45719</v>
      </c>
      <c r="AI2371" s="53" t="s">
        <v>5851</v>
      </c>
    </row>
    <row r="2372" spans="1:35" ht="64">
      <c r="A2372" s="134" t="s">
        <v>13498</v>
      </c>
      <c r="B2372" s="23" t="s">
        <v>13499</v>
      </c>
      <c r="C2372" s="140">
        <v>45715</v>
      </c>
      <c r="D2372" s="23" t="s">
        <v>729</v>
      </c>
      <c r="E2372" s="23" t="s">
        <v>752</v>
      </c>
      <c r="F2372" s="23" t="s">
        <v>2200</v>
      </c>
      <c r="G2372" s="23" t="s">
        <v>301</v>
      </c>
      <c r="H2372" s="23">
        <v>20592492</v>
      </c>
      <c r="I2372" s="23">
        <v>20592492</v>
      </c>
      <c r="J2372" s="140">
        <v>45713</v>
      </c>
      <c r="K2372" s="23" t="s">
        <v>13508</v>
      </c>
      <c r="L2372" s="140">
        <v>45719</v>
      </c>
      <c r="T2372" s="23" t="s">
        <v>12031</v>
      </c>
      <c r="U2372" s="23" t="s">
        <v>12031</v>
      </c>
      <c r="V2372" s="23" t="s">
        <v>299</v>
      </c>
      <c r="W2372" s="23" t="s">
        <v>13500</v>
      </c>
      <c r="Y2372" s="23">
        <v>15816</v>
      </c>
      <c r="Z2372" s="23">
        <v>140400</v>
      </c>
      <c r="AB2372" s="19" t="s">
        <v>13526</v>
      </c>
      <c r="AC2372" s="23">
        <v>12</v>
      </c>
      <c r="AD2372" s="23">
        <v>0</v>
      </c>
      <c r="AE2372" s="23">
        <v>4</v>
      </c>
      <c r="AF2372" s="23" t="s">
        <v>9622</v>
      </c>
      <c r="AG2372" s="23" t="s">
        <v>659</v>
      </c>
      <c r="AH2372" s="39">
        <v>45719</v>
      </c>
      <c r="AI2372" s="53" t="s">
        <v>5851</v>
      </c>
    </row>
    <row r="2373" spans="1:35" ht="144">
      <c r="A2373" s="134" t="s">
        <v>13501</v>
      </c>
      <c r="B2373" s="23" t="s">
        <v>13502</v>
      </c>
      <c r="C2373" s="140">
        <v>45714</v>
      </c>
      <c r="D2373" s="23" t="s">
        <v>729</v>
      </c>
      <c r="E2373" s="23" t="s">
        <v>752</v>
      </c>
      <c r="F2373" s="23" t="s">
        <v>2200</v>
      </c>
      <c r="G2373" s="23" t="s">
        <v>301</v>
      </c>
      <c r="H2373" s="23">
        <v>20590079</v>
      </c>
      <c r="I2373" s="23">
        <v>20590079</v>
      </c>
      <c r="J2373" s="140">
        <v>45709</v>
      </c>
      <c r="K2373" s="23" t="s">
        <v>13509</v>
      </c>
      <c r="L2373" s="140">
        <v>45715</v>
      </c>
      <c r="O2373" s="23" t="s">
        <v>13540</v>
      </c>
      <c r="P2373" s="140" t="s">
        <v>13541</v>
      </c>
      <c r="Q2373" s="140">
        <v>45728</v>
      </c>
      <c r="T2373" s="23" t="s">
        <v>305</v>
      </c>
      <c r="U2373" s="23" t="s">
        <v>305</v>
      </c>
      <c r="V2373" s="23" t="s">
        <v>299</v>
      </c>
      <c r="W2373" s="23" t="s">
        <v>12524</v>
      </c>
      <c r="Y2373" s="23">
        <v>35586</v>
      </c>
      <c r="Z2373" s="23">
        <v>243000</v>
      </c>
      <c r="AB2373" s="19" t="s">
        <v>13575</v>
      </c>
      <c r="AC2373" s="23">
        <v>27</v>
      </c>
      <c r="AD2373" s="23">
        <v>0</v>
      </c>
      <c r="AE2373" s="23">
        <v>9</v>
      </c>
      <c r="AF2373" s="23" t="s">
        <v>9622</v>
      </c>
      <c r="AG2373" s="23" t="s">
        <v>659</v>
      </c>
      <c r="AH2373" s="39">
        <v>45719</v>
      </c>
      <c r="AI2373" s="53" t="s">
        <v>5851</v>
      </c>
    </row>
    <row r="2374" spans="1:35" ht="80">
      <c r="A2374" s="134" t="s">
        <v>13503</v>
      </c>
      <c r="B2374" s="23" t="s">
        <v>13504</v>
      </c>
      <c r="C2374" s="140">
        <v>45714</v>
      </c>
      <c r="D2374" s="23" t="s">
        <v>729</v>
      </c>
      <c r="E2374" s="23" t="s">
        <v>752</v>
      </c>
      <c r="F2374" s="23" t="s">
        <v>2200</v>
      </c>
      <c r="G2374" s="23" t="s">
        <v>301</v>
      </c>
      <c r="H2374" s="23">
        <v>20590073</v>
      </c>
      <c r="I2374" s="23">
        <v>20590073</v>
      </c>
      <c r="J2374" s="140">
        <v>45707</v>
      </c>
      <c r="K2374" s="23" t="s">
        <v>13510</v>
      </c>
      <c r="L2374" s="140">
        <v>45715</v>
      </c>
      <c r="O2374" s="23" t="s">
        <v>13540</v>
      </c>
      <c r="P2374" s="140" t="s">
        <v>13541</v>
      </c>
      <c r="Q2374" s="140">
        <v>45728</v>
      </c>
      <c r="T2374" s="23" t="s">
        <v>305</v>
      </c>
      <c r="U2374" s="23" t="s">
        <v>305</v>
      </c>
      <c r="V2374" s="23" t="s">
        <v>299</v>
      </c>
      <c r="W2374" s="23" t="s">
        <v>13505</v>
      </c>
      <c r="Y2374" s="23">
        <v>20300</v>
      </c>
      <c r="Z2374" s="23">
        <v>205000</v>
      </c>
      <c r="AB2374" s="19" t="s">
        <v>13572</v>
      </c>
      <c r="AC2374" s="23">
        <v>10</v>
      </c>
      <c r="AD2374" s="23">
        <v>0</v>
      </c>
      <c r="AE2374" s="23">
        <v>5</v>
      </c>
      <c r="AF2374" s="23" t="s">
        <v>9622</v>
      </c>
      <c r="AG2374" s="23" t="s">
        <v>659</v>
      </c>
      <c r="AH2374" s="39">
        <v>45719</v>
      </c>
      <c r="AI2374" s="53" t="s">
        <v>5851</v>
      </c>
    </row>
    <row r="2375" spans="1:35">
      <c r="A2375" s="75" t="s">
        <v>13516</v>
      </c>
      <c r="B2375" s="23" t="s">
        <v>13517</v>
      </c>
      <c r="C2375" s="140">
        <v>45721</v>
      </c>
      <c r="D2375" s="23" t="s">
        <v>729</v>
      </c>
      <c r="E2375" s="23" t="s">
        <v>2861</v>
      </c>
      <c r="F2375" s="23" t="s">
        <v>11006</v>
      </c>
      <c r="G2375" s="23" t="s">
        <v>5538</v>
      </c>
      <c r="H2375" s="23" t="s">
        <v>13518</v>
      </c>
      <c r="I2375" s="23" t="s">
        <v>13518</v>
      </c>
      <c r="J2375" s="140">
        <v>45718</v>
      </c>
      <c r="T2375" s="23" t="s">
        <v>3684</v>
      </c>
      <c r="U2375" s="23" t="s">
        <v>3684</v>
      </c>
      <c r="V2375" s="23" t="s">
        <v>299</v>
      </c>
      <c r="W2375" s="23" t="s">
        <v>13441</v>
      </c>
      <c r="Y2375" s="23">
        <v>2715</v>
      </c>
      <c r="Z2375" s="23">
        <v>80000</v>
      </c>
      <c r="AB2375" s="23" t="s">
        <v>97</v>
      </c>
      <c r="AC2375" s="23">
        <v>1</v>
      </c>
      <c r="AD2375" s="23">
        <v>0</v>
      </c>
      <c r="AE2375" s="23">
        <v>0</v>
      </c>
      <c r="AF2375" s="23" t="s">
        <v>97</v>
      </c>
      <c r="AG2375" s="23" t="s">
        <v>13519</v>
      </c>
      <c r="AH2375" s="39">
        <v>45723</v>
      </c>
      <c r="AI2375" s="53" t="s">
        <v>13437</v>
      </c>
    </row>
    <row r="2376" spans="1:35" ht="64">
      <c r="A2376" s="134" t="s">
        <v>13520</v>
      </c>
      <c r="B2376" s="23" t="s">
        <v>13521</v>
      </c>
      <c r="C2376" s="140">
        <v>45720</v>
      </c>
      <c r="D2376" s="23" t="s">
        <v>729</v>
      </c>
      <c r="E2376" s="23" t="s">
        <v>752</v>
      </c>
      <c r="F2376" s="23" t="s">
        <v>2200</v>
      </c>
      <c r="G2376" s="23" t="s">
        <v>301</v>
      </c>
      <c r="H2376" s="23">
        <v>20592476</v>
      </c>
      <c r="I2376" s="23">
        <v>20592476</v>
      </c>
      <c r="J2376" s="140">
        <v>45712</v>
      </c>
      <c r="K2376" s="23" t="s">
        <v>13522</v>
      </c>
      <c r="L2376" s="140">
        <v>45720</v>
      </c>
      <c r="O2376" s="23" t="s">
        <v>13542</v>
      </c>
      <c r="P2376" s="140" t="s">
        <v>13541</v>
      </c>
      <c r="Q2376" s="140">
        <v>45728</v>
      </c>
      <c r="T2376" s="23" t="s">
        <v>305</v>
      </c>
      <c r="U2376" s="23" t="s">
        <v>305</v>
      </c>
      <c r="V2376" s="23" t="s">
        <v>299</v>
      </c>
      <c r="W2376" s="23" t="s">
        <v>12859</v>
      </c>
      <c r="Y2376" s="23">
        <v>18840</v>
      </c>
      <c r="Z2376" s="23">
        <v>192000</v>
      </c>
      <c r="AB2376" s="19" t="s">
        <v>13571</v>
      </c>
      <c r="AC2376" s="23">
        <v>12</v>
      </c>
      <c r="AD2376" s="23">
        <v>0</v>
      </c>
      <c r="AE2376" s="23">
        <v>4</v>
      </c>
      <c r="AF2376" s="23" t="s">
        <v>9622</v>
      </c>
      <c r="AG2376" s="23" t="s">
        <v>659</v>
      </c>
      <c r="AH2376" s="39">
        <v>45719</v>
      </c>
      <c r="AI2376" s="53" t="s">
        <v>5851</v>
      </c>
    </row>
    <row r="2377" spans="1:35" ht="96">
      <c r="A2377" s="134" t="s">
        <v>13523</v>
      </c>
      <c r="B2377" s="23" t="s">
        <v>13524</v>
      </c>
      <c r="C2377" s="140">
        <v>45720</v>
      </c>
      <c r="D2377" s="23" t="s">
        <v>729</v>
      </c>
      <c r="E2377" s="23" t="s">
        <v>752</v>
      </c>
      <c r="F2377" s="23" t="s">
        <v>2200</v>
      </c>
      <c r="G2377" s="23" t="s">
        <v>301</v>
      </c>
      <c r="H2377" s="23">
        <v>20592427</v>
      </c>
      <c r="I2377" s="23">
        <v>20592427</v>
      </c>
      <c r="J2377" s="140">
        <v>45712</v>
      </c>
      <c r="K2377" s="23" t="s">
        <v>13525</v>
      </c>
      <c r="L2377" s="140">
        <v>45720</v>
      </c>
      <c r="O2377" s="23" t="s">
        <v>13542</v>
      </c>
      <c r="P2377" s="140" t="s">
        <v>13541</v>
      </c>
      <c r="Q2377" s="140">
        <v>45728</v>
      </c>
      <c r="T2377" s="23" t="s">
        <v>305</v>
      </c>
      <c r="U2377" s="23" t="s">
        <v>305</v>
      </c>
      <c r="V2377" s="23" t="s">
        <v>299</v>
      </c>
      <c r="W2377" s="23" t="s">
        <v>12524</v>
      </c>
      <c r="Y2377" s="23">
        <v>23724</v>
      </c>
      <c r="Z2377" s="23">
        <v>162000</v>
      </c>
      <c r="AB2377" s="19" t="s">
        <v>13573</v>
      </c>
      <c r="AC2377" s="23">
        <v>18</v>
      </c>
      <c r="AD2377" s="23">
        <v>0</v>
      </c>
      <c r="AE2377" s="23">
        <v>6</v>
      </c>
      <c r="AF2377" s="23" t="s">
        <v>9622</v>
      </c>
      <c r="AG2377" s="23" t="s">
        <v>659</v>
      </c>
      <c r="AH2377" s="39">
        <v>45719</v>
      </c>
      <c r="AI2377" s="53" t="s">
        <v>5851</v>
      </c>
    </row>
    <row r="2378" spans="1:35" ht="176">
      <c r="A2378" s="75" t="s">
        <v>13528</v>
      </c>
      <c r="B2378" s="23" t="s">
        <v>13529</v>
      </c>
      <c r="C2378" s="140">
        <v>45725</v>
      </c>
      <c r="D2378" s="23" t="s">
        <v>729</v>
      </c>
      <c r="E2378" s="23" t="s">
        <v>752</v>
      </c>
      <c r="F2378" s="23" t="s">
        <v>12097</v>
      </c>
      <c r="G2378" s="23" t="s">
        <v>13333</v>
      </c>
      <c r="H2378" s="23" t="s">
        <v>13530</v>
      </c>
      <c r="I2378" s="23" t="s">
        <v>13530</v>
      </c>
      <c r="J2378" s="140">
        <v>45716</v>
      </c>
      <c r="T2378" s="23" t="s">
        <v>12031</v>
      </c>
      <c r="U2378" s="23" t="s">
        <v>12031</v>
      </c>
      <c r="V2378" s="23" t="s">
        <v>299</v>
      </c>
      <c r="W2378" s="19" t="s">
        <v>13531</v>
      </c>
      <c r="Y2378" s="23">
        <v>48130</v>
      </c>
      <c r="Z2378" s="23">
        <v>348000</v>
      </c>
      <c r="AB2378" s="19" t="s">
        <v>13570</v>
      </c>
      <c r="AC2378" s="23">
        <v>21</v>
      </c>
      <c r="AD2378" s="23">
        <v>1</v>
      </c>
      <c r="AE2378" s="23">
        <v>10</v>
      </c>
      <c r="AF2378" s="23" t="s">
        <v>9622</v>
      </c>
      <c r="AG2378" s="23" t="s">
        <v>11320</v>
      </c>
      <c r="AH2378" s="39">
        <v>45728</v>
      </c>
      <c r="AI2378" s="53" t="s">
        <v>13319</v>
      </c>
    </row>
    <row r="2379" spans="1:35" ht="144">
      <c r="A2379" s="75" t="s">
        <v>13532</v>
      </c>
      <c r="B2379" s="23" t="s">
        <v>13533</v>
      </c>
      <c r="C2379" s="140">
        <v>45725</v>
      </c>
      <c r="D2379" s="23" t="s">
        <v>729</v>
      </c>
      <c r="E2379" s="23" t="s">
        <v>752</v>
      </c>
      <c r="F2379" s="23" t="s">
        <v>13348</v>
      </c>
      <c r="G2379" s="23" t="s">
        <v>13368</v>
      </c>
      <c r="H2379" s="23" t="s">
        <v>13534</v>
      </c>
      <c r="I2379" s="23" t="s">
        <v>13534</v>
      </c>
      <c r="J2379" s="140">
        <v>45663</v>
      </c>
      <c r="T2379" s="23" t="s">
        <v>12031</v>
      </c>
      <c r="U2379" s="23" t="s">
        <v>12031</v>
      </c>
      <c r="V2379" s="23" t="s">
        <v>299</v>
      </c>
      <c r="W2379" s="19" t="s">
        <v>13535</v>
      </c>
      <c r="Y2379" s="23">
        <v>44670</v>
      </c>
      <c r="Z2379" s="23">
        <v>468000</v>
      </c>
      <c r="AB2379" s="19" t="s">
        <v>13574</v>
      </c>
      <c r="AC2379" s="23">
        <v>18</v>
      </c>
      <c r="AD2379" s="23">
        <v>0</v>
      </c>
      <c r="AE2379" s="23">
        <v>9</v>
      </c>
      <c r="AF2379" s="23" t="s">
        <v>9622</v>
      </c>
      <c r="AG2379" s="23" t="s">
        <v>11320</v>
      </c>
      <c r="AH2379" s="39">
        <v>45728</v>
      </c>
      <c r="AI2379" s="53" t="s">
        <v>13319</v>
      </c>
    </row>
    <row r="2380" spans="1:35" ht="48">
      <c r="A2380" s="75" t="s">
        <v>13536</v>
      </c>
      <c r="B2380" s="23">
        <v>250557704</v>
      </c>
      <c r="C2380" s="140">
        <v>45728</v>
      </c>
      <c r="D2380" s="23" t="s">
        <v>729</v>
      </c>
      <c r="E2380" s="23" t="s">
        <v>752</v>
      </c>
      <c r="F2380" s="23" t="s">
        <v>11006</v>
      </c>
      <c r="G2380" s="23" t="s">
        <v>5538</v>
      </c>
      <c r="H2380" s="23" t="s">
        <v>13537</v>
      </c>
      <c r="I2380" s="23" t="s">
        <v>13537</v>
      </c>
      <c r="J2380" s="140">
        <v>45721</v>
      </c>
      <c r="T2380" s="23" t="s">
        <v>12031</v>
      </c>
      <c r="U2380" s="23" t="s">
        <v>12031</v>
      </c>
      <c r="V2380" s="23" t="s">
        <v>299</v>
      </c>
      <c r="W2380" s="19" t="s">
        <v>13538</v>
      </c>
      <c r="Y2380" s="23">
        <v>13185</v>
      </c>
      <c r="AB2380" s="19" t="s">
        <v>13576</v>
      </c>
      <c r="AC2380" s="23">
        <v>6</v>
      </c>
      <c r="AD2380" s="23">
        <v>0</v>
      </c>
      <c r="AE2380" s="23">
        <v>3</v>
      </c>
      <c r="AF2380" s="23" t="s">
        <v>9622</v>
      </c>
      <c r="AG2380" s="23" t="s">
        <v>13539</v>
      </c>
      <c r="AH2380" s="39">
        <v>45729</v>
      </c>
      <c r="AI2380" s="53" t="s">
        <v>13396</v>
      </c>
    </row>
    <row r="2381" spans="1:35">
      <c r="A2381" s="75" t="s">
        <v>13543</v>
      </c>
      <c r="B2381" s="23" t="s">
        <v>13546</v>
      </c>
      <c r="C2381" s="140">
        <v>45730</v>
      </c>
      <c r="D2381" s="23" t="s">
        <v>729</v>
      </c>
      <c r="E2381" s="23" t="s">
        <v>752</v>
      </c>
      <c r="F2381" s="23" t="s">
        <v>12533</v>
      </c>
      <c r="G2381" s="23" t="s">
        <v>57</v>
      </c>
      <c r="H2381" s="23" t="s">
        <v>13547</v>
      </c>
      <c r="I2381" s="23" t="s">
        <v>13547</v>
      </c>
      <c r="J2381" s="140">
        <v>45726</v>
      </c>
      <c r="P2381" s="23" t="s">
        <v>13583</v>
      </c>
      <c r="S2381" s="23" t="s">
        <v>184</v>
      </c>
      <c r="T2381" s="23" t="s">
        <v>12031</v>
      </c>
      <c r="U2381" s="23" t="s">
        <v>12031</v>
      </c>
      <c r="V2381" s="23" t="s">
        <v>233</v>
      </c>
      <c r="W2381" s="23" t="s">
        <v>13327</v>
      </c>
      <c r="X2381" s="23">
        <v>8097.05</v>
      </c>
      <c r="Y2381" s="23">
        <v>8286.25</v>
      </c>
      <c r="Z2381" s="23">
        <v>25021.48</v>
      </c>
      <c r="AB2381" s="23" t="s">
        <v>13548</v>
      </c>
      <c r="AC2381" s="23" t="s">
        <v>4143</v>
      </c>
      <c r="AD2381" s="23">
        <v>1</v>
      </c>
      <c r="AE2381" s="23">
        <v>0</v>
      </c>
      <c r="AF2381" s="23" t="s">
        <v>9622</v>
      </c>
      <c r="AG2381" s="23" t="s">
        <v>787</v>
      </c>
      <c r="AH2381" s="39">
        <v>45734</v>
      </c>
    </row>
    <row r="2382" spans="1:35">
      <c r="A2382" s="75" t="s">
        <v>13544</v>
      </c>
      <c r="B2382" s="23" t="s">
        <v>13545</v>
      </c>
      <c r="C2382" s="140">
        <v>45726</v>
      </c>
      <c r="D2382" s="23" t="s">
        <v>729</v>
      </c>
      <c r="E2382" s="23" t="s">
        <v>3773</v>
      </c>
      <c r="F2382" s="23" t="s">
        <v>12847</v>
      </c>
      <c r="G2382" s="23" t="s">
        <v>12867</v>
      </c>
      <c r="H2382" s="23" t="s">
        <v>13549</v>
      </c>
      <c r="I2382" s="23" t="s">
        <v>13549</v>
      </c>
      <c r="J2382" s="140">
        <v>45721</v>
      </c>
      <c r="Q2382" s="140">
        <v>45732</v>
      </c>
      <c r="S2382" s="23" t="s">
        <v>300</v>
      </c>
      <c r="T2382" s="23" t="s">
        <v>12031</v>
      </c>
      <c r="U2382" s="23" t="s">
        <v>12031</v>
      </c>
      <c r="V2382" s="23" t="s">
        <v>233</v>
      </c>
      <c r="W2382" s="23" t="s">
        <v>13550</v>
      </c>
      <c r="X2382" s="23">
        <v>1548</v>
      </c>
      <c r="Y2382" s="23">
        <v>1608</v>
      </c>
      <c r="Z2382" s="23">
        <v>22750</v>
      </c>
      <c r="AB2382" s="23" t="s">
        <v>97</v>
      </c>
      <c r="AC2382" s="23" t="s">
        <v>13551</v>
      </c>
      <c r="AD2382" s="23">
        <v>0</v>
      </c>
      <c r="AE2382" s="23">
        <v>0</v>
      </c>
      <c r="AF2382" s="23" t="s">
        <v>97</v>
      </c>
      <c r="AG2382" s="23" t="s">
        <v>12844</v>
      </c>
      <c r="AH2382" s="39">
        <v>45734</v>
      </c>
      <c r="AI2382" s="53" t="s">
        <v>13603</v>
      </c>
    </row>
    <row r="2383" spans="1:35" ht="160">
      <c r="A2383" s="134" t="s">
        <v>13554</v>
      </c>
      <c r="B2383" s="23" t="s">
        <v>13553</v>
      </c>
      <c r="C2383" s="140">
        <v>45732</v>
      </c>
      <c r="D2383" s="23" t="s">
        <v>729</v>
      </c>
      <c r="E2383" s="23" t="s">
        <v>752</v>
      </c>
      <c r="F2383" s="23" t="s">
        <v>2200</v>
      </c>
      <c r="G2383" s="23" t="s">
        <v>301</v>
      </c>
      <c r="H2383" s="23">
        <v>20594737</v>
      </c>
      <c r="I2383" s="23">
        <v>20594737</v>
      </c>
      <c r="J2383" s="140">
        <v>45730</v>
      </c>
      <c r="K2383" s="23" t="s">
        <v>13579</v>
      </c>
      <c r="L2383" s="140">
        <v>45735</v>
      </c>
      <c r="S2383" s="23" t="s">
        <v>300</v>
      </c>
      <c r="T2383" s="23" t="s">
        <v>12031</v>
      </c>
      <c r="U2383" s="23" t="s">
        <v>12031</v>
      </c>
      <c r="V2383" s="23" t="s">
        <v>299</v>
      </c>
      <c r="W2383" s="23" t="s">
        <v>12503</v>
      </c>
      <c r="Y2383" s="38">
        <v>46170</v>
      </c>
      <c r="Z2383" s="23">
        <v>390000</v>
      </c>
      <c r="AB2383" s="19" t="s">
        <v>13611</v>
      </c>
      <c r="AC2383" s="23">
        <v>30</v>
      </c>
      <c r="AD2383" s="23">
        <v>0</v>
      </c>
      <c r="AE2383" s="23">
        <v>10</v>
      </c>
      <c r="AF2383" s="23" t="s">
        <v>9622</v>
      </c>
      <c r="AG2383" s="23" t="s">
        <v>1553</v>
      </c>
      <c r="AH2383" s="39">
        <v>45736</v>
      </c>
      <c r="AI2383" s="53" t="s">
        <v>5851</v>
      </c>
    </row>
    <row r="2384" spans="1:35" ht="192">
      <c r="A2384" s="134" t="s">
        <v>13555</v>
      </c>
      <c r="B2384" s="23" t="s">
        <v>13556</v>
      </c>
      <c r="C2384" s="140">
        <v>45731</v>
      </c>
      <c r="D2384" s="23" t="s">
        <v>729</v>
      </c>
      <c r="E2384" s="23" t="s">
        <v>752</v>
      </c>
      <c r="F2384" s="23" t="s">
        <v>2200</v>
      </c>
      <c r="G2384" s="23" t="s">
        <v>301</v>
      </c>
      <c r="H2384" s="23" t="s">
        <v>13580</v>
      </c>
      <c r="I2384" s="23" t="s">
        <v>13580</v>
      </c>
      <c r="J2384" s="140">
        <v>45729</v>
      </c>
      <c r="K2384" s="23" t="s">
        <v>13581</v>
      </c>
      <c r="L2384" s="140">
        <v>45733</v>
      </c>
      <c r="O2384" s="23" t="s">
        <v>13651</v>
      </c>
      <c r="P2384" s="23" t="s">
        <v>13650</v>
      </c>
      <c r="Q2384" s="140">
        <v>45747</v>
      </c>
      <c r="S2384" s="23" t="s">
        <v>300</v>
      </c>
      <c r="T2384" s="23" t="s">
        <v>305</v>
      </c>
      <c r="U2384" s="23" t="s">
        <v>305</v>
      </c>
      <c r="V2384" s="23" t="s">
        <v>299</v>
      </c>
      <c r="W2384" s="59" t="s">
        <v>12524</v>
      </c>
      <c r="Y2384" s="23">
        <v>47448</v>
      </c>
      <c r="Z2384" s="23">
        <v>324000</v>
      </c>
      <c r="AB2384" s="19" t="s">
        <v>13582</v>
      </c>
      <c r="AC2384" s="23">
        <v>36</v>
      </c>
      <c r="AD2384" s="23">
        <v>0</v>
      </c>
      <c r="AE2384" s="23">
        <v>12</v>
      </c>
      <c r="AF2384" s="23" t="s">
        <v>9622</v>
      </c>
      <c r="AG2384" s="23" t="s">
        <v>1553</v>
      </c>
      <c r="AH2384" s="39">
        <v>45736</v>
      </c>
      <c r="AI2384" s="53" t="s">
        <v>5851</v>
      </c>
    </row>
    <row r="2385" spans="1:54">
      <c r="A2385" s="75" t="s">
        <v>13557</v>
      </c>
      <c r="B2385" s="23" t="s">
        <v>13565</v>
      </c>
      <c r="C2385" s="140">
        <v>45733</v>
      </c>
      <c r="D2385" s="23" t="s">
        <v>729</v>
      </c>
      <c r="E2385" s="23" t="s">
        <v>13566</v>
      </c>
      <c r="F2385" s="23" t="s">
        <v>13558</v>
      </c>
      <c r="G2385" s="23" t="s">
        <v>13567</v>
      </c>
      <c r="H2385" s="23" t="s">
        <v>13568</v>
      </c>
      <c r="I2385" s="23" t="s">
        <v>13568</v>
      </c>
      <c r="J2385" s="140">
        <v>45727</v>
      </c>
      <c r="O2385" s="23" t="s">
        <v>13662</v>
      </c>
      <c r="P2385" s="23" t="s">
        <v>13661</v>
      </c>
      <c r="Q2385" s="140">
        <v>45751</v>
      </c>
      <c r="S2385" s="23" t="s">
        <v>184</v>
      </c>
      <c r="T2385" s="23" t="s">
        <v>12326</v>
      </c>
      <c r="U2385" s="23" t="s">
        <v>12326</v>
      </c>
      <c r="V2385" s="23" t="s">
        <v>233</v>
      </c>
      <c r="W2385" s="23" t="s">
        <v>13569</v>
      </c>
      <c r="X2385" s="23">
        <v>7000</v>
      </c>
      <c r="Y2385" s="38">
        <v>7000</v>
      </c>
      <c r="Z2385" s="23">
        <v>78160</v>
      </c>
      <c r="AB2385" s="23" t="s">
        <v>97</v>
      </c>
      <c r="AC2385" s="23" t="s">
        <v>13477</v>
      </c>
      <c r="AD2385" s="23">
        <v>0</v>
      </c>
      <c r="AE2385" s="23">
        <v>0</v>
      </c>
      <c r="AF2385" s="23" t="s">
        <v>97</v>
      </c>
      <c r="AG2385" s="23" t="s">
        <v>13769</v>
      </c>
      <c r="AH2385" s="39">
        <v>45734</v>
      </c>
      <c r="AI2385" s="53" t="s">
        <v>13683</v>
      </c>
    </row>
    <row r="2386" spans="1:54" ht="32">
      <c r="A2386" s="75" t="s">
        <v>13584</v>
      </c>
      <c r="B2386" s="23" t="s">
        <v>13585</v>
      </c>
      <c r="C2386" s="140">
        <v>45725</v>
      </c>
      <c r="D2386" s="23" t="s">
        <v>729</v>
      </c>
      <c r="E2386" s="23" t="s">
        <v>752</v>
      </c>
      <c r="F2386" s="23" t="s">
        <v>13586</v>
      </c>
      <c r="G2386" s="23" t="s">
        <v>13587</v>
      </c>
      <c r="H2386" s="23" t="s">
        <v>13588</v>
      </c>
      <c r="I2386" s="23" t="s">
        <v>13588</v>
      </c>
      <c r="J2386" s="140">
        <v>45698</v>
      </c>
      <c r="T2386" s="23" t="s">
        <v>12031</v>
      </c>
      <c r="U2386" s="23" t="s">
        <v>12031</v>
      </c>
      <c r="V2386" s="23" t="s">
        <v>299</v>
      </c>
      <c r="W2386" s="19" t="s">
        <v>13589</v>
      </c>
      <c r="X2386" s="23">
        <v>3758</v>
      </c>
      <c r="Y2386" s="23">
        <v>3758</v>
      </c>
      <c r="Z2386" s="38">
        <v>23000</v>
      </c>
      <c r="AB2386" s="59" t="s">
        <v>13590</v>
      </c>
      <c r="AC2386" s="23">
        <v>2</v>
      </c>
      <c r="AD2386" s="23">
        <v>0</v>
      </c>
      <c r="AE2386" s="23">
        <v>1</v>
      </c>
      <c r="AF2386" s="23" t="s">
        <v>9622</v>
      </c>
      <c r="AG2386" s="23" t="s">
        <v>13591</v>
      </c>
      <c r="AH2386" s="39">
        <v>45742</v>
      </c>
      <c r="AI2386" s="53" t="s">
        <v>13319</v>
      </c>
    </row>
    <row r="2387" spans="1:54" ht="32">
      <c r="A2387" s="75" t="s">
        <v>13601</v>
      </c>
      <c r="B2387" s="23" t="s">
        <v>13604</v>
      </c>
      <c r="C2387" s="140">
        <v>45735</v>
      </c>
      <c r="D2387" s="23" t="s">
        <v>729</v>
      </c>
      <c r="E2387" s="23" t="s">
        <v>3773</v>
      </c>
      <c r="F2387" s="23" t="s">
        <v>12847</v>
      </c>
      <c r="G2387" s="23" t="s">
        <v>12867</v>
      </c>
      <c r="H2387" s="23" t="s">
        <v>13605</v>
      </c>
      <c r="I2387" s="23" t="s">
        <v>13605</v>
      </c>
      <c r="J2387" s="140">
        <v>45723</v>
      </c>
      <c r="Q2387" s="140">
        <v>45741</v>
      </c>
      <c r="S2387" s="23" t="s">
        <v>300</v>
      </c>
      <c r="T2387" s="23" t="s">
        <v>12031</v>
      </c>
      <c r="U2387" s="23" t="s">
        <v>12031</v>
      </c>
      <c r="V2387" s="23" t="s">
        <v>233</v>
      </c>
      <c r="W2387" s="23" t="s">
        <v>13606</v>
      </c>
      <c r="X2387" s="23">
        <v>82</v>
      </c>
      <c r="Y2387" s="23">
        <v>116</v>
      </c>
      <c r="Z2387" s="23">
        <v>5400</v>
      </c>
      <c r="AB2387" s="23" t="s">
        <v>97</v>
      </c>
      <c r="AC2387" s="23" t="s">
        <v>8425</v>
      </c>
      <c r="AD2387" s="23">
        <v>0</v>
      </c>
      <c r="AE2387" s="23">
        <v>0</v>
      </c>
      <c r="AF2387" s="23" t="s">
        <v>97</v>
      </c>
      <c r="AG2387" s="23" t="s">
        <v>13607</v>
      </c>
      <c r="AH2387" s="39">
        <v>45742</v>
      </c>
      <c r="AI2387" s="53" t="s">
        <v>13552</v>
      </c>
      <c r="BB2387" s="29" t="s">
        <v>14052</v>
      </c>
    </row>
    <row r="2388" spans="1:54" ht="32">
      <c r="A2388" s="75" t="s">
        <v>13602</v>
      </c>
      <c r="B2388" s="23" t="s">
        <v>13608</v>
      </c>
      <c r="C2388" s="140">
        <v>45742</v>
      </c>
      <c r="D2388" s="23" t="s">
        <v>729</v>
      </c>
      <c r="E2388" s="23" t="s">
        <v>3773</v>
      </c>
      <c r="F2388" s="23" t="s">
        <v>12847</v>
      </c>
      <c r="G2388" s="23" t="s">
        <v>12867</v>
      </c>
      <c r="H2388" s="23" t="s">
        <v>13609</v>
      </c>
      <c r="I2388" s="23" t="s">
        <v>13609</v>
      </c>
      <c r="J2388" s="140">
        <v>45727</v>
      </c>
      <c r="Q2388" s="140">
        <v>45749</v>
      </c>
      <c r="S2388" s="23" t="s">
        <v>300</v>
      </c>
      <c r="T2388" s="23" t="s">
        <v>12031</v>
      </c>
      <c r="U2388" s="23" t="s">
        <v>12031</v>
      </c>
      <c r="V2388" s="23" t="s">
        <v>233</v>
      </c>
      <c r="W2388" s="19" t="s">
        <v>13610</v>
      </c>
      <c r="X2388" s="23">
        <v>329</v>
      </c>
      <c r="Y2388" s="23">
        <v>389.5</v>
      </c>
      <c r="Z2388" s="37">
        <v>3029</v>
      </c>
      <c r="AB2388" s="23" t="s">
        <v>97</v>
      </c>
      <c r="AC2388" s="23" t="s">
        <v>8425</v>
      </c>
      <c r="AD2388" s="23">
        <v>0</v>
      </c>
      <c r="AE2388" s="23">
        <v>0</v>
      </c>
      <c r="AF2388" s="23" t="s">
        <v>97</v>
      </c>
      <c r="AG2388" s="23" t="s">
        <v>3484</v>
      </c>
      <c r="AH2388" s="39">
        <v>45742</v>
      </c>
      <c r="AI2388" s="53" t="s">
        <v>13709</v>
      </c>
      <c r="BB2388" s="29" t="s">
        <v>14052</v>
      </c>
    </row>
    <row r="2389" spans="1:54" ht="128">
      <c r="A2389" s="134" t="s">
        <v>13612</v>
      </c>
      <c r="B2389" s="23" t="s">
        <v>13613</v>
      </c>
      <c r="C2389" s="140">
        <v>45738</v>
      </c>
      <c r="D2389" s="23" t="s">
        <v>729</v>
      </c>
      <c r="E2389" s="23" t="s">
        <v>3773</v>
      </c>
      <c r="F2389" s="23" t="s">
        <v>2200</v>
      </c>
      <c r="G2389" s="23" t="s">
        <v>301</v>
      </c>
      <c r="H2389" s="23">
        <v>20594741</v>
      </c>
      <c r="I2389" s="23">
        <v>20594741</v>
      </c>
      <c r="J2389" s="140">
        <v>45737</v>
      </c>
      <c r="K2389" s="23" t="s">
        <v>13614</v>
      </c>
      <c r="L2389" s="140">
        <v>45741</v>
      </c>
      <c r="O2389" s="23" t="s">
        <v>13664</v>
      </c>
      <c r="P2389" s="23" t="s">
        <v>13663</v>
      </c>
      <c r="Q2389" s="140">
        <v>45751</v>
      </c>
      <c r="T2389" s="23" t="s">
        <v>305</v>
      </c>
      <c r="U2389" s="23" t="s">
        <v>305</v>
      </c>
      <c r="V2389" s="23" t="s">
        <v>299</v>
      </c>
      <c r="W2389" s="59" t="s">
        <v>13615</v>
      </c>
      <c r="Y2389" s="23">
        <v>33088</v>
      </c>
      <c r="Z2389" s="23">
        <v>293600</v>
      </c>
      <c r="AB2389" s="19" t="s">
        <v>13704</v>
      </c>
      <c r="AC2389" s="23">
        <v>16</v>
      </c>
      <c r="AD2389" s="23">
        <v>0</v>
      </c>
      <c r="AE2389" s="23">
        <v>8</v>
      </c>
      <c r="AF2389" s="23" t="s">
        <v>9622</v>
      </c>
      <c r="AG2389" s="23" t="s">
        <v>659</v>
      </c>
      <c r="AH2389" s="39">
        <v>45747</v>
      </c>
      <c r="AI2389" s="53" t="s">
        <v>5851</v>
      </c>
    </row>
    <row r="2390" spans="1:54">
      <c r="A2390" s="134" t="s">
        <v>13617</v>
      </c>
      <c r="B2390" s="23" t="s">
        <v>13616</v>
      </c>
      <c r="C2390" s="140">
        <v>45738</v>
      </c>
      <c r="D2390" s="23" t="s">
        <v>729</v>
      </c>
      <c r="E2390" s="23" t="s">
        <v>3773</v>
      </c>
      <c r="F2390" s="23" t="s">
        <v>2200</v>
      </c>
      <c r="G2390" s="23" t="s">
        <v>301</v>
      </c>
      <c r="H2390" s="23">
        <v>20594740</v>
      </c>
      <c r="I2390" s="23">
        <v>20594740</v>
      </c>
      <c r="J2390" s="140">
        <v>45736</v>
      </c>
      <c r="K2390" s="23" t="s">
        <v>13618</v>
      </c>
      <c r="L2390" s="140">
        <v>45741</v>
      </c>
      <c r="O2390" s="23" t="s">
        <v>13664</v>
      </c>
      <c r="P2390" s="23" t="s">
        <v>13663</v>
      </c>
      <c r="Q2390" s="140">
        <v>45751</v>
      </c>
      <c r="T2390" s="23" t="s">
        <v>305</v>
      </c>
      <c r="U2390" s="23" t="s">
        <v>305</v>
      </c>
      <c r="V2390" s="23" t="s">
        <v>299</v>
      </c>
      <c r="W2390" s="59" t="s">
        <v>13619</v>
      </c>
      <c r="Y2390" s="23">
        <v>4650</v>
      </c>
      <c r="Z2390" s="23">
        <v>41400</v>
      </c>
      <c r="AB2390" s="23" t="s">
        <v>13620</v>
      </c>
      <c r="AC2390" s="23">
        <v>3</v>
      </c>
      <c r="AD2390" s="23">
        <v>0</v>
      </c>
      <c r="AE2390" s="23">
        <v>1</v>
      </c>
      <c r="AF2390" s="23" t="s">
        <v>9622</v>
      </c>
      <c r="AG2390" s="23" t="s">
        <v>659</v>
      </c>
      <c r="AH2390" s="39">
        <v>45747</v>
      </c>
      <c r="AI2390" s="53" t="s">
        <v>5851</v>
      </c>
    </row>
    <row r="2391" spans="1:54" ht="144">
      <c r="A2391" s="75" t="s">
        <v>13621</v>
      </c>
      <c r="B2391" s="23" t="s">
        <v>13623</v>
      </c>
      <c r="C2391" s="140">
        <v>45738</v>
      </c>
      <c r="D2391" s="23" t="s">
        <v>729</v>
      </c>
      <c r="E2391" s="23" t="s">
        <v>752</v>
      </c>
      <c r="F2391" s="23" t="s">
        <v>12847</v>
      </c>
      <c r="G2391" s="23" t="s">
        <v>12867</v>
      </c>
      <c r="H2391" s="23" t="s">
        <v>13624</v>
      </c>
      <c r="I2391" s="23" t="s">
        <v>13624</v>
      </c>
      <c r="J2391" s="140">
        <v>45733</v>
      </c>
      <c r="P2391" s="23" t="s">
        <v>13654</v>
      </c>
      <c r="Q2391" s="140">
        <v>45748</v>
      </c>
      <c r="S2391" s="23" t="s">
        <v>300</v>
      </c>
      <c r="T2391" s="23" t="s">
        <v>12031</v>
      </c>
      <c r="U2391" s="23" t="s">
        <v>12031</v>
      </c>
      <c r="V2391" s="23" t="s">
        <v>233</v>
      </c>
      <c r="W2391" s="19" t="s">
        <v>13707</v>
      </c>
      <c r="X2391" s="37">
        <v>38386.89</v>
      </c>
      <c r="Y2391" s="37">
        <v>38525.61</v>
      </c>
      <c r="Z2391" s="37">
        <v>97472.91</v>
      </c>
      <c r="AB2391" s="23" t="s">
        <v>13625</v>
      </c>
      <c r="AC2391" s="23" t="s">
        <v>13626</v>
      </c>
      <c r="AD2391" s="23">
        <v>0</v>
      </c>
      <c r="AE2391" s="23">
        <v>3</v>
      </c>
      <c r="AF2391" s="23" t="s">
        <v>9622</v>
      </c>
      <c r="AG2391" s="23" t="s">
        <v>13627</v>
      </c>
      <c r="AH2391" s="39">
        <v>45743</v>
      </c>
      <c r="AI2391" s="53" t="s">
        <v>13708</v>
      </c>
      <c r="BB2391" s="19" t="s">
        <v>13739</v>
      </c>
    </row>
    <row r="2392" spans="1:54">
      <c r="A2392" s="75" t="s">
        <v>13622</v>
      </c>
      <c r="B2392" s="23" t="s">
        <v>13623</v>
      </c>
      <c r="C2392" s="140">
        <v>45738</v>
      </c>
      <c r="D2392" s="23" t="s">
        <v>729</v>
      </c>
      <c r="E2392" s="23" t="s">
        <v>3773</v>
      </c>
      <c r="F2392" s="23" t="s">
        <v>12847</v>
      </c>
      <c r="G2392" s="23" t="s">
        <v>12867</v>
      </c>
      <c r="H2392" s="23" t="s">
        <v>13628</v>
      </c>
      <c r="I2392" s="23" t="s">
        <v>13628</v>
      </c>
      <c r="J2392" s="140">
        <v>45733</v>
      </c>
      <c r="P2392" s="23" t="s">
        <v>13654</v>
      </c>
      <c r="Q2392" s="140">
        <v>45748</v>
      </c>
      <c r="S2392" s="23" t="s">
        <v>300</v>
      </c>
      <c r="T2392" s="23" t="s">
        <v>12031</v>
      </c>
      <c r="U2392" s="23" t="s">
        <v>12031</v>
      </c>
      <c r="V2392" s="23" t="s">
        <v>233</v>
      </c>
      <c r="W2392" s="23" t="s">
        <v>13629</v>
      </c>
      <c r="X2392" s="23">
        <v>1.31</v>
      </c>
      <c r="Y2392" s="23">
        <v>1.39</v>
      </c>
      <c r="Z2392" s="23">
        <v>41.5</v>
      </c>
      <c r="AB2392" s="23" t="s">
        <v>13630</v>
      </c>
      <c r="AC2392" s="23" t="s">
        <v>13631</v>
      </c>
      <c r="AD2392" s="23">
        <v>0</v>
      </c>
      <c r="AE2392" s="23">
        <v>0</v>
      </c>
      <c r="AF2392" s="23" t="s">
        <v>97</v>
      </c>
      <c r="AG2392" s="23" t="s">
        <v>13627</v>
      </c>
      <c r="AH2392" s="39">
        <v>45743</v>
      </c>
    </row>
    <row r="2393" spans="1:54" ht="128">
      <c r="A2393" s="134" t="s">
        <v>13632</v>
      </c>
      <c r="B2393" s="59" t="s">
        <v>13633</v>
      </c>
      <c r="C2393" s="140">
        <v>45743</v>
      </c>
      <c r="D2393" s="23" t="s">
        <v>729</v>
      </c>
      <c r="E2393" s="23" t="s">
        <v>752</v>
      </c>
      <c r="F2393" s="23" t="s">
        <v>2200</v>
      </c>
      <c r="G2393" s="23" t="s">
        <v>301</v>
      </c>
      <c r="H2393" s="23">
        <v>20595967</v>
      </c>
      <c r="I2393" s="23">
        <v>20595967</v>
      </c>
      <c r="J2393" s="140">
        <v>45741</v>
      </c>
      <c r="K2393" s="23" t="s">
        <v>13686</v>
      </c>
      <c r="L2393" s="140">
        <v>45754</v>
      </c>
      <c r="O2393" s="23" t="s">
        <v>13711</v>
      </c>
      <c r="P2393" s="23" t="s">
        <v>13710</v>
      </c>
      <c r="Q2393" s="140">
        <v>45752</v>
      </c>
      <c r="T2393" s="23" t="s">
        <v>305</v>
      </c>
      <c r="U2393" s="23" t="s">
        <v>305</v>
      </c>
      <c r="V2393" s="23" t="s">
        <v>299</v>
      </c>
      <c r="W2393" s="59" t="s">
        <v>12744</v>
      </c>
      <c r="Y2393" s="38">
        <v>33088</v>
      </c>
      <c r="Z2393" s="23">
        <v>293600</v>
      </c>
      <c r="AB2393" s="19" t="s">
        <v>13753</v>
      </c>
      <c r="AC2393" s="23">
        <v>16</v>
      </c>
      <c r="AD2393" s="23">
        <v>0</v>
      </c>
      <c r="AE2393" s="23">
        <v>8</v>
      </c>
      <c r="AF2393" s="23" t="s">
        <v>9622</v>
      </c>
      <c r="AG2393" s="23" t="s">
        <v>659</v>
      </c>
      <c r="AH2393" s="39">
        <v>45748</v>
      </c>
      <c r="AI2393" s="53" t="s">
        <v>5851</v>
      </c>
    </row>
    <row r="2394" spans="1:54" ht="192">
      <c r="A2394" s="134" t="s">
        <v>13634</v>
      </c>
      <c r="B2394" s="23" t="s">
        <v>13635</v>
      </c>
      <c r="C2394" s="140">
        <v>45745</v>
      </c>
      <c r="D2394" s="23" t="s">
        <v>729</v>
      </c>
      <c r="E2394" s="23" t="s">
        <v>752</v>
      </c>
      <c r="F2394" s="23" t="s">
        <v>2200</v>
      </c>
      <c r="G2394" s="23" t="s">
        <v>301</v>
      </c>
      <c r="H2394" s="23" t="s">
        <v>13655</v>
      </c>
      <c r="I2394" s="23" t="s">
        <v>13655</v>
      </c>
      <c r="J2394" s="140">
        <v>45744</v>
      </c>
      <c r="K2394" s="23" t="s">
        <v>13656</v>
      </c>
      <c r="L2394" s="140">
        <v>45747</v>
      </c>
      <c r="P2394" s="23" t="s">
        <v>13665</v>
      </c>
      <c r="Q2394" s="140">
        <v>45753</v>
      </c>
      <c r="T2394" s="23" t="s">
        <v>12031</v>
      </c>
      <c r="U2394" s="23" t="s">
        <v>12031</v>
      </c>
      <c r="V2394" s="23" t="s">
        <v>299</v>
      </c>
      <c r="W2394" s="60" t="s">
        <v>13636</v>
      </c>
      <c r="Y2394" s="38">
        <v>50436</v>
      </c>
      <c r="Z2394" s="23">
        <v>409500</v>
      </c>
      <c r="AB2394" s="19" t="s">
        <v>13740</v>
      </c>
      <c r="AC2394" s="23">
        <v>36</v>
      </c>
      <c r="AD2394" s="23">
        <v>0</v>
      </c>
      <c r="AE2394" s="23">
        <v>12</v>
      </c>
      <c r="AF2394" s="23" t="s">
        <v>9622</v>
      </c>
      <c r="AG2394" s="23" t="s">
        <v>659</v>
      </c>
      <c r="AH2394" s="39">
        <v>45748</v>
      </c>
      <c r="AI2394" s="53" t="s">
        <v>5851</v>
      </c>
    </row>
    <row r="2395" spans="1:54" ht="208">
      <c r="A2395" s="134" t="s">
        <v>13637</v>
      </c>
      <c r="B2395" s="23" t="s">
        <v>13638</v>
      </c>
      <c r="C2395" s="140">
        <v>45743</v>
      </c>
      <c r="D2395" s="23" t="s">
        <v>729</v>
      </c>
      <c r="E2395" s="23" t="s">
        <v>752</v>
      </c>
      <c r="F2395" s="23" t="s">
        <v>2200</v>
      </c>
      <c r="G2395" s="23" t="s">
        <v>301</v>
      </c>
      <c r="H2395" s="23" t="s">
        <v>13687</v>
      </c>
      <c r="I2395" s="23" t="s">
        <v>13687</v>
      </c>
      <c r="J2395" s="140">
        <v>45741</v>
      </c>
      <c r="K2395" s="23" t="s">
        <v>13688</v>
      </c>
      <c r="L2395" s="140">
        <v>45754</v>
      </c>
      <c r="O2395" s="23" t="s">
        <v>13711</v>
      </c>
      <c r="P2395" s="23" t="s">
        <v>13710</v>
      </c>
      <c r="Q2395" s="140">
        <v>45752</v>
      </c>
      <c r="T2395" s="23" t="s">
        <v>305</v>
      </c>
      <c r="U2395" s="23" t="s">
        <v>305</v>
      </c>
      <c r="V2395" s="23" t="s">
        <v>299</v>
      </c>
      <c r="W2395" s="59" t="s">
        <v>12524</v>
      </c>
      <c r="Y2395" s="38">
        <v>51402</v>
      </c>
      <c r="Z2395" s="23">
        <v>351000</v>
      </c>
      <c r="AB2395" s="19" t="s">
        <v>13738</v>
      </c>
      <c r="AC2395" s="23">
        <v>39</v>
      </c>
      <c r="AD2395" s="23">
        <v>0</v>
      </c>
      <c r="AE2395" s="23">
        <v>13</v>
      </c>
      <c r="AF2395" s="23" t="s">
        <v>9622</v>
      </c>
      <c r="AG2395" s="23" t="s">
        <v>659</v>
      </c>
      <c r="AH2395" s="39">
        <v>45748</v>
      </c>
      <c r="AI2395" s="53" t="s">
        <v>5851</v>
      </c>
    </row>
    <row r="2396" spans="1:54" ht="176">
      <c r="A2396" s="134" t="s">
        <v>13639</v>
      </c>
      <c r="B2396" s="23" t="s">
        <v>13640</v>
      </c>
      <c r="C2396" s="140">
        <v>45750</v>
      </c>
      <c r="D2396" s="23" t="s">
        <v>729</v>
      </c>
      <c r="E2396" s="23" t="s">
        <v>752</v>
      </c>
      <c r="F2396" s="23" t="s">
        <v>2200</v>
      </c>
      <c r="G2396" s="23" t="s">
        <v>301</v>
      </c>
      <c r="H2396" s="23">
        <v>20597236</v>
      </c>
      <c r="I2396" s="23">
        <v>20597236</v>
      </c>
      <c r="J2396" s="140">
        <v>45747</v>
      </c>
      <c r="K2396" s="23" t="s">
        <v>13705</v>
      </c>
      <c r="L2396" s="140">
        <v>45756</v>
      </c>
      <c r="T2396" s="23" t="s">
        <v>12031</v>
      </c>
      <c r="U2396" s="23" t="s">
        <v>12031</v>
      </c>
      <c r="V2396" s="23" t="s">
        <v>299</v>
      </c>
      <c r="W2396" s="23" t="s">
        <v>12503</v>
      </c>
      <c r="Y2396" s="38">
        <v>50787</v>
      </c>
      <c r="Z2396" s="23">
        <v>429000</v>
      </c>
      <c r="AB2396" s="19" t="s">
        <v>13754</v>
      </c>
      <c r="AC2396" s="23">
        <v>33</v>
      </c>
      <c r="AD2396" s="23">
        <v>0</v>
      </c>
      <c r="AE2396" s="23">
        <v>11</v>
      </c>
      <c r="AF2396" s="23" t="s">
        <v>9622</v>
      </c>
      <c r="AG2396" s="23" t="s">
        <v>659</v>
      </c>
      <c r="AH2396" s="39">
        <v>45748</v>
      </c>
      <c r="AI2396" s="53" t="s">
        <v>5851</v>
      </c>
    </row>
    <row r="2397" spans="1:54">
      <c r="A2397" s="75" t="s">
        <v>13641</v>
      </c>
      <c r="B2397" s="23" t="s">
        <v>13642</v>
      </c>
      <c r="C2397" s="140">
        <v>45744</v>
      </c>
      <c r="D2397" s="23" t="s">
        <v>729</v>
      </c>
      <c r="E2397" s="23" t="s">
        <v>2861</v>
      </c>
      <c r="F2397" s="23" t="s">
        <v>11006</v>
      </c>
      <c r="G2397" s="23" t="s">
        <v>5538</v>
      </c>
      <c r="H2397" s="23" t="s">
        <v>13643</v>
      </c>
      <c r="I2397" s="23" t="s">
        <v>13643</v>
      </c>
      <c r="J2397" s="140">
        <v>45741</v>
      </c>
      <c r="T2397" s="23" t="s">
        <v>3684</v>
      </c>
      <c r="U2397" s="23" t="s">
        <v>3684</v>
      </c>
      <c r="V2397" s="23" t="s">
        <v>299</v>
      </c>
      <c r="W2397" s="23" t="s">
        <v>13441</v>
      </c>
      <c r="Y2397" s="23">
        <v>2715</v>
      </c>
      <c r="Z2397" s="23">
        <v>80000</v>
      </c>
      <c r="AB2397" s="23" t="s">
        <v>97</v>
      </c>
      <c r="AC2397" s="23">
        <v>1</v>
      </c>
      <c r="AD2397" s="23">
        <v>0</v>
      </c>
      <c r="AE2397" s="23">
        <v>0</v>
      </c>
      <c r="AF2397" s="23" t="s">
        <v>97</v>
      </c>
      <c r="AG2397" s="23" t="s">
        <v>13442</v>
      </c>
      <c r="AH2397" s="39">
        <v>45748</v>
      </c>
      <c r="AI2397" s="53" t="s">
        <v>13437</v>
      </c>
    </row>
    <row r="2398" spans="1:54">
      <c r="A2398" s="75" t="s">
        <v>13644</v>
      </c>
      <c r="B2398" s="23">
        <v>250991075</v>
      </c>
      <c r="C2398" s="140">
        <v>45731</v>
      </c>
      <c r="D2398" s="23" t="s">
        <v>729</v>
      </c>
      <c r="E2398" s="23" t="s">
        <v>752</v>
      </c>
      <c r="F2398" s="23" t="s">
        <v>2200</v>
      </c>
      <c r="G2398" s="23" t="s">
        <v>301</v>
      </c>
      <c r="H2398" s="23">
        <v>55024199</v>
      </c>
      <c r="I2398" s="23">
        <v>55024199</v>
      </c>
      <c r="J2398" s="140">
        <v>45713</v>
      </c>
      <c r="K2398" s="23" t="s">
        <v>13645</v>
      </c>
      <c r="L2398" s="140">
        <v>45737</v>
      </c>
      <c r="O2398" s="23" t="s">
        <v>13701</v>
      </c>
      <c r="P2398" s="23" t="s">
        <v>13700</v>
      </c>
      <c r="Q2398" s="140">
        <v>45755</v>
      </c>
      <c r="T2398" s="23" t="s">
        <v>305</v>
      </c>
      <c r="U2398" s="23" t="s">
        <v>305</v>
      </c>
      <c r="V2398" s="23" t="s">
        <v>298</v>
      </c>
      <c r="W2398" s="23" t="s">
        <v>11559</v>
      </c>
      <c r="Y2398" s="23">
        <v>7473</v>
      </c>
      <c r="Z2398" s="23">
        <v>65590</v>
      </c>
      <c r="AB2398" s="59" t="s">
        <v>13646</v>
      </c>
      <c r="AC2398" s="23" t="s">
        <v>8462</v>
      </c>
      <c r="AD2398" s="23">
        <v>0</v>
      </c>
      <c r="AE2398" s="23">
        <v>1</v>
      </c>
      <c r="AF2398" s="23" t="s">
        <v>9622</v>
      </c>
      <c r="AG2398" s="23" t="s">
        <v>5602</v>
      </c>
      <c r="AH2398" s="39">
        <v>45749</v>
      </c>
    </row>
    <row r="2399" spans="1:54">
      <c r="A2399" s="75" t="s">
        <v>13647</v>
      </c>
      <c r="B2399" s="23">
        <v>251119989</v>
      </c>
      <c r="C2399" s="140">
        <v>45737</v>
      </c>
      <c r="D2399" s="23" t="s">
        <v>729</v>
      </c>
      <c r="E2399" s="23" t="s">
        <v>752</v>
      </c>
      <c r="F2399" s="23" t="s">
        <v>2200</v>
      </c>
      <c r="G2399" s="23" t="s">
        <v>301</v>
      </c>
      <c r="H2399" s="23">
        <v>55024317</v>
      </c>
      <c r="I2399" s="23">
        <v>55024317</v>
      </c>
      <c r="J2399" s="140">
        <v>45720</v>
      </c>
      <c r="K2399" s="23" t="s">
        <v>13648</v>
      </c>
      <c r="L2399" s="140">
        <v>45744</v>
      </c>
      <c r="O2399" s="23" t="s">
        <v>13756</v>
      </c>
      <c r="P2399" s="23" t="s">
        <v>13755</v>
      </c>
      <c r="Q2399" s="140">
        <v>45760</v>
      </c>
      <c r="T2399" s="23" t="s">
        <v>305</v>
      </c>
      <c r="U2399" s="23" t="s">
        <v>305</v>
      </c>
      <c r="V2399" s="23" t="s">
        <v>298</v>
      </c>
      <c r="W2399" s="23" t="s">
        <v>11559</v>
      </c>
      <c r="Y2399" s="23">
        <v>8352</v>
      </c>
      <c r="Z2399" s="23">
        <v>63300</v>
      </c>
      <c r="AB2399" s="59" t="s">
        <v>13649</v>
      </c>
      <c r="AC2399" s="23" t="s">
        <v>11127</v>
      </c>
      <c r="AD2399" s="23">
        <v>0</v>
      </c>
      <c r="AE2399" s="23">
        <v>1</v>
      </c>
      <c r="AF2399" s="23" t="s">
        <v>9622</v>
      </c>
      <c r="AG2399" s="23" t="s">
        <v>5602</v>
      </c>
      <c r="AH2399" s="39">
        <v>45749</v>
      </c>
    </row>
    <row r="2400" spans="1:54" ht="48">
      <c r="A2400" s="75" t="s">
        <v>13657</v>
      </c>
      <c r="B2400" s="23" t="s">
        <v>13658</v>
      </c>
      <c r="C2400" s="140">
        <v>45755</v>
      </c>
      <c r="D2400" s="23" t="s">
        <v>729</v>
      </c>
      <c r="E2400" s="23" t="s">
        <v>752</v>
      </c>
      <c r="F2400" s="23" t="s">
        <v>12847</v>
      </c>
      <c r="G2400" s="23" t="s">
        <v>12867</v>
      </c>
      <c r="H2400" s="23">
        <v>24122401</v>
      </c>
      <c r="I2400" s="23">
        <v>24122401</v>
      </c>
      <c r="J2400" s="140">
        <v>45747</v>
      </c>
      <c r="Q2400" s="140">
        <v>45759</v>
      </c>
      <c r="S2400" s="23" t="s">
        <v>300</v>
      </c>
      <c r="T2400" s="23" t="s">
        <v>12031</v>
      </c>
      <c r="U2400" s="23" t="s">
        <v>12031</v>
      </c>
      <c r="V2400" s="23" t="s">
        <v>233</v>
      </c>
      <c r="W2400" s="23" t="s">
        <v>13659</v>
      </c>
      <c r="X2400" s="23">
        <v>2400</v>
      </c>
      <c r="Y2400" s="23">
        <v>2450</v>
      </c>
      <c r="Z2400" s="23">
        <v>35000</v>
      </c>
      <c r="AB2400" s="23" t="s">
        <v>13726</v>
      </c>
      <c r="AC2400" s="23" t="s">
        <v>1696</v>
      </c>
      <c r="AD2400" s="23">
        <v>1</v>
      </c>
      <c r="AE2400" s="23">
        <v>0</v>
      </c>
      <c r="AF2400" s="23" t="s">
        <v>9622</v>
      </c>
      <c r="AG2400" s="23" t="s">
        <v>13660</v>
      </c>
      <c r="AH2400" s="39">
        <v>45750</v>
      </c>
      <c r="AI2400" s="53" t="s">
        <v>13789</v>
      </c>
      <c r="BB2400" s="19" t="s">
        <v>13911</v>
      </c>
    </row>
    <row r="2401" spans="1:54" ht="48">
      <c r="A2401" s="75" t="s">
        <v>13666</v>
      </c>
      <c r="B2401" s="23" t="s">
        <v>13667</v>
      </c>
      <c r="C2401" s="140">
        <v>45752</v>
      </c>
      <c r="D2401" s="23" t="s">
        <v>729</v>
      </c>
      <c r="E2401" s="23" t="s">
        <v>2861</v>
      </c>
      <c r="F2401" s="23" t="s">
        <v>12847</v>
      </c>
      <c r="G2401" s="23" t="s">
        <v>12867</v>
      </c>
      <c r="H2401" s="23" t="s">
        <v>13668</v>
      </c>
      <c r="I2401" s="23" t="s">
        <v>13668</v>
      </c>
      <c r="J2401" s="140">
        <v>45749</v>
      </c>
      <c r="O2401" s="23" t="s">
        <v>13684</v>
      </c>
      <c r="P2401" s="121" t="s">
        <v>13685</v>
      </c>
      <c r="Q2401" s="140">
        <v>45755</v>
      </c>
      <c r="S2401" s="23" t="s">
        <v>184</v>
      </c>
      <c r="T2401" s="23" t="s">
        <v>12326</v>
      </c>
      <c r="U2401" s="23" t="s">
        <v>12326</v>
      </c>
      <c r="V2401" s="23" t="s">
        <v>233</v>
      </c>
      <c r="W2401" s="23" t="s">
        <v>13669</v>
      </c>
      <c r="X2401" s="23">
        <v>568</v>
      </c>
      <c r="Y2401" s="23">
        <v>728</v>
      </c>
      <c r="Z2401" s="23">
        <v>36000</v>
      </c>
      <c r="AB2401" s="23" t="s">
        <v>97</v>
      </c>
      <c r="AC2401" s="23" t="s">
        <v>13477</v>
      </c>
      <c r="AD2401" s="23">
        <v>0</v>
      </c>
      <c r="AE2401" s="23">
        <v>0</v>
      </c>
      <c r="AF2401" s="23" t="s">
        <v>97</v>
      </c>
      <c r="AG2401" s="23" t="s">
        <v>12844</v>
      </c>
      <c r="AH2401" s="39">
        <v>45753</v>
      </c>
      <c r="AI2401" s="53" t="s">
        <v>13856</v>
      </c>
      <c r="BB2401" s="19" t="s">
        <v>13752</v>
      </c>
    </row>
    <row r="2402" spans="1:54" ht="48">
      <c r="A2402" s="75" t="s">
        <v>13670</v>
      </c>
      <c r="B2402" s="23" t="s">
        <v>13671</v>
      </c>
      <c r="C2402" s="140">
        <v>45739</v>
      </c>
      <c r="D2402" s="23" t="s">
        <v>729</v>
      </c>
      <c r="E2402" s="23" t="s">
        <v>752</v>
      </c>
      <c r="F2402" s="23" t="s">
        <v>12847</v>
      </c>
      <c r="G2402" s="23" t="s">
        <v>12867</v>
      </c>
      <c r="H2402" s="23" t="s">
        <v>13672</v>
      </c>
      <c r="I2402" s="23" t="s">
        <v>13672</v>
      </c>
      <c r="J2402" s="140">
        <v>45729</v>
      </c>
      <c r="P2402" s="23" t="s">
        <v>13665</v>
      </c>
      <c r="Q2402" s="140">
        <v>45753</v>
      </c>
      <c r="S2402" s="23" t="s">
        <v>300</v>
      </c>
      <c r="T2402" s="23" t="s">
        <v>12031</v>
      </c>
      <c r="U2402" s="23" t="s">
        <v>12031</v>
      </c>
      <c r="V2402" s="23" t="s">
        <v>233</v>
      </c>
      <c r="W2402" s="23" t="s">
        <v>13673</v>
      </c>
      <c r="X2402" s="23">
        <v>6920</v>
      </c>
      <c r="Y2402" s="23">
        <v>6920</v>
      </c>
      <c r="Z2402" s="23">
        <v>12280</v>
      </c>
      <c r="AB2402" s="23" t="s">
        <v>13674</v>
      </c>
      <c r="AC2402" s="23" t="s">
        <v>13675</v>
      </c>
      <c r="AD2402" s="23">
        <v>0</v>
      </c>
      <c r="AE2402" s="23">
        <v>1</v>
      </c>
      <c r="AF2402" s="23" t="s">
        <v>9622</v>
      </c>
      <c r="AG2402" s="23" t="s">
        <v>13676</v>
      </c>
      <c r="AH2402" s="39">
        <v>45752</v>
      </c>
      <c r="AI2402" s="53" t="s">
        <v>13552</v>
      </c>
      <c r="BB2402" s="19" t="s">
        <v>13751</v>
      </c>
    </row>
    <row r="2403" spans="1:54" ht="48">
      <c r="A2403" s="75" t="s">
        <v>13677</v>
      </c>
      <c r="B2403" s="23" t="s">
        <v>13678</v>
      </c>
      <c r="C2403" s="140">
        <v>45754</v>
      </c>
      <c r="D2403" s="23" t="s">
        <v>729</v>
      </c>
      <c r="E2403" s="23" t="s">
        <v>752</v>
      </c>
      <c r="F2403" s="23" t="s">
        <v>12847</v>
      </c>
      <c r="G2403" s="23" t="s">
        <v>12867</v>
      </c>
      <c r="H2403" s="23" t="s">
        <v>13679</v>
      </c>
      <c r="I2403" s="23" t="s">
        <v>13679</v>
      </c>
      <c r="J2403" s="140">
        <v>45733</v>
      </c>
      <c r="S2403" s="23" t="s">
        <v>300</v>
      </c>
      <c r="T2403" s="23" t="s">
        <v>12031</v>
      </c>
      <c r="U2403" s="23" t="s">
        <v>12031</v>
      </c>
      <c r="V2403" s="23" t="s">
        <v>233</v>
      </c>
      <c r="W2403" s="23" t="s">
        <v>13680</v>
      </c>
      <c r="X2403" s="23">
        <v>728</v>
      </c>
      <c r="Y2403" s="23">
        <v>840</v>
      </c>
      <c r="Z2403" s="37">
        <v>6500</v>
      </c>
      <c r="AB2403" s="23" t="s">
        <v>97</v>
      </c>
      <c r="AC2403" s="23" t="s">
        <v>13681</v>
      </c>
      <c r="AD2403" s="23">
        <v>0</v>
      </c>
      <c r="AE2403" s="23">
        <v>0</v>
      </c>
      <c r="AF2403" s="23" t="s">
        <v>97</v>
      </c>
      <c r="AG2403" s="23" t="s">
        <v>13682</v>
      </c>
      <c r="AH2403" s="39">
        <v>45752</v>
      </c>
      <c r="AI2403" s="53" t="s">
        <v>13791</v>
      </c>
      <c r="BB2403" s="19" t="s">
        <v>13830</v>
      </c>
    </row>
    <row r="2404" spans="1:54" ht="48">
      <c r="A2404" s="75" t="s">
        <v>13689</v>
      </c>
      <c r="B2404" s="23" t="s">
        <v>13691</v>
      </c>
      <c r="C2404" s="140">
        <v>45750</v>
      </c>
      <c r="D2404" s="23" t="s">
        <v>729</v>
      </c>
      <c r="E2404" s="23" t="s">
        <v>752</v>
      </c>
      <c r="F2404" s="23" t="s">
        <v>12847</v>
      </c>
      <c r="G2404" s="23" t="s">
        <v>12867</v>
      </c>
      <c r="H2404" s="23" t="s">
        <v>13693</v>
      </c>
      <c r="I2404" s="23" t="s">
        <v>13693</v>
      </c>
      <c r="J2404" s="140">
        <v>45746</v>
      </c>
      <c r="P2404" s="23" t="s">
        <v>13695</v>
      </c>
      <c r="Q2404" s="140">
        <v>45757</v>
      </c>
      <c r="S2404" s="23" t="s">
        <v>300</v>
      </c>
      <c r="T2404" s="23" t="s">
        <v>12031</v>
      </c>
      <c r="U2404" s="23" t="s">
        <v>12031</v>
      </c>
      <c r="V2404" s="23" t="s">
        <v>233</v>
      </c>
      <c r="W2404" s="23" t="s">
        <v>13696</v>
      </c>
      <c r="X2404" s="23">
        <v>42625</v>
      </c>
      <c r="Y2404" s="23">
        <v>44908</v>
      </c>
      <c r="Z2404" s="23">
        <v>609578</v>
      </c>
      <c r="AB2404" s="23" t="s">
        <v>13698</v>
      </c>
      <c r="AC2404" s="23" t="s">
        <v>13697</v>
      </c>
      <c r="AD2404" s="23">
        <v>0</v>
      </c>
      <c r="AE2404" s="23">
        <v>4</v>
      </c>
      <c r="AF2404" s="23" t="s">
        <v>9622</v>
      </c>
      <c r="AG2404" s="23" t="s">
        <v>12850</v>
      </c>
      <c r="AH2404" s="39">
        <v>45757</v>
      </c>
      <c r="AI2404" s="53" t="s">
        <v>13699</v>
      </c>
      <c r="BB2404" s="19" t="s">
        <v>13972</v>
      </c>
    </row>
    <row r="2405" spans="1:54">
      <c r="A2405" s="75" t="s">
        <v>13690</v>
      </c>
      <c r="B2405" s="23" t="s">
        <v>13692</v>
      </c>
      <c r="C2405" s="140">
        <v>45750</v>
      </c>
      <c r="D2405" s="23" t="s">
        <v>729</v>
      </c>
      <c r="E2405" s="23" t="s">
        <v>752</v>
      </c>
      <c r="F2405" s="23" t="s">
        <v>12847</v>
      </c>
      <c r="G2405" s="23" t="s">
        <v>12867</v>
      </c>
      <c r="H2405" s="23" t="s">
        <v>13694</v>
      </c>
      <c r="I2405" s="23" t="s">
        <v>13694</v>
      </c>
      <c r="J2405" s="140">
        <v>45746</v>
      </c>
      <c r="P2405" s="23" t="s">
        <v>13695</v>
      </c>
      <c r="Q2405" s="140">
        <v>45757</v>
      </c>
      <c r="S2405" s="23" t="s">
        <v>300</v>
      </c>
      <c r="T2405" s="23" t="s">
        <v>12031</v>
      </c>
      <c r="U2405" s="23" t="s">
        <v>12031</v>
      </c>
      <c r="V2405" s="23" t="s">
        <v>233</v>
      </c>
      <c r="W2405" s="23" t="s">
        <v>13743</v>
      </c>
      <c r="X2405" s="23">
        <v>250</v>
      </c>
      <c r="Y2405" s="23">
        <v>355</v>
      </c>
      <c r="Z2405" s="23">
        <v>17400</v>
      </c>
      <c r="AB2405" s="23" t="s">
        <v>13712</v>
      </c>
      <c r="AC2405" s="23" t="s">
        <v>1696</v>
      </c>
      <c r="AD2405" s="23">
        <v>0</v>
      </c>
      <c r="AE2405" s="23">
        <v>0</v>
      </c>
      <c r="AF2405" s="23" t="s">
        <v>97</v>
      </c>
      <c r="AG2405" s="23" t="s">
        <v>12850</v>
      </c>
      <c r="AH2405" s="39">
        <v>45757</v>
      </c>
      <c r="AI2405" s="53" t="s">
        <v>13742</v>
      </c>
    </row>
    <row r="2406" spans="1:54" ht="176">
      <c r="A2406" s="134" t="s">
        <v>13702</v>
      </c>
      <c r="B2406" s="23" t="s">
        <v>13703</v>
      </c>
      <c r="C2406" s="140">
        <v>45750</v>
      </c>
      <c r="D2406" s="23" t="s">
        <v>729</v>
      </c>
      <c r="E2406" s="23" t="s">
        <v>752</v>
      </c>
      <c r="F2406" s="23" t="s">
        <v>2200</v>
      </c>
      <c r="G2406" s="23" t="s">
        <v>301</v>
      </c>
      <c r="H2406" s="23">
        <v>20598188</v>
      </c>
      <c r="I2406" s="23">
        <v>20598188</v>
      </c>
      <c r="J2406" s="140">
        <v>45747</v>
      </c>
      <c r="K2406" s="23" t="s">
        <v>13706</v>
      </c>
      <c r="L2406" s="140">
        <v>45756</v>
      </c>
      <c r="S2406" s="23" t="s">
        <v>300</v>
      </c>
      <c r="T2406" s="23" t="s">
        <v>12031</v>
      </c>
      <c r="U2406" s="23" t="s">
        <v>12031</v>
      </c>
      <c r="V2406" s="23" t="s">
        <v>299</v>
      </c>
      <c r="W2406" s="23" t="s">
        <v>12503</v>
      </c>
      <c r="X2406" s="23">
        <v>46170</v>
      </c>
      <c r="Y2406" s="23">
        <v>46170</v>
      </c>
      <c r="AB2406" s="19" t="s">
        <v>13741</v>
      </c>
      <c r="AC2406" s="23">
        <v>30</v>
      </c>
      <c r="AD2406" s="23">
        <v>0</v>
      </c>
      <c r="AE2406" s="23">
        <v>10</v>
      </c>
      <c r="AF2406" s="23" t="s">
        <v>9622</v>
      </c>
      <c r="AG2406" s="23" t="s">
        <v>1553</v>
      </c>
      <c r="AH2406" s="39">
        <v>45757</v>
      </c>
      <c r="AI2406" s="53" t="s">
        <v>5851</v>
      </c>
    </row>
    <row r="2407" spans="1:54" ht="48">
      <c r="A2407" s="75" t="s">
        <v>13713</v>
      </c>
      <c r="B2407" s="23" t="s">
        <v>13715</v>
      </c>
      <c r="C2407" s="140">
        <v>45765</v>
      </c>
      <c r="D2407" s="23" t="s">
        <v>729</v>
      </c>
      <c r="E2407" s="23" t="s">
        <v>2861</v>
      </c>
      <c r="F2407" s="23" t="s">
        <v>13558</v>
      </c>
      <c r="G2407" s="23" t="s">
        <v>13567</v>
      </c>
      <c r="H2407" s="23" t="s">
        <v>13721</v>
      </c>
      <c r="I2407" s="23" t="s">
        <v>13721</v>
      </c>
      <c r="J2407" s="140">
        <v>45756</v>
      </c>
      <c r="O2407" s="23" t="s">
        <v>13735</v>
      </c>
      <c r="P2407" s="23" t="s">
        <v>13736</v>
      </c>
      <c r="Q2407" s="140">
        <v>45769</v>
      </c>
      <c r="S2407" s="23" t="s">
        <v>184</v>
      </c>
      <c r="T2407" s="23" t="s">
        <v>12326</v>
      </c>
      <c r="U2407" s="23" t="s">
        <v>12326</v>
      </c>
      <c r="V2407" s="23" t="s">
        <v>233</v>
      </c>
      <c r="W2407" s="23" t="s">
        <v>13716</v>
      </c>
      <c r="X2407" s="38">
        <v>10264</v>
      </c>
      <c r="Y2407" s="38">
        <v>10464</v>
      </c>
      <c r="Z2407" s="38">
        <v>104950</v>
      </c>
      <c r="AB2407" s="23" t="s">
        <v>97</v>
      </c>
      <c r="AC2407" s="23" t="s">
        <v>13722</v>
      </c>
      <c r="AD2407" s="23">
        <v>0</v>
      </c>
      <c r="AE2407" s="23">
        <v>0</v>
      </c>
      <c r="AF2407" s="23" t="s">
        <v>97</v>
      </c>
      <c r="AG2407" s="23" t="s">
        <v>13717</v>
      </c>
      <c r="AH2407" s="39">
        <v>45765</v>
      </c>
      <c r="AI2407" s="53" t="s">
        <v>13744</v>
      </c>
      <c r="BB2407" s="19" t="s">
        <v>13820</v>
      </c>
    </row>
    <row r="2408" spans="1:54" ht="48">
      <c r="A2408" s="75" t="s">
        <v>13714</v>
      </c>
      <c r="B2408" s="23" t="s">
        <v>13715</v>
      </c>
      <c r="C2408" s="140">
        <v>45765</v>
      </c>
      <c r="D2408" s="23" t="s">
        <v>729</v>
      </c>
      <c r="E2408" s="23" t="s">
        <v>13715</v>
      </c>
      <c r="F2408" s="23" t="s">
        <v>13558</v>
      </c>
      <c r="G2408" s="23" t="s">
        <v>13567</v>
      </c>
      <c r="H2408" s="23" t="s">
        <v>13723</v>
      </c>
      <c r="I2408" s="23" t="s">
        <v>13723</v>
      </c>
      <c r="J2408" s="140">
        <v>45756</v>
      </c>
      <c r="O2408" s="23" t="s">
        <v>13733</v>
      </c>
      <c r="P2408" s="201" t="s">
        <v>13734</v>
      </c>
      <c r="Q2408" s="140">
        <v>45769</v>
      </c>
      <c r="S2408" s="23" t="s">
        <v>184</v>
      </c>
      <c r="T2408" s="23" t="s">
        <v>12326</v>
      </c>
      <c r="U2408" s="23" t="s">
        <v>12326</v>
      </c>
      <c r="V2408" s="23" t="s">
        <v>233</v>
      </c>
      <c r="W2408" s="23" t="s">
        <v>13716</v>
      </c>
      <c r="X2408" s="38">
        <v>37192</v>
      </c>
      <c r="Y2408" s="38">
        <v>40433</v>
      </c>
      <c r="Z2408" s="38">
        <v>440050</v>
      </c>
      <c r="AB2408" s="23" t="s">
        <v>13724</v>
      </c>
      <c r="AC2408" s="23" t="s">
        <v>13725</v>
      </c>
      <c r="AD2408" s="23">
        <v>0</v>
      </c>
      <c r="AE2408" s="23">
        <v>5</v>
      </c>
      <c r="AF2408" s="23" t="s">
        <v>9622</v>
      </c>
      <c r="AG2408" s="23" t="s">
        <v>13717</v>
      </c>
      <c r="AH2408" s="39">
        <v>45765</v>
      </c>
      <c r="AI2408" s="53" t="s">
        <v>13744</v>
      </c>
      <c r="BB2408" s="19" t="s">
        <v>13949</v>
      </c>
    </row>
    <row r="2409" spans="1:54" ht="48">
      <c r="A2409" s="75" t="s">
        <v>13720</v>
      </c>
      <c r="B2409" s="23" t="s">
        <v>13718</v>
      </c>
      <c r="C2409" s="140">
        <v>45765</v>
      </c>
      <c r="D2409" s="23" t="s">
        <v>729</v>
      </c>
      <c r="E2409" s="23" t="s">
        <v>2861</v>
      </c>
      <c r="F2409" s="23" t="s">
        <v>13558</v>
      </c>
      <c r="G2409" s="23" t="s">
        <v>13567</v>
      </c>
      <c r="H2409" s="23" t="s">
        <v>13719</v>
      </c>
      <c r="I2409" s="23" t="s">
        <v>13719</v>
      </c>
      <c r="J2409" s="140">
        <v>45756</v>
      </c>
      <c r="Q2409" s="140">
        <v>45770</v>
      </c>
      <c r="S2409" s="23" t="s">
        <v>184</v>
      </c>
      <c r="T2409" s="23" t="s">
        <v>12326</v>
      </c>
      <c r="U2409" s="23" t="s">
        <v>12326</v>
      </c>
      <c r="V2409" s="23" t="s">
        <v>233</v>
      </c>
      <c r="W2409" s="23" t="s">
        <v>13716</v>
      </c>
      <c r="X2409" s="38">
        <v>7550</v>
      </c>
      <c r="Y2409" s="38">
        <v>7740</v>
      </c>
      <c r="Z2409" s="38">
        <v>185000</v>
      </c>
      <c r="AB2409" s="23" t="s">
        <v>97</v>
      </c>
      <c r="AC2409" s="23" t="s">
        <v>13287</v>
      </c>
      <c r="AD2409" s="23">
        <v>0</v>
      </c>
      <c r="AE2409" s="23">
        <v>0</v>
      </c>
      <c r="AF2409" s="23" t="s">
        <v>97</v>
      </c>
      <c r="AG2409" s="23" t="s">
        <v>13717</v>
      </c>
      <c r="AH2409" s="39">
        <v>45765</v>
      </c>
      <c r="AI2409" s="53" t="s">
        <v>13790</v>
      </c>
      <c r="BB2409" s="19" t="s">
        <v>13814</v>
      </c>
    </row>
    <row r="2410" spans="1:54">
      <c r="A2410" s="167" t="s">
        <v>13732</v>
      </c>
      <c r="B2410" s="23" t="s">
        <v>13727</v>
      </c>
      <c r="C2410" s="140">
        <v>45749</v>
      </c>
      <c r="D2410" s="23" t="s">
        <v>729</v>
      </c>
      <c r="E2410" s="23" t="s">
        <v>752</v>
      </c>
      <c r="F2410" s="23" t="s">
        <v>2200</v>
      </c>
      <c r="G2410" s="23" t="s">
        <v>301</v>
      </c>
      <c r="H2410" s="23" t="s">
        <v>13728</v>
      </c>
      <c r="I2410" s="23" t="s">
        <v>13728</v>
      </c>
      <c r="J2410" s="140">
        <v>45747</v>
      </c>
      <c r="K2410" s="27" t="s">
        <v>13729</v>
      </c>
      <c r="L2410" s="140">
        <v>45757</v>
      </c>
      <c r="O2410" s="23" t="s">
        <v>13750</v>
      </c>
      <c r="P2410" s="23" t="s">
        <v>13749</v>
      </c>
      <c r="Q2410" s="140">
        <v>45766</v>
      </c>
      <c r="S2410" s="23" t="s">
        <v>300</v>
      </c>
      <c r="T2410" s="23" t="s">
        <v>305</v>
      </c>
      <c r="U2410" s="23" t="s">
        <v>305</v>
      </c>
      <c r="V2410" s="23" t="s">
        <v>299</v>
      </c>
      <c r="W2410" s="23" t="s">
        <v>13730</v>
      </c>
      <c r="X2410" s="38"/>
      <c r="Y2410" s="23">
        <v>4120</v>
      </c>
      <c r="Z2410" s="23">
        <v>316000</v>
      </c>
      <c r="AB2410" s="59" t="s">
        <v>13731</v>
      </c>
      <c r="AC2410" s="23">
        <v>2</v>
      </c>
      <c r="AD2410" s="23">
        <v>0</v>
      </c>
      <c r="AE2410" s="23">
        <v>1</v>
      </c>
      <c r="AF2410" s="23" t="s">
        <v>9622</v>
      </c>
      <c r="AG2410" s="23" t="s">
        <v>12288</v>
      </c>
      <c r="AH2410" s="39">
        <v>45768</v>
      </c>
      <c r="AI2410" s="53" t="s">
        <v>5852</v>
      </c>
    </row>
    <row r="2411" spans="1:54" ht="48">
      <c r="A2411" s="75" t="s">
        <v>13737</v>
      </c>
      <c r="B2411" s="23" t="s">
        <v>13784</v>
      </c>
      <c r="C2411" s="140">
        <v>45761</v>
      </c>
      <c r="D2411" s="23" t="s">
        <v>729</v>
      </c>
      <c r="E2411" s="23" t="s">
        <v>752</v>
      </c>
      <c r="F2411" s="23" t="s">
        <v>12847</v>
      </c>
      <c r="G2411" s="23" t="s">
        <v>12867</v>
      </c>
      <c r="H2411" s="23" t="s">
        <v>13785</v>
      </c>
      <c r="I2411" s="23" t="s">
        <v>13785</v>
      </c>
      <c r="J2411" s="140">
        <v>45754</v>
      </c>
      <c r="P2411" s="23" t="s">
        <v>13838</v>
      </c>
      <c r="Q2411" s="140">
        <v>45770</v>
      </c>
      <c r="S2411" s="23" t="s">
        <v>300</v>
      </c>
      <c r="T2411" s="23" t="s">
        <v>12031</v>
      </c>
      <c r="U2411" s="23" t="s">
        <v>12031</v>
      </c>
      <c r="V2411" s="23" t="s">
        <v>233</v>
      </c>
      <c r="W2411" s="23" t="s">
        <v>13786</v>
      </c>
      <c r="X2411" s="23">
        <v>7360</v>
      </c>
      <c r="Y2411" s="23">
        <v>7540</v>
      </c>
      <c r="Z2411" s="23">
        <v>65400</v>
      </c>
      <c r="AB2411" s="23" t="s">
        <v>13787</v>
      </c>
      <c r="AC2411" s="23" t="s">
        <v>13788</v>
      </c>
      <c r="AD2411" s="23">
        <v>0</v>
      </c>
      <c r="AE2411" s="23">
        <v>1</v>
      </c>
      <c r="AF2411" s="23" t="s">
        <v>9622</v>
      </c>
      <c r="AG2411" s="23" t="s">
        <v>13607</v>
      </c>
      <c r="AH2411" s="39">
        <v>45768</v>
      </c>
      <c r="AI2411" s="53" t="s">
        <v>13789</v>
      </c>
      <c r="BB2411" s="19" t="s">
        <v>13971</v>
      </c>
    </row>
    <row r="2412" spans="1:54" ht="32">
      <c r="A2412" s="75" t="s">
        <v>13745</v>
      </c>
      <c r="B2412" s="23" t="s">
        <v>13746</v>
      </c>
      <c r="C2412" s="140">
        <v>45762</v>
      </c>
      <c r="D2412" s="23" t="s">
        <v>729</v>
      </c>
      <c r="E2412" s="23" t="s">
        <v>752</v>
      </c>
      <c r="F2412" s="23" t="s">
        <v>10928</v>
      </c>
      <c r="G2412" s="23" t="s">
        <v>3469</v>
      </c>
      <c r="H2412" s="23" t="s">
        <v>13747</v>
      </c>
      <c r="I2412" s="23" t="s">
        <v>13747</v>
      </c>
      <c r="J2412" s="140">
        <v>45740</v>
      </c>
      <c r="T2412" s="23" t="s">
        <v>12031</v>
      </c>
      <c r="U2412" s="23" t="s">
        <v>12031</v>
      </c>
      <c r="V2412" s="23" t="s">
        <v>298</v>
      </c>
      <c r="W2412" s="29" t="s">
        <v>13748</v>
      </c>
      <c r="Y2412" s="23">
        <v>551600</v>
      </c>
      <c r="Z2412" s="23">
        <v>1113600</v>
      </c>
      <c r="AB2412" s="23" t="s">
        <v>97</v>
      </c>
      <c r="AC2412" s="23">
        <v>35</v>
      </c>
      <c r="AD2412" s="23">
        <v>0</v>
      </c>
      <c r="AE2412" s="23">
        <v>0</v>
      </c>
      <c r="AF2412" s="23" t="s">
        <v>97</v>
      </c>
      <c r="AG2412" s="23" t="s">
        <v>8497</v>
      </c>
      <c r="AH2412" s="39">
        <v>45770</v>
      </c>
    </row>
    <row r="2413" spans="1:54" ht="80">
      <c r="A2413" s="75" t="s">
        <v>13757</v>
      </c>
      <c r="B2413" s="23" t="s">
        <v>13776</v>
      </c>
      <c r="C2413" s="140">
        <v>45763</v>
      </c>
      <c r="D2413" s="23" t="s">
        <v>729</v>
      </c>
      <c r="E2413" s="23" t="s">
        <v>752</v>
      </c>
      <c r="F2413" s="23" t="s">
        <v>12847</v>
      </c>
      <c r="G2413" s="23" t="s">
        <v>12867</v>
      </c>
      <c r="H2413" s="23" t="s">
        <v>13777</v>
      </c>
      <c r="I2413" s="23" t="s">
        <v>13777</v>
      </c>
      <c r="J2413" s="140">
        <v>45751</v>
      </c>
      <c r="Q2413" s="140">
        <v>45770</v>
      </c>
      <c r="S2413" s="23" t="s">
        <v>300</v>
      </c>
      <c r="T2413" s="23" t="s">
        <v>12031</v>
      </c>
      <c r="U2413" s="23" t="s">
        <v>12031</v>
      </c>
      <c r="V2413" s="23" t="s">
        <v>233</v>
      </c>
      <c r="W2413" s="23" t="s">
        <v>13778</v>
      </c>
      <c r="X2413" s="23">
        <v>580</v>
      </c>
      <c r="Y2413" s="23">
        <v>600</v>
      </c>
      <c r="Z2413" s="38">
        <v>11700</v>
      </c>
      <c r="AB2413" s="23" t="s">
        <v>97</v>
      </c>
      <c r="AC2413" s="23" t="s">
        <v>13779</v>
      </c>
      <c r="AD2413" s="23">
        <v>0</v>
      </c>
      <c r="AE2413" s="23">
        <v>0</v>
      </c>
      <c r="AF2413" s="23" t="s">
        <v>97</v>
      </c>
      <c r="AG2413" s="23" t="s">
        <v>13780</v>
      </c>
      <c r="AH2413" s="39">
        <v>45770</v>
      </c>
      <c r="AI2413" s="53" t="s">
        <v>13795</v>
      </c>
      <c r="BB2413" s="29" t="s">
        <v>14049</v>
      </c>
    </row>
    <row r="2414" spans="1:54" ht="48">
      <c r="A2414" s="75" t="s">
        <v>13758</v>
      </c>
      <c r="B2414" s="23" t="s">
        <v>13759</v>
      </c>
      <c r="C2414" s="140">
        <v>45769</v>
      </c>
      <c r="D2414" s="23" t="s">
        <v>729</v>
      </c>
      <c r="E2414" s="23" t="s">
        <v>752</v>
      </c>
      <c r="F2414" s="23" t="s">
        <v>12847</v>
      </c>
      <c r="G2414" s="23" t="s">
        <v>12867</v>
      </c>
      <c r="H2414" s="23" t="s">
        <v>13760</v>
      </c>
      <c r="I2414" s="23" t="s">
        <v>13760</v>
      </c>
      <c r="J2414" s="140">
        <v>45764</v>
      </c>
      <c r="Q2414" s="140">
        <v>45787</v>
      </c>
      <c r="S2414" s="23" t="s">
        <v>300</v>
      </c>
      <c r="T2414" s="23" t="s">
        <v>12031</v>
      </c>
      <c r="U2414" s="23" t="s">
        <v>12031</v>
      </c>
      <c r="V2414" s="23" t="s">
        <v>233</v>
      </c>
      <c r="W2414" s="23" t="s">
        <v>13761</v>
      </c>
      <c r="X2414" s="23">
        <v>4600</v>
      </c>
      <c r="Y2414" s="23">
        <v>4700</v>
      </c>
      <c r="Z2414" s="23">
        <v>28000.06</v>
      </c>
      <c r="AB2414" s="23" t="s">
        <v>97</v>
      </c>
      <c r="AC2414" s="23" t="s">
        <v>13762</v>
      </c>
      <c r="AD2414" s="23">
        <v>0</v>
      </c>
      <c r="AE2414" s="23">
        <v>0</v>
      </c>
      <c r="AF2414" s="23" t="s">
        <v>97</v>
      </c>
      <c r="AG2414" s="23" t="s">
        <v>13763</v>
      </c>
      <c r="AH2414" s="39">
        <v>45774</v>
      </c>
      <c r="AI2414" s="53" t="s">
        <v>13796</v>
      </c>
      <c r="BB2414" s="19" t="s">
        <v>14036</v>
      </c>
    </row>
    <row r="2415" spans="1:54">
      <c r="A2415" s="75" t="s">
        <v>13764</v>
      </c>
      <c r="B2415" s="23" t="s">
        <v>13771</v>
      </c>
      <c r="C2415" s="140">
        <v>45759</v>
      </c>
      <c r="D2415" s="23" t="s">
        <v>729</v>
      </c>
      <c r="E2415" s="23" t="s">
        <v>752</v>
      </c>
      <c r="F2415" s="23" t="s">
        <v>13558</v>
      </c>
      <c r="G2415" s="23" t="s">
        <v>13567</v>
      </c>
      <c r="H2415" s="23" t="s">
        <v>13772</v>
      </c>
      <c r="I2415" s="23" t="s">
        <v>13772</v>
      </c>
      <c r="J2415" s="140">
        <v>45757</v>
      </c>
      <c r="O2415" s="23" t="s">
        <v>13836</v>
      </c>
      <c r="P2415" s="23" t="s">
        <v>13837</v>
      </c>
      <c r="Q2415" s="140">
        <v>45776</v>
      </c>
      <c r="S2415" s="23" t="s">
        <v>2524</v>
      </c>
      <c r="T2415" s="23" t="s">
        <v>305</v>
      </c>
      <c r="U2415" s="23" t="s">
        <v>305</v>
      </c>
      <c r="V2415" s="23" t="s">
        <v>233</v>
      </c>
      <c r="W2415" s="23" t="s">
        <v>13773</v>
      </c>
      <c r="X2415" s="38">
        <v>11100</v>
      </c>
      <c r="Y2415" s="38">
        <v>12305</v>
      </c>
      <c r="Z2415" s="38">
        <v>129000</v>
      </c>
      <c r="AB2415" s="23" t="s">
        <v>13774</v>
      </c>
      <c r="AC2415" s="23" t="s">
        <v>5227</v>
      </c>
      <c r="AD2415" s="23">
        <v>0</v>
      </c>
      <c r="AE2415" s="23">
        <v>2</v>
      </c>
      <c r="AF2415" s="23" t="s">
        <v>9622</v>
      </c>
      <c r="AG2415" s="23" t="s">
        <v>13775</v>
      </c>
      <c r="AH2415" s="39">
        <v>45774</v>
      </c>
      <c r="AI2415" s="53" t="s">
        <v>13699</v>
      </c>
    </row>
    <row r="2416" spans="1:54">
      <c r="A2416" s="75" t="s">
        <v>13770</v>
      </c>
      <c r="B2416" s="23">
        <v>252453901</v>
      </c>
      <c r="C2416" s="140">
        <v>45777</v>
      </c>
      <c r="D2416" s="23" t="s">
        <v>729</v>
      </c>
      <c r="E2416" s="23" t="s">
        <v>752</v>
      </c>
      <c r="F2416" s="23" t="s">
        <v>13558</v>
      </c>
      <c r="G2416" s="23" t="s">
        <v>13567</v>
      </c>
      <c r="H2416" s="23" t="s">
        <v>13765</v>
      </c>
      <c r="I2416" s="23" t="s">
        <v>13765</v>
      </c>
      <c r="J2416" s="140">
        <v>45727</v>
      </c>
      <c r="O2416" s="23" t="s">
        <v>13916</v>
      </c>
      <c r="P2416" s="23" t="s">
        <v>13929</v>
      </c>
      <c r="Q2416" s="140">
        <v>45789</v>
      </c>
      <c r="S2416" s="23" t="s">
        <v>184</v>
      </c>
      <c r="T2416" s="23" t="s">
        <v>305</v>
      </c>
      <c r="U2416" s="23" t="s">
        <v>305</v>
      </c>
      <c r="V2416" s="23" t="s">
        <v>233</v>
      </c>
      <c r="W2416" s="23" t="s">
        <v>13766</v>
      </c>
      <c r="X2416" s="23">
        <v>12519</v>
      </c>
      <c r="Y2416" s="23">
        <v>12608</v>
      </c>
      <c r="Z2416" s="23">
        <v>47640</v>
      </c>
      <c r="AB2416" s="23" t="s">
        <v>13767</v>
      </c>
      <c r="AC2416" s="23" t="s">
        <v>13768</v>
      </c>
      <c r="AD2416" s="23">
        <v>0</v>
      </c>
      <c r="AE2416" s="23">
        <v>1</v>
      </c>
      <c r="AF2416" s="23" t="s">
        <v>9622</v>
      </c>
      <c r="AG2416" s="23" t="s">
        <v>13769</v>
      </c>
      <c r="AH2416" s="39">
        <v>45774</v>
      </c>
      <c r="AI2416" s="53" t="s">
        <v>13699</v>
      </c>
    </row>
    <row r="2417" spans="1:54" ht="48">
      <c r="A2417" s="75" t="s">
        <v>13781</v>
      </c>
      <c r="B2417" s="23" t="s">
        <v>13798</v>
      </c>
      <c r="C2417" s="140">
        <v>45778</v>
      </c>
      <c r="D2417" s="23" t="s">
        <v>729</v>
      </c>
      <c r="E2417" s="23" t="s">
        <v>2861</v>
      </c>
      <c r="F2417" s="23" t="s">
        <v>13558</v>
      </c>
      <c r="G2417" s="23" t="s">
        <v>13567</v>
      </c>
      <c r="H2417" s="23" t="s">
        <v>13792</v>
      </c>
      <c r="I2417" s="23" t="s">
        <v>13792</v>
      </c>
      <c r="J2417" s="140">
        <v>45757</v>
      </c>
      <c r="O2417" s="23" t="s">
        <v>13869</v>
      </c>
      <c r="P2417" s="23" t="s">
        <v>13870</v>
      </c>
      <c r="Q2417" s="140">
        <v>45784</v>
      </c>
      <c r="S2417" s="23" t="s">
        <v>184</v>
      </c>
      <c r="T2417" s="23" t="s">
        <v>12326</v>
      </c>
      <c r="U2417" s="23" t="s">
        <v>12326</v>
      </c>
      <c r="V2417" s="23" t="s">
        <v>233</v>
      </c>
      <c r="W2417" s="23" t="s">
        <v>13793</v>
      </c>
      <c r="X2417" s="202">
        <v>33390</v>
      </c>
      <c r="Y2417" s="23">
        <v>34836</v>
      </c>
      <c r="Z2417" s="23">
        <v>511000</v>
      </c>
      <c r="AB2417" s="23" t="s">
        <v>97</v>
      </c>
      <c r="AC2417" s="23" t="s">
        <v>939</v>
      </c>
      <c r="AD2417" s="23">
        <v>0</v>
      </c>
      <c r="AE2417" s="23">
        <v>0</v>
      </c>
      <c r="AF2417" s="23" t="s">
        <v>97</v>
      </c>
      <c r="AG2417" s="23" t="s">
        <v>13775</v>
      </c>
      <c r="AH2417" s="39">
        <v>45774</v>
      </c>
      <c r="AI2417" s="53" t="s">
        <v>13699</v>
      </c>
      <c r="BB2417" s="19" t="s">
        <v>13948</v>
      </c>
    </row>
    <row r="2418" spans="1:54">
      <c r="A2418" s="75" t="s">
        <v>13782</v>
      </c>
      <c r="B2418" s="23" t="s">
        <v>13918</v>
      </c>
      <c r="C2418" s="140">
        <v>45776</v>
      </c>
      <c r="D2418" s="23" t="s">
        <v>729</v>
      </c>
      <c r="E2418" s="23" t="s">
        <v>752</v>
      </c>
      <c r="F2418" s="23" t="s">
        <v>12533</v>
      </c>
      <c r="G2418" s="23" t="s">
        <v>57</v>
      </c>
      <c r="H2418" s="23" t="s">
        <v>13919</v>
      </c>
      <c r="I2418" s="23" t="s">
        <v>13919</v>
      </c>
      <c r="J2418" s="140">
        <v>45771</v>
      </c>
      <c r="K2418" s="23" t="s">
        <v>13922</v>
      </c>
      <c r="L2418" s="140">
        <v>45786</v>
      </c>
      <c r="O2418" s="23" t="s">
        <v>13930</v>
      </c>
      <c r="P2418" s="23" t="s">
        <v>13920</v>
      </c>
      <c r="Q2418" s="140">
        <v>45789</v>
      </c>
      <c r="S2418" s="23" t="s">
        <v>183</v>
      </c>
      <c r="T2418" s="23" t="s">
        <v>305</v>
      </c>
      <c r="U2418" s="23" t="s">
        <v>305</v>
      </c>
      <c r="V2418" s="23" t="s">
        <v>233</v>
      </c>
      <c r="W2418" s="23" t="s">
        <v>112</v>
      </c>
      <c r="X2418" s="123">
        <v>35730.800000000003</v>
      </c>
      <c r="Y2418" s="123">
        <v>35949.1</v>
      </c>
      <c r="Z2418" s="37">
        <v>31472.53</v>
      </c>
      <c r="AB2418" s="23" t="s">
        <v>13928</v>
      </c>
      <c r="AC2418" s="23" t="s">
        <v>6164</v>
      </c>
      <c r="AD2418" s="23">
        <v>0</v>
      </c>
      <c r="AE2418" s="23">
        <v>2</v>
      </c>
      <c r="AF2418" s="23" t="s">
        <v>9622</v>
      </c>
      <c r="AG2418" s="23" t="s">
        <v>792</v>
      </c>
      <c r="AH2418" s="39">
        <v>45789</v>
      </c>
    </row>
    <row r="2419" spans="1:54" ht="48">
      <c r="A2419" s="75" t="s">
        <v>13783</v>
      </c>
      <c r="B2419" s="23" t="s">
        <v>13923</v>
      </c>
      <c r="C2419" s="140">
        <v>45793</v>
      </c>
      <c r="D2419" s="23" t="s">
        <v>729</v>
      </c>
      <c r="E2419" s="23" t="s">
        <v>2861</v>
      </c>
      <c r="F2419" s="23" t="s">
        <v>12847</v>
      </c>
      <c r="G2419" s="23" t="s">
        <v>12867</v>
      </c>
      <c r="H2419" s="23" t="s">
        <v>13924</v>
      </c>
      <c r="I2419" s="23" t="s">
        <v>13924</v>
      </c>
      <c r="J2419" s="140">
        <v>45793</v>
      </c>
      <c r="Q2419" s="140">
        <v>45796</v>
      </c>
      <c r="S2419" s="23" t="s">
        <v>184</v>
      </c>
      <c r="T2419" s="23" t="s">
        <v>12326</v>
      </c>
      <c r="U2419" s="23" t="s">
        <v>12326</v>
      </c>
      <c r="V2419" s="23" t="s">
        <v>233</v>
      </c>
      <c r="W2419" s="19" t="s">
        <v>13925</v>
      </c>
      <c r="X2419" s="38">
        <v>850</v>
      </c>
      <c r="Y2419" s="38">
        <v>1120</v>
      </c>
      <c r="Z2419" s="37">
        <v>29900</v>
      </c>
      <c r="AB2419" s="23" t="s">
        <v>97</v>
      </c>
      <c r="AC2419" s="23" t="s">
        <v>13926</v>
      </c>
      <c r="AD2419" s="23">
        <v>0</v>
      </c>
      <c r="AE2419" s="23">
        <v>0</v>
      </c>
      <c r="AF2419" s="23" t="s">
        <v>97</v>
      </c>
      <c r="AG2419" s="23" t="s">
        <v>13927</v>
      </c>
      <c r="AH2419" s="39">
        <v>45792</v>
      </c>
      <c r="AI2419" s="53" t="s">
        <v>13946</v>
      </c>
      <c r="BB2419" s="19" t="s">
        <v>14038</v>
      </c>
    </row>
    <row r="2420" spans="1:54" ht="256">
      <c r="A2420" s="167" t="s">
        <v>13799</v>
      </c>
      <c r="B2420" s="23" t="s">
        <v>13800</v>
      </c>
      <c r="C2420" s="140">
        <v>45770</v>
      </c>
      <c r="D2420" s="23" t="s">
        <v>729</v>
      </c>
      <c r="E2420" s="23" t="s">
        <v>752</v>
      </c>
      <c r="F2420" s="23" t="s">
        <v>2200</v>
      </c>
      <c r="G2420" s="23" t="s">
        <v>301</v>
      </c>
      <c r="H2420" s="23">
        <v>20602186</v>
      </c>
      <c r="I2420" s="23">
        <v>20602186</v>
      </c>
      <c r="J2420" s="140">
        <v>45769</v>
      </c>
      <c r="K2420" s="23" t="s">
        <v>13801</v>
      </c>
      <c r="L2420" s="140">
        <v>45774</v>
      </c>
      <c r="T2420" s="23" t="s">
        <v>12031</v>
      </c>
      <c r="U2420" s="23" t="s">
        <v>12031</v>
      </c>
      <c r="V2420" s="23" t="s">
        <v>299</v>
      </c>
      <c r="W2420" s="23" t="s">
        <v>13802</v>
      </c>
      <c r="Y2420" s="23">
        <v>59310</v>
      </c>
      <c r="Z2420" s="23">
        <v>405000</v>
      </c>
      <c r="AB2420" s="60" t="s">
        <v>13803</v>
      </c>
      <c r="AC2420" s="23">
        <v>45</v>
      </c>
      <c r="AD2420" s="23">
        <v>0</v>
      </c>
      <c r="AE2420" s="23">
        <v>15</v>
      </c>
      <c r="AF2420" s="23" t="s">
        <v>9622</v>
      </c>
      <c r="AG2420" s="23" t="s">
        <v>659</v>
      </c>
      <c r="AH2420" s="39">
        <v>45775</v>
      </c>
      <c r="AI2420" s="53" t="s">
        <v>5851</v>
      </c>
    </row>
    <row r="2421" spans="1:54">
      <c r="A2421" s="167" t="s">
        <v>13804</v>
      </c>
      <c r="B2421" s="23" t="s">
        <v>13805</v>
      </c>
      <c r="C2421" s="140">
        <v>45765</v>
      </c>
      <c r="D2421" s="23" t="s">
        <v>729</v>
      </c>
      <c r="E2421" s="23" t="s">
        <v>752</v>
      </c>
      <c r="F2421" s="23" t="s">
        <v>2200</v>
      </c>
      <c r="G2421" s="23" t="s">
        <v>301</v>
      </c>
      <c r="H2421" s="23">
        <v>20600699</v>
      </c>
      <c r="I2421" s="23">
        <v>20600699</v>
      </c>
      <c r="J2421" s="140">
        <v>45762</v>
      </c>
      <c r="K2421" s="23" t="s">
        <v>13806</v>
      </c>
      <c r="L2421" s="140">
        <v>45768</v>
      </c>
      <c r="O2421" s="23" t="s">
        <v>13843</v>
      </c>
      <c r="P2421" s="23" t="s">
        <v>13842</v>
      </c>
      <c r="Q2421" s="140">
        <v>45780</v>
      </c>
      <c r="T2421" s="23" t="s">
        <v>305</v>
      </c>
      <c r="U2421" s="23" t="s">
        <v>305</v>
      </c>
      <c r="V2421" s="23" t="s">
        <v>299</v>
      </c>
      <c r="W2421" s="23" t="s">
        <v>13500</v>
      </c>
      <c r="Y2421" s="23">
        <v>19770</v>
      </c>
      <c r="Z2421" s="23">
        <v>175500</v>
      </c>
      <c r="AB2421" s="23" t="s">
        <v>13952</v>
      </c>
      <c r="AC2421" s="23">
        <v>15</v>
      </c>
      <c r="AD2421" s="23">
        <v>0</v>
      </c>
      <c r="AE2421" s="23">
        <v>5</v>
      </c>
      <c r="AF2421" s="23" t="s">
        <v>9622</v>
      </c>
      <c r="AG2421" s="23" t="s">
        <v>659</v>
      </c>
      <c r="AH2421" s="39">
        <v>45775</v>
      </c>
      <c r="AI2421" s="53" t="s">
        <v>5851</v>
      </c>
    </row>
    <row r="2422" spans="1:54">
      <c r="A2422" s="167" t="s">
        <v>13807</v>
      </c>
      <c r="B2422" s="23" t="s">
        <v>13808</v>
      </c>
      <c r="C2422" s="140">
        <v>45765</v>
      </c>
      <c r="D2422" s="23" t="s">
        <v>729</v>
      </c>
      <c r="E2422" s="23" t="s">
        <v>752</v>
      </c>
      <c r="F2422" s="23" t="s">
        <v>2200</v>
      </c>
      <c r="G2422" s="23" t="s">
        <v>301</v>
      </c>
      <c r="H2422" s="23">
        <v>20600700</v>
      </c>
      <c r="I2422" s="23">
        <v>20600700</v>
      </c>
      <c r="J2422" s="140">
        <v>45762</v>
      </c>
      <c r="K2422" s="23" t="s">
        <v>13809</v>
      </c>
      <c r="L2422" s="140">
        <v>45769</v>
      </c>
      <c r="O2422" s="23" t="s">
        <v>13843</v>
      </c>
      <c r="P2422" s="23" t="s">
        <v>13842</v>
      </c>
      <c r="Q2422" s="140">
        <v>45780</v>
      </c>
      <c r="T2422" s="23" t="s">
        <v>305</v>
      </c>
      <c r="U2422" s="23" t="s">
        <v>305</v>
      </c>
      <c r="V2422" s="23" t="s">
        <v>299</v>
      </c>
      <c r="W2422" s="23" t="s">
        <v>13810</v>
      </c>
      <c r="Y2422" s="23">
        <v>18160</v>
      </c>
      <c r="Z2422" s="23">
        <v>110800</v>
      </c>
      <c r="AB2422" s="23" t="s">
        <v>13951</v>
      </c>
      <c r="AC2422" s="23">
        <v>8</v>
      </c>
      <c r="AD2422" s="23">
        <v>0</v>
      </c>
      <c r="AE2422" s="23">
        <v>4</v>
      </c>
      <c r="AF2422" s="23" t="s">
        <v>9622</v>
      </c>
      <c r="AG2422" s="23" t="s">
        <v>659</v>
      </c>
      <c r="AH2422" s="39">
        <v>45775</v>
      </c>
      <c r="AI2422" s="53" t="s">
        <v>5851</v>
      </c>
    </row>
    <row r="2423" spans="1:54">
      <c r="A2423" s="167" t="s">
        <v>13811</v>
      </c>
      <c r="B2423" s="23" t="s">
        <v>13812</v>
      </c>
      <c r="C2423" s="140">
        <v>45768</v>
      </c>
      <c r="D2423" s="23" t="s">
        <v>729</v>
      </c>
      <c r="E2423" s="23" t="s">
        <v>752</v>
      </c>
      <c r="F2423" s="23" t="s">
        <v>2200</v>
      </c>
      <c r="G2423" s="23" t="s">
        <v>301</v>
      </c>
      <c r="H2423" s="23">
        <v>20600698</v>
      </c>
      <c r="I2423" s="23">
        <v>20600698</v>
      </c>
      <c r="J2423" s="140">
        <v>45762</v>
      </c>
      <c r="K2423" s="23" t="s">
        <v>13813</v>
      </c>
      <c r="L2423" s="140">
        <v>45768</v>
      </c>
      <c r="O2423" s="23" t="s">
        <v>13844</v>
      </c>
      <c r="P2423" s="23" t="s">
        <v>13908</v>
      </c>
      <c r="Q2423" s="140">
        <v>45784</v>
      </c>
      <c r="S2423" s="23" t="s">
        <v>300</v>
      </c>
      <c r="T2423" s="23" t="s">
        <v>305</v>
      </c>
      <c r="U2423" s="23" t="s">
        <v>305</v>
      </c>
      <c r="V2423" s="23" t="s">
        <v>299</v>
      </c>
      <c r="W2423" s="23" t="s">
        <v>12859</v>
      </c>
      <c r="Y2423" s="23">
        <v>14130</v>
      </c>
      <c r="Z2423" s="23">
        <v>144000</v>
      </c>
      <c r="AB2423" s="23" t="s">
        <v>13909</v>
      </c>
      <c r="AC2423" s="23">
        <v>9</v>
      </c>
      <c r="AD2423" s="23">
        <v>0</v>
      </c>
      <c r="AE2423" s="23">
        <v>3</v>
      </c>
      <c r="AF2423" s="23" t="s">
        <v>9622</v>
      </c>
      <c r="AG2423" s="23" t="s">
        <v>659</v>
      </c>
      <c r="AH2423" s="39">
        <v>45775</v>
      </c>
      <c r="AI2423" s="53" t="s">
        <v>5851</v>
      </c>
    </row>
    <row r="2424" spans="1:54">
      <c r="A2424" s="75" t="s">
        <v>13815</v>
      </c>
      <c r="B2424" s="23" t="s">
        <v>13816</v>
      </c>
      <c r="C2424" s="140">
        <v>45772</v>
      </c>
      <c r="D2424" s="23" t="s">
        <v>729</v>
      </c>
      <c r="E2424" s="23" t="s">
        <v>752</v>
      </c>
      <c r="F2424" s="23" t="s">
        <v>12533</v>
      </c>
      <c r="G2424" s="23" t="s">
        <v>57</v>
      </c>
      <c r="H2424" s="23" t="s">
        <v>13817</v>
      </c>
      <c r="I2424" s="23" t="s">
        <v>13817</v>
      </c>
      <c r="J2424" s="140">
        <v>45768</v>
      </c>
      <c r="K2424" s="23" t="s">
        <v>13917</v>
      </c>
      <c r="L2424" s="140">
        <v>45782</v>
      </c>
      <c r="O2424" s="23" t="s">
        <v>13818</v>
      </c>
      <c r="P2424" s="23" t="s">
        <v>13872</v>
      </c>
      <c r="Q2424" s="140">
        <v>45781</v>
      </c>
      <c r="S2424" s="23" t="s">
        <v>183</v>
      </c>
      <c r="T2424" s="23" t="s">
        <v>305</v>
      </c>
      <c r="U2424" s="23" t="s">
        <v>305</v>
      </c>
      <c r="V2424" s="23" t="s">
        <v>233</v>
      </c>
      <c r="W2424" s="23" t="s">
        <v>143</v>
      </c>
      <c r="X2424" s="23">
        <v>30643.4</v>
      </c>
      <c r="Y2424" s="37">
        <v>30859.599999999999</v>
      </c>
      <c r="Z2424" s="23">
        <v>27509.02</v>
      </c>
      <c r="AB2424" s="23" t="s">
        <v>13871</v>
      </c>
      <c r="AC2424" s="23" t="s">
        <v>13819</v>
      </c>
      <c r="AD2424" s="23">
        <v>0</v>
      </c>
      <c r="AE2424" s="23">
        <v>2</v>
      </c>
      <c r="AF2424" s="23" t="s">
        <v>9622</v>
      </c>
      <c r="AG2424" s="23" t="s">
        <v>792</v>
      </c>
      <c r="AH2424" s="39">
        <v>45776</v>
      </c>
    </row>
    <row r="2425" spans="1:54" ht="32">
      <c r="A2425" s="75" t="s">
        <v>13821</v>
      </c>
      <c r="B2425" s="23" t="s">
        <v>13823</v>
      </c>
      <c r="C2425" s="140">
        <v>45774</v>
      </c>
      <c r="D2425" s="23" t="s">
        <v>729</v>
      </c>
      <c r="E2425" s="23" t="s">
        <v>752</v>
      </c>
      <c r="F2425" s="23" t="s">
        <v>13586</v>
      </c>
      <c r="G2425" s="23" t="s">
        <v>13587</v>
      </c>
      <c r="H2425" s="23" t="s">
        <v>13824</v>
      </c>
      <c r="I2425" s="23" t="s">
        <v>13824</v>
      </c>
      <c r="J2425" s="140">
        <v>45754</v>
      </c>
      <c r="T2425" s="23" t="s">
        <v>12031</v>
      </c>
      <c r="U2425" s="23" t="s">
        <v>12031</v>
      </c>
      <c r="V2425" s="23" t="s">
        <v>299</v>
      </c>
      <c r="W2425" s="19" t="s">
        <v>13825</v>
      </c>
      <c r="Y2425" s="23">
        <v>41526</v>
      </c>
      <c r="Z2425" s="23">
        <v>261000</v>
      </c>
      <c r="AB2425" s="23" t="s">
        <v>13953</v>
      </c>
      <c r="AC2425" s="23">
        <v>21</v>
      </c>
      <c r="AD2425" s="23">
        <v>0</v>
      </c>
      <c r="AE2425" s="23">
        <v>7</v>
      </c>
      <c r="AF2425" s="23" t="s">
        <v>9622</v>
      </c>
      <c r="AG2425" s="23" t="s">
        <v>13826</v>
      </c>
      <c r="AH2425" s="39">
        <v>45777</v>
      </c>
      <c r="AI2425" s="53" t="s">
        <v>13319</v>
      </c>
    </row>
    <row r="2426" spans="1:54" ht="32">
      <c r="A2426" s="75" t="s">
        <v>13822</v>
      </c>
      <c r="B2426" s="23" t="s">
        <v>13827</v>
      </c>
      <c r="C2426" s="140">
        <v>45774</v>
      </c>
      <c r="D2426" s="23" t="s">
        <v>729</v>
      </c>
      <c r="E2426" s="23" t="s">
        <v>752</v>
      </c>
      <c r="F2426" s="23" t="s">
        <v>13348</v>
      </c>
      <c r="G2426" s="23" t="s">
        <v>13368</v>
      </c>
      <c r="H2426" s="23" t="s">
        <v>13828</v>
      </c>
      <c r="I2426" s="23" t="s">
        <v>13828</v>
      </c>
      <c r="J2426" s="140">
        <v>45754</v>
      </c>
      <c r="T2426" s="23" t="s">
        <v>12031</v>
      </c>
      <c r="U2426" s="23" t="s">
        <v>12031</v>
      </c>
      <c r="V2426" s="23" t="s">
        <v>299</v>
      </c>
      <c r="W2426" s="19" t="s">
        <v>13829</v>
      </c>
      <c r="Y2426" s="23">
        <v>7835</v>
      </c>
      <c r="Z2426" s="23">
        <v>112000</v>
      </c>
      <c r="AB2426" s="59" t="s">
        <v>13954</v>
      </c>
      <c r="AC2426" s="23">
        <v>3</v>
      </c>
      <c r="AD2426" s="23">
        <v>1</v>
      </c>
      <c r="AE2426" s="23">
        <v>1</v>
      </c>
      <c r="AF2426" s="23" t="s">
        <v>9622</v>
      </c>
      <c r="AG2426" s="23" t="s">
        <v>11320</v>
      </c>
      <c r="AH2426" s="39">
        <v>45777</v>
      </c>
      <c r="AI2426" s="53" t="s">
        <v>13319</v>
      </c>
    </row>
    <row r="2427" spans="1:54" ht="80">
      <c r="A2427" s="75" t="s">
        <v>13831</v>
      </c>
      <c r="B2427" s="23" t="s">
        <v>13832</v>
      </c>
      <c r="C2427" s="140">
        <v>45769</v>
      </c>
      <c r="D2427" s="23" t="s">
        <v>729</v>
      </c>
      <c r="E2427" s="23" t="s">
        <v>3773</v>
      </c>
      <c r="F2427" s="23" t="s">
        <v>12847</v>
      </c>
      <c r="G2427" s="23" t="s">
        <v>12867</v>
      </c>
      <c r="H2427" s="23" t="s">
        <v>13833</v>
      </c>
      <c r="I2427" s="23" t="s">
        <v>13833</v>
      </c>
      <c r="J2427" s="140">
        <v>45755</v>
      </c>
      <c r="S2427" s="23" t="s">
        <v>300</v>
      </c>
      <c r="T2427" s="23" t="s">
        <v>12031</v>
      </c>
      <c r="U2427" s="23" t="s">
        <v>12031</v>
      </c>
      <c r="V2427" s="23" t="s">
        <v>233</v>
      </c>
      <c r="W2427" s="23" t="s">
        <v>13834</v>
      </c>
      <c r="X2427" s="23">
        <v>63.5</v>
      </c>
      <c r="Y2427" s="23">
        <v>75</v>
      </c>
      <c r="Z2427" s="23">
        <v>453.85</v>
      </c>
      <c r="AB2427" s="23" t="s">
        <v>97</v>
      </c>
      <c r="AD2427" s="23">
        <v>0</v>
      </c>
      <c r="AE2427" s="23">
        <v>0</v>
      </c>
      <c r="AF2427" s="23" t="s">
        <v>97</v>
      </c>
      <c r="AG2427" s="23" t="s">
        <v>13835</v>
      </c>
      <c r="AH2427" s="39">
        <v>45779</v>
      </c>
      <c r="AI2427" s="53" t="s">
        <v>13840</v>
      </c>
      <c r="BB2427" s="29" t="s">
        <v>14051</v>
      </c>
    </row>
    <row r="2428" spans="1:54" ht="80">
      <c r="A2428" s="75" t="s">
        <v>13839</v>
      </c>
      <c r="B2428" s="23" t="s">
        <v>13939</v>
      </c>
      <c r="C2428" s="140">
        <v>45774</v>
      </c>
      <c r="D2428" s="23" t="s">
        <v>729</v>
      </c>
      <c r="E2428" s="23" t="s">
        <v>3773</v>
      </c>
      <c r="F2428" s="23" t="s">
        <v>12847</v>
      </c>
      <c r="G2428" s="23" t="s">
        <v>12867</v>
      </c>
      <c r="H2428" s="23" t="s">
        <v>13940</v>
      </c>
      <c r="I2428" s="23" t="s">
        <v>13940</v>
      </c>
      <c r="J2428" s="140">
        <v>45768</v>
      </c>
      <c r="P2428" s="23" t="s">
        <v>13996</v>
      </c>
      <c r="Q2428" s="140">
        <v>45783</v>
      </c>
      <c r="S2428" s="23" t="s">
        <v>300</v>
      </c>
      <c r="T2428" s="23" t="s">
        <v>12031</v>
      </c>
      <c r="U2428" s="23" t="s">
        <v>12031</v>
      </c>
      <c r="V2428" s="23" t="s">
        <v>233</v>
      </c>
      <c r="W2428" s="23" t="s">
        <v>13941</v>
      </c>
      <c r="X2428" s="37">
        <v>5919.15</v>
      </c>
      <c r="Y2428" s="23">
        <v>6033</v>
      </c>
      <c r="Z2428" s="37">
        <v>40997</v>
      </c>
      <c r="AB2428" s="23" t="s">
        <v>13997</v>
      </c>
      <c r="AC2428" s="23" t="s">
        <v>13942</v>
      </c>
      <c r="AD2428" s="23">
        <v>0</v>
      </c>
      <c r="AE2428" s="23">
        <v>0</v>
      </c>
      <c r="AF2428" s="23" t="s">
        <v>97</v>
      </c>
      <c r="AG2428" s="23" t="s">
        <v>13627</v>
      </c>
      <c r="AH2428" s="39">
        <v>45777</v>
      </c>
      <c r="AI2428" s="53" t="s">
        <v>13946</v>
      </c>
      <c r="BB2428" s="29" t="s">
        <v>14050</v>
      </c>
    </row>
    <row r="2429" spans="1:54" ht="48">
      <c r="A2429" s="75" t="s">
        <v>13841</v>
      </c>
      <c r="B2429" s="23" t="s">
        <v>13939</v>
      </c>
      <c r="C2429" s="140">
        <v>45774</v>
      </c>
      <c r="D2429" s="23" t="s">
        <v>729</v>
      </c>
      <c r="E2429" s="23" t="s">
        <v>3773</v>
      </c>
      <c r="F2429" s="23" t="s">
        <v>12847</v>
      </c>
      <c r="G2429" s="23" t="s">
        <v>12867</v>
      </c>
      <c r="H2429" s="23" t="s">
        <v>13943</v>
      </c>
      <c r="I2429" s="23" t="s">
        <v>13943</v>
      </c>
      <c r="J2429" s="140">
        <v>45768</v>
      </c>
      <c r="P2429" s="23" t="s">
        <v>13996</v>
      </c>
      <c r="Q2429" s="140">
        <v>45783</v>
      </c>
      <c r="S2429" s="23" t="s">
        <v>300</v>
      </c>
      <c r="T2429" s="23" t="s">
        <v>12031</v>
      </c>
      <c r="U2429" s="23" t="s">
        <v>12031</v>
      </c>
      <c r="V2429" s="23" t="s">
        <v>233</v>
      </c>
      <c r="W2429" s="23" t="s">
        <v>13998</v>
      </c>
      <c r="X2429" s="23">
        <v>66</v>
      </c>
      <c r="Y2429" s="23">
        <v>67</v>
      </c>
      <c r="Z2429" s="23">
        <v>480</v>
      </c>
      <c r="AB2429" s="23" t="s">
        <v>13997</v>
      </c>
      <c r="AC2429" s="23" t="s">
        <v>13944</v>
      </c>
      <c r="AD2429" s="23">
        <v>0</v>
      </c>
      <c r="AE2429" s="23">
        <v>0</v>
      </c>
      <c r="AF2429" s="23" t="s">
        <v>97</v>
      </c>
      <c r="AG2429" s="23" t="s">
        <v>13627</v>
      </c>
      <c r="AH2429" s="39">
        <v>45777</v>
      </c>
      <c r="AI2429" s="53" t="s">
        <v>13947</v>
      </c>
      <c r="BB2429" s="29" t="s">
        <v>14048</v>
      </c>
    </row>
    <row r="2430" spans="1:54" ht="48">
      <c r="A2430" s="75" t="s">
        <v>13845</v>
      </c>
      <c r="B2430" s="23" t="s">
        <v>13865</v>
      </c>
      <c r="C2430" s="140">
        <v>45783</v>
      </c>
      <c r="D2430" s="23" t="s">
        <v>729</v>
      </c>
      <c r="E2430" s="23" t="s">
        <v>2919</v>
      </c>
      <c r="F2430" s="23" t="s">
        <v>13558</v>
      </c>
      <c r="G2430" s="23" t="s">
        <v>13567</v>
      </c>
      <c r="H2430" s="23" t="s">
        <v>13851</v>
      </c>
      <c r="I2430" s="23" t="s">
        <v>13851</v>
      </c>
      <c r="J2430" s="140">
        <v>45777</v>
      </c>
      <c r="O2430" s="23" t="s">
        <v>13866</v>
      </c>
      <c r="P2430" s="23" t="s">
        <v>13901</v>
      </c>
      <c r="Q2430" s="140">
        <v>45785</v>
      </c>
      <c r="R2430" s="53">
        <v>45783</v>
      </c>
      <c r="S2430" s="23" t="s">
        <v>184</v>
      </c>
      <c r="T2430" s="23" t="s">
        <v>12326</v>
      </c>
      <c r="U2430" s="23" t="s">
        <v>12326</v>
      </c>
      <c r="V2430" s="23" t="s">
        <v>233</v>
      </c>
      <c r="W2430" s="23" t="s">
        <v>13794</v>
      </c>
      <c r="X2430" s="38">
        <v>2170</v>
      </c>
      <c r="Y2430" s="38">
        <v>2560</v>
      </c>
      <c r="Z2430" s="37">
        <v>109903.5</v>
      </c>
      <c r="AB2430" s="23" t="s">
        <v>13847</v>
      </c>
      <c r="AC2430" s="23" t="s">
        <v>13848</v>
      </c>
      <c r="AD2430" s="23">
        <v>0</v>
      </c>
      <c r="AE2430" s="23">
        <v>1</v>
      </c>
      <c r="AF2430" s="23" t="s">
        <v>9622</v>
      </c>
      <c r="AG2430" s="23" t="s">
        <v>13849</v>
      </c>
      <c r="AH2430" s="39">
        <v>45782</v>
      </c>
      <c r="AI2430" s="53" t="s">
        <v>2661</v>
      </c>
      <c r="BB2430" s="19" t="s">
        <v>13989</v>
      </c>
    </row>
    <row r="2431" spans="1:54" ht="48">
      <c r="A2431" s="75" t="s">
        <v>13846</v>
      </c>
      <c r="B2431" s="23" t="s">
        <v>13867</v>
      </c>
      <c r="C2431" s="140">
        <v>45783</v>
      </c>
      <c r="D2431" s="23" t="s">
        <v>729</v>
      </c>
      <c r="E2431" s="23" t="s">
        <v>2861</v>
      </c>
      <c r="F2431" s="23" t="s">
        <v>13558</v>
      </c>
      <c r="G2431" s="23" t="s">
        <v>13567</v>
      </c>
      <c r="H2431" s="23" t="s">
        <v>13850</v>
      </c>
      <c r="I2431" s="23" t="s">
        <v>13850</v>
      </c>
      <c r="J2431" s="140">
        <v>45782</v>
      </c>
      <c r="O2431" s="23" t="s">
        <v>13902</v>
      </c>
      <c r="P2431" s="23" t="s">
        <v>13661</v>
      </c>
      <c r="Q2431" s="140">
        <v>45785</v>
      </c>
      <c r="R2431" s="53">
        <v>45783</v>
      </c>
      <c r="S2431" s="23" t="s">
        <v>184</v>
      </c>
      <c r="T2431" s="23" t="s">
        <v>12326</v>
      </c>
      <c r="U2431" s="23" t="s">
        <v>12326</v>
      </c>
      <c r="V2431" s="23" t="s">
        <v>233</v>
      </c>
      <c r="W2431" s="23" t="s">
        <v>13794</v>
      </c>
      <c r="X2431" s="38">
        <v>19140</v>
      </c>
      <c r="Y2431" s="38">
        <v>19220</v>
      </c>
      <c r="Z2431" s="37">
        <v>102313.83</v>
      </c>
      <c r="AB2431" s="23" t="s">
        <v>97</v>
      </c>
      <c r="AC2431" s="23" t="s">
        <v>13868</v>
      </c>
      <c r="AD2431" s="23">
        <v>0</v>
      </c>
      <c r="AE2431" s="23">
        <v>0</v>
      </c>
      <c r="AF2431" s="23" t="s">
        <v>97</v>
      </c>
      <c r="AG2431" s="23" t="s">
        <v>13849</v>
      </c>
      <c r="AH2431" s="39">
        <v>45782</v>
      </c>
      <c r="BB2431" s="19" t="s">
        <v>13950</v>
      </c>
    </row>
    <row r="2432" spans="1:54">
      <c r="A2432" s="75" t="s">
        <v>13852</v>
      </c>
      <c r="B2432" s="23" t="s">
        <v>13857</v>
      </c>
      <c r="C2432" s="140">
        <v>45766</v>
      </c>
      <c r="D2432" s="23" t="s">
        <v>729</v>
      </c>
      <c r="E2432" s="23" t="s">
        <v>752</v>
      </c>
      <c r="F2432" s="23" t="s">
        <v>2200</v>
      </c>
      <c r="G2432" s="23" t="s">
        <v>301</v>
      </c>
      <c r="H2432" s="23">
        <v>55024914</v>
      </c>
      <c r="I2432" s="23">
        <v>55024914</v>
      </c>
      <c r="J2432" s="140">
        <v>45754</v>
      </c>
      <c r="K2432" s="23" t="s">
        <v>13853</v>
      </c>
      <c r="L2432" s="140">
        <v>45769</v>
      </c>
      <c r="T2432" s="23" t="s">
        <v>305</v>
      </c>
      <c r="U2432" s="23" t="s">
        <v>305</v>
      </c>
      <c r="V2432" s="23" t="s">
        <v>298</v>
      </c>
      <c r="W2432" s="23" t="s">
        <v>11559</v>
      </c>
      <c r="Y2432" s="23">
        <v>7596</v>
      </c>
      <c r="Z2432" s="38">
        <v>67650</v>
      </c>
      <c r="AB2432" s="23" t="s">
        <v>13854</v>
      </c>
      <c r="AC2432" s="23" t="s">
        <v>13855</v>
      </c>
      <c r="AD2432" s="23">
        <v>0</v>
      </c>
      <c r="AE2432" s="23">
        <v>1</v>
      </c>
      <c r="AF2432" s="23" t="s">
        <v>9622</v>
      </c>
      <c r="AG2432" s="23" t="s">
        <v>5602</v>
      </c>
      <c r="AH2432" s="39">
        <v>45782</v>
      </c>
    </row>
    <row r="2433" spans="1:54" ht="48">
      <c r="A2433" s="75" t="s">
        <v>13858</v>
      </c>
      <c r="B2433" s="23" t="s">
        <v>13874</v>
      </c>
      <c r="C2433" s="140">
        <v>45778</v>
      </c>
      <c r="D2433" s="23" t="s">
        <v>729</v>
      </c>
      <c r="E2433" s="23" t="s">
        <v>752</v>
      </c>
      <c r="F2433" s="23" t="s">
        <v>12847</v>
      </c>
      <c r="G2433" s="23" t="s">
        <v>12867</v>
      </c>
      <c r="H2433" s="23" t="s">
        <v>13891</v>
      </c>
      <c r="I2433" s="23" t="s">
        <v>13891</v>
      </c>
      <c r="J2433" s="140">
        <v>45746</v>
      </c>
      <c r="O2433" s="23" t="s">
        <v>13933</v>
      </c>
      <c r="P2433" s="23" t="s">
        <v>13933</v>
      </c>
      <c r="Q2433" s="140">
        <v>45784</v>
      </c>
      <c r="S2433" s="23" t="s">
        <v>300</v>
      </c>
      <c r="T2433" s="23" t="s">
        <v>12031</v>
      </c>
      <c r="U2433" s="23" t="s">
        <v>12031</v>
      </c>
      <c r="V2433" s="23" t="s">
        <v>233</v>
      </c>
      <c r="W2433" s="23" t="s">
        <v>13876</v>
      </c>
      <c r="X2433" s="23">
        <v>5730</v>
      </c>
      <c r="Y2433" s="23">
        <v>6985</v>
      </c>
      <c r="Z2433" s="23">
        <v>51918</v>
      </c>
      <c r="AB2433" s="23" t="s">
        <v>13892</v>
      </c>
      <c r="AC2433" s="23" t="s">
        <v>13893</v>
      </c>
      <c r="AD2433" s="23">
        <v>1</v>
      </c>
      <c r="AE2433" s="23">
        <v>1</v>
      </c>
      <c r="AF2433" s="23" t="s">
        <v>9622</v>
      </c>
      <c r="AG2433" s="23" t="s">
        <v>13288</v>
      </c>
      <c r="AH2433" s="39">
        <v>45784</v>
      </c>
      <c r="AI2433" s="53" t="s">
        <v>13899</v>
      </c>
      <c r="BB2433" s="19" t="s">
        <v>14037</v>
      </c>
    </row>
    <row r="2434" spans="1:54" ht="48">
      <c r="A2434" s="75" t="s">
        <v>13859</v>
      </c>
      <c r="B2434" s="23" t="s">
        <v>13873</v>
      </c>
      <c r="C2434" s="140">
        <v>45778</v>
      </c>
      <c r="D2434" s="23" t="s">
        <v>729</v>
      </c>
      <c r="E2434" s="23" t="s">
        <v>13894</v>
      </c>
      <c r="F2434" s="23" t="s">
        <v>12847</v>
      </c>
      <c r="G2434" s="23" t="s">
        <v>12867</v>
      </c>
      <c r="H2434" s="23" t="s">
        <v>13895</v>
      </c>
      <c r="I2434" s="23" t="s">
        <v>13895</v>
      </c>
      <c r="J2434" s="140">
        <v>45746</v>
      </c>
      <c r="O2434" s="23" t="s">
        <v>13933</v>
      </c>
      <c r="P2434" s="23" t="s">
        <v>13933</v>
      </c>
      <c r="Q2434" s="140">
        <v>45784</v>
      </c>
      <c r="S2434" s="23" t="s">
        <v>300</v>
      </c>
      <c r="T2434" s="23" t="s">
        <v>12031</v>
      </c>
      <c r="U2434" s="23" t="s">
        <v>12031</v>
      </c>
      <c r="V2434" s="23" t="s">
        <v>233</v>
      </c>
      <c r="W2434" s="23" t="s">
        <v>13875</v>
      </c>
      <c r="X2434" s="23">
        <v>239</v>
      </c>
      <c r="Y2434" s="23">
        <v>357</v>
      </c>
      <c r="Z2434" s="23">
        <v>2000</v>
      </c>
      <c r="AB2434" s="23" t="s">
        <v>13896</v>
      </c>
      <c r="AC2434" s="23" t="s">
        <v>13897</v>
      </c>
      <c r="AD2434" s="23">
        <v>0</v>
      </c>
      <c r="AE2434" s="23">
        <v>0</v>
      </c>
      <c r="AF2434" s="23" t="s">
        <v>97</v>
      </c>
      <c r="AG2434" s="23" t="s">
        <v>13288</v>
      </c>
      <c r="AH2434" s="39">
        <v>45784</v>
      </c>
      <c r="AI2434" s="53" t="s">
        <v>13789</v>
      </c>
      <c r="BB2434" s="19" t="s">
        <v>14037</v>
      </c>
    </row>
    <row r="2435" spans="1:54" ht="48">
      <c r="A2435" s="75" t="s">
        <v>13860</v>
      </c>
      <c r="B2435" s="23" t="s">
        <v>13861</v>
      </c>
      <c r="C2435" s="140">
        <v>45778</v>
      </c>
      <c r="D2435" s="23" t="s">
        <v>729</v>
      </c>
      <c r="E2435" s="23" t="s">
        <v>13894</v>
      </c>
      <c r="F2435" s="23" t="s">
        <v>12847</v>
      </c>
      <c r="G2435" s="23" t="s">
        <v>12867</v>
      </c>
      <c r="H2435" s="23" t="s">
        <v>13862</v>
      </c>
      <c r="I2435" s="23" t="s">
        <v>13862</v>
      </c>
      <c r="J2435" s="140">
        <v>45746</v>
      </c>
      <c r="O2435" s="23" t="s">
        <v>13933</v>
      </c>
      <c r="P2435" s="23" t="s">
        <v>13933</v>
      </c>
      <c r="Q2435" s="140">
        <v>45784</v>
      </c>
      <c r="S2435" s="23" t="s">
        <v>300</v>
      </c>
      <c r="T2435" s="23" t="s">
        <v>12031</v>
      </c>
      <c r="U2435" s="23" t="s">
        <v>12031</v>
      </c>
      <c r="V2435" s="23" t="s">
        <v>233</v>
      </c>
      <c r="W2435" s="23" t="s">
        <v>13863</v>
      </c>
      <c r="X2435" s="23">
        <v>8117</v>
      </c>
      <c r="Y2435" s="38">
        <v>8173</v>
      </c>
      <c r="Z2435" s="23">
        <v>7400</v>
      </c>
      <c r="AB2435" s="23" t="s">
        <v>13898</v>
      </c>
      <c r="AC2435" s="23" t="s">
        <v>13864</v>
      </c>
      <c r="AD2435" s="23">
        <v>0</v>
      </c>
      <c r="AE2435" s="23">
        <v>0</v>
      </c>
      <c r="AF2435" s="23" t="s">
        <v>97</v>
      </c>
      <c r="AG2435" s="23" t="s">
        <v>13288</v>
      </c>
      <c r="AH2435" s="39">
        <v>45784</v>
      </c>
      <c r="AI2435" s="53" t="s">
        <v>13900</v>
      </c>
      <c r="BB2435" s="19" t="s">
        <v>14037</v>
      </c>
    </row>
    <row r="2436" spans="1:54">
      <c r="A2436" s="75" t="s">
        <v>13877</v>
      </c>
      <c r="B2436" s="23" t="s">
        <v>13878</v>
      </c>
      <c r="C2436" s="140">
        <v>45774</v>
      </c>
      <c r="D2436" s="23" t="s">
        <v>729</v>
      </c>
      <c r="E2436" s="23" t="s">
        <v>752</v>
      </c>
      <c r="F2436" s="23" t="s">
        <v>13348</v>
      </c>
      <c r="G2436" s="23" t="s">
        <v>13368</v>
      </c>
      <c r="H2436" s="23" t="s">
        <v>13879</v>
      </c>
      <c r="I2436" s="23" t="s">
        <v>13879</v>
      </c>
      <c r="J2436" s="140">
        <v>45753</v>
      </c>
      <c r="T2436" s="23" t="s">
        <v>12031</v>
      </c>
      <c r="U2436" s="23" t="s">
        <v>12031</v>
      </c>
      <c r="V2436" s="23" t="s">
        <v>299</v>
      </c>
      <c r="W2436" s="23" t="s">
        <v>13880</v>
      </c>
      <c r="Y2436" s="23">
        <v>5000</v>
      </c>
      <c r="Z2436" s="23">
        <v>50000</v>
      </c>
      <c r="AB2436" s="59" t="s">
        <v>13881</v>
      </c>
      <c r="AC2436" s="23">
        <v>2</v>
      </c>
      <c r="AD2436" s="23">
        <v>0</v>
      </c>
      <c r="AE2436" s="23">
        <v>1</v>
      </c>
      <c r="AF2436" s="23" t="s">
        <v>9622</v>
      </c>
      <c r="AG2436" s="23" t="s">
        <v>13882</v>
      </c>
      <c r="AH2436" s="39">
        <v>45784</v>
      </c>
      <c r="AI2436" s="23" t="s">
        <v>13319</v>
      </c>
    </row>
    <row r="2437" spans="1:54" ht="80">
      <c r="A2437" s="134" t="s">
        <v>13883</v>
      </c>
      <c r="B2437" s="23" t="s">
        <v>13884</v>
      </c>
      <c r="C2437" s="140">
        <v>45775</v>
      </c>
      <c r="D2437" s="23" t="s">
        <v>729</v>
      </c>
      <c r="E2437" s="23" t="s">
        <v>752</v>
      </c>
      <c r="F2437" s="23" t="s">
        <v>2200</v>
      </c>
      <c r="G2437" s="23" t="s">
        <v>301</v>
      </c>
      <c r="H2437" s="23">
        <v>20602182</v>
      </c>
      <c r="I2437" s="23">
        <v>20602182</v>
      </c>
      <c r="J2437" s="140">
        <v>45775</v>
      </c>
      <c r="K2437" s="23" t="s">
        <v>13885</v>
      </c>
      <c r="L2437" s="140">
        <v>45783</v>
      </c>
      <c r="O2437" s="23" t="s">
        <v>13932</v>
      </c>
      <c r="P2437" s="23" t="s">
        <v>13931</v>
      </c>
      <c r="Q2437" s="140">
        <v>45791</v>
      </c>
      <c r="T2437" s="23" t="s">
        <v>305</v>
      </c>
      <c r="U2437" s="23" t="s">
        <v>305</v>
      </c>
      <c r="V2437" s="23" t="s">
        <v>299</v>
      </c>
      <c r="W2437" s="23" t="s">
        <v>13886</v>
      </c>
      <c r="Y2437" s="23">
        <v>23085</v>
      </c>
      <c r="Z2437" s="23">
        <v>195000</v>
      </c>
      <c r="AB2437" s="19" t="s">
        <v>14061</v>
      </c>
      <c r="AC2437" s="23">
        <v>15</v>
      </c>
      <c r="AD2437" s="23">
        <v>0</v>
      </c>
      <c r="AE2437" s="23">
        <v>5</v>
      </c>
      <c r="AF2437" s="23" t="s">
        <v>9622</v>
      </c>
      <c r="AG2437" s="23" t="s">
        <v>659</v>
      </c>
      <c r="AH2437" s="39">
        <v>45784</v>
      </c>
      <c r="AI2437" s="53" t="s">
        <v>5851</v>
      </c>
    </row>
    <row r="2438" spans="1:54">
      <c r="A2438" s="134" t="s">
        <v>13887</v>
      </c>
      <c r="B2438" s="23" t="s">
        <v>13888</v>
      </c>
      <c r="C2438" s="140">
        <v>45775</v>
      </c>
      <c r="D2438" s="23" t="s">
        <v>729</v>
      </c>
      <c r="E2438" s="23" t="s">
        <v>752</v>
      </c>
      <c r="F2438" s="23" t="s">
        <v>2200</v>
      </c>
      <c r="G2438" s="23" t="s">
        <v>301</v>
      </c>
      <c r="H2438" s="23">
        <v>20602183</v>
      </c>
      <c r="I2438" s="23">
        <v>20602183</v>
      </c>
      <c r="J2438" s="140">
        <v>45774</v>
      </c>
      <c r="K2438" s="23" t="s">
        <v>13889</v>
      </c>
      <c r="L2438" s="140">
        <v>45783</v>
      </c>
      <c r="O2438" s="23" t="s">
        <v>13932</v>
      </c>
      <c r="P2438" s="23" t="s">
        <v>13931</v>
      </c>
      <c r="Q2438" s="140">
        <v>45791</v>
      </c>
      <c r="T2438" s="23" t="s">
        <v>305</v>
      </c>
      <c r="U2438" s="23" t="s">
        <v>305</v>
      </c>
      <c r="V2438" s="23" t="s">
        <v>299</v>
      </c>
      <c r="W2438" s="23" t="s">
        <v>13494</v>
      </c>
      <c r="Y2438" s="23">
        <v>14850</v>
      </c>
      <c r="Z2438" s="23">
        <v>166500</v>
      </c>
      <c r="AB2438" s="59" t="s">
        <v>13890</v>
      </c>
      <c r="AC2438" s="23">
        <v>9</v>
      </c>
      <c r="AD2438" s="23">
        <v>0</v>
      </c>
      <c r="AE2438" s="23">
        <v>3</v>
      </c>
      <c r="AF2438" s="23" t="s">
        <v>9622</v>
      </c>
      <c r="AG2438" s="23" t="s">
        <v>659</v>
      </c>
      <c r="AH2438" s="39">
        <v>45784</v>
      </c>
      <c r="AI2438" s="53" t="s">
        <v>5851</v>
      </c>
    </row>
    <row r="2439" spans="1:54">
      <c r="A2439" s="167" t="s">
        <v>13903</v>
      </c>
      <c r="B2439" s="23" t="s">
        <v>13904</v>
      </c>
      <c r="C2439" s="140">
        <v>45765</v>
      </c>
      <c r="D2439" s="23" t="s">
        <v>729</v>
      </c>
      <c r="E2439" s="23" t="s">
        <v>752</v>
      </c>
      <c r="F2439" s="23" t="s">
        <v>2200</v>
      </c>
      <c r="G2439" s="23" t="s">
        <v>301</v>
      </c>
      <c r="H2439" s="23" t="s">
        <v>13905</v>
      </c>
      <c r="I2439" s="23" t="s">
        <v>13905</v>
      </c>
      <c r="J2439" s="140">
        <v>45763</v>
      </c>
      <c r="K2439" s="27" t="s">
        <v>13921</v>
      </c>
      <c r="L2439" s="140">
        <v>45775</v>
      </c>
      <c r="O2439" s="23" t="s">
        <v>13910</v>
      </c>
      <c r="P2439" s="23" t="s">
        <v>13842</v>
      </c>
      <c r="Q2439" s="140">
        <v>45780</v>
      </c>
      <c r="T2439" s="23" t="s">
        <v>305</v>
      </c>
      <c r="U2439" s="23" t="s">
        <v>305</v>
      </c>
      <c r="V2439" s="23" t="s">
        <v>299</v>
      </c>
      <c r="W2439" s="23" t="s">
        <v>13906</v>
      </c>
      <c r="Y2439" s="23">
        <v>9930</v>
      </c>
      <c r="Z2439" s="23">
        <v>671868</v>
      </c>
      <c r="AB2439" s="23" t="s">
        <v>13907</v>
      </c>
      <c r="AC2439" s="23">
        <v>6</v>
      </c>
      <c r="AD2439" s="23">
        <v>0</v>
      </c>
      <c r="AE2439" s="23">
        <v>3</v>
      </c>
      <c r="AF2439" s="23" t="s">
        <v>9622</v>
      </c>
      <c r="AG2439" s="23" t="s">
        <v>12288</v>
      </c>
      <c r="AH2439" s="39">
        <v>45784</v>
      </c>
      <c r="AI2439" s="53" t="s">
        <v>5852</v>
      </c>
    </row>
    <row r="2440" spans="1:54" ht="240">
      <c r="A2440" s="134" t="s">
        <v>13912</v>
      </c>
      <c r="B2440" s="23" t="s">
        <v>13913</v>
      </c>
      <c r="C2440" s="140">
        <v>45781</v>
      </c>
      <c r="D2440" s="23" t="s">
        <v>729</v>
      </c>
      <c r="E2440" s="23" t="s">
        <v>752</v>
      </c>
      <c r="F2440" s="23" t="s">
        <v>2200</v>
      </c>
      <c r="G2440" s="23" t="s">
        <v>301</v>
      </c>
      <c r="H2440" s="23">
        <v>20604972</v>
      </c>
      <c r="I2440" s="23">
        <v>20604972</v>
      </c>
      <c r="J2440" s="140">
        <v>45779</v>
      </c>
      <c r="K2440" s="23" t="s">
        <v>13914</v>
      </c>
      <c r="L2440" s="140">
        <v>45785</v>
      </c>
      <c r="T2440" s="23" t="s">
        <v>12031</v>
      </c>
      <c r="U2440" s="23" t="s">
        <v>12031</v>
      </c>
      <c r="V2440" s="23" t="s">
        <v>299</v>
      </c>
      <c r="W2440" s="23" t="s">
        <v>13802</v>
      </c>
      <c r="Y2440" s="23">
        <v>59310</v>
      </c>
      <c r="Z2440" s="23">
        <v>3055050</v>
      </c>
      <c r="AB2440" s="19" t="s">
        <v>13915</v>
      </c>
      <c r="AC2440" s="23">
        <v>45</v>
      </c>
      <c r="AD2440" s="23">
        <v>0</v>
      </c>
      <c r="AE2440" s="23">
        <v>15</v>
      </c>
      <c r="AF2440" s="23" t="s">
        <v>9622</v>
      </c>
      <c r="AG2440" s="23" t="s">
        <v>12288</v>
      </c>
      <c r="AH2440" s="39">
        <v>45784</v>
      </c>
      <c r="AI2440" s="53" t="s">
        <v>5851</v>
      </c>
    </row>
    <row r="2441" spans="1:54" ht="48">
      <c r="A2441" s="75" t="s">
        <v>13934</v>
      </c>
      <c r="B2441" s="23" t="s">
        <v>13935</v>
      </c>
      <c r="C2441" s="140">
        <v>45794</v>
      </c>
      <c r="D2441" s="23" t="s">
        <v>729</v>
      </c>
      <c r="E2441" s="23" t="s">
        <v>2919</v>
      </c>
      <c r="F2441" s="23" t="s">
        <v>13558</v>
      </c>
      <c r="G2441" s="23" t="s">
        <v>13567</v>
      </c>
      <c r="H2441" s="23" t="s">
        <v>13936</v>
      </c>
      <c r="I2441" s="23" t="s">
        <v>13936</v>
      </c>
      <c r="J2441" s="140">
        <v>45777</v>
      </c>
      <c r="O2441" s="23" t="s">
        <v>13969</v>
      </c>
      <c r="P2441" s="23" t="s">
        <v>13970</v>
      </c>
      <c r="Q2441" s="140">
        <v>45798</v>
      </c>
      <c r="S2441" s="23" t="s">
        <v>184</v>
      </c>
      <c r="T2441" s="23" t="s">
        <v>12326</v>
      </c>
      <c r="U2441" s="23" t="s">
        <v>12326</v>
      </c>
      <c r="V2441" s="23" t="s">
        <v>233</v>
      </c>
      <c r="W2441" s="23" t="s">
        <v>13937</v>
      </c>
      <c r="X2441" s="37">
        <v>4880</v>
      </c>
      <c r="Y2441" s="37">
        <v>5220</v>
      </c>
      <c r="Z2441" s="23">
        <v>205578.9</v>
      </c>
      <c r="AB2441" s="23" t="s">
        <v>13938</v>
      </c>
      <c r="AC2441" s="23" t="s">
        <v>2801</v>
      </c>
      <c r="AD2441" s="23">
        <v>0</v>
      </c>
      <c r="AE2441" s="23">
        <v>1</v>
      </c>
      <c r="AF2441" s="23" t="s">
        <v>9622</v>
      </c>
      <c r="AG2441" s="23" t="s">
        <v>13849</v>
      </c>
      <c r="AH2441" s="39">
        <v>45794</v>
      </c>
      <c r="BB2441" s="19" t="s">
        <v>14039</v>
      </c>
    </row>
    <row r="2442" spans="1:54" ht="48">
      <c r="A2442" s="75" t="s">
        <v>13945</v>
      </c>
      <c r="B2442" s="23">
        <v>252179703</v>
      </c>
      <c r="C2442" s="140">
        <v>45754</v>
      </c>
      <c r="D2442" s="23" t="s">
        <v>729</v>
      </c>
      <c r="E2442" s="23" t="s">
        <v>752</v>
      </c>
      <c r="F2442" s="23" t="s">
        <v>13464</v>
      </c>
      <c r="G2442" s="23" t="s">
        <v>13465</v>
      </c>
      <c r="H2442" s="23" t="s">
        <v>13981</v>
      </c>
      <c r="I2442" s="23" t="s">
        <v>13981</v>
      </c>
      <c r="J2442" s="140">
        <v>45754</v>
      </c>
      <c r="O2442" s="23" t="s">
        <v>13982</v>
      </c>
      <c r="P2442" s="23" t="s">
        <v>13982</v>
      </c>
      <c r="Q2442" s="140">
        <v>45791</v>
      </c>
      <c r="S2442" s="23" t="s">
        <v>13983</v>
      </c>
      <c r="T2442" s="23" t="s">
        <v>12031</v>
      </c>
      <c r="U2442" s="23" t="s">
        <v>12031</v>
      </c>
      <c r="V2442" s="23" t="s">
        <v>233</v>
      </c>
      <c r="W2442" s="23" t="s">
        <v>13984</v>
      </c>
      <c r="X2442" s="23">
        <v>16023</v>
      </c>
      <c r="Y2442" s="23">
        <v>16249</v>
      </c>
      <c r="Z2442" s="23">
        <v>354033.88</v>
      </c>
      <c r="AB2442" s="23" t="s">
        <v>13985</v>
      </c>
      <c r="AC2442" s="23" t="s">
        <v>13986</v>
      </c>
      <c r="AD2442" s="23">
        <v>1</v>
      </c>
      <c r="AE2442" s="23">
        <v>1</v>
      </c>
      <c r="AF2442" s="23" t="s">
        <v>9622</v>
      </c>
      <c r="AG2442" s="23" t="s">
        <v>13987</v>
      </c>
      <c r="AH2442" s="39">
        <v>45798</v>
      </c>
      <c r="AI2442" s="53" t="s">
        <v>13988</v>
      </c>
      <c r="BB2442" s="19" t="s">
        <v>14046</v>
      </c>
    </row>
    <row r="2443" spans="1:54" ht="160">
      <c r="A2443" s="134" t="s">
        <v>13955</v>
      </c>
      <c r="B2443" s="23" t="s">
        <v>13956</v>
      </c>
      <c r="C2443" s="140">
        <v>45783</v>
      </c>
      <c r="D2443" s="23" t="s">
        <v>729</v>
      </c>
      <c r="E2443" s="23" t="s">
        <v>752</v>
      </c>
      <c r="F2443" s="23" t="s">
        <v>2200</v>
      </c>
      <c r="G2443" s="23" t="s">
        <v>301</v>
      </c>
      <c r="H2443" s="23">
        <v>20604973</v>
      </c>
      <c r="I2443" s="23">
        <v>20604973</v>
      </c>
      <c r="J2443" s="140">
        <v>45781</v>
      </c>
      <c r="K2443" s="23" t="s">
        <v>13957</v>
      </c>
      <c r="L2443" s="140">
        <v>45786</v>
      </c>
      <c r="O2443" s="23" t="s">
        <v>14010</v>
      </c>
      <c r="P2443" s="23" t="s">
        <v>14011</v>
      </c>
      <c r="Q2443" s="140">
        <v>45802</v>
      </c>
      <c r="T2443" s="23" t="s">
        <v>305</v>
      </c>
      <c r="U2443" s="23" t="s">
        <v>305</v>
      </c>
      <c r="V2443" s="23" t="s">
        <v>299</v>
      </c>
      <c r="W2443" s="23" t="s">
        <v>13886</v>
      </c>
      <c r="Y2443" s="23">
        <v>46170</v>
      </c>
      <c r="Z2443" s="23">
        <v>390000</v>
      </c>
      <c r="AB2443" s="19" t="s">
        <v>14053</v>
      </c>
      <c r="AC2443" s="23">
        <v>30</v>
      </c>
      <c r="AD2443" s="23">
        <v>0</v>
      </c>
      <c r="AE2443" s="23">
        <v>10</v>
      </c>
      <c r="AF2443" s="23" t="s">
        <v>9622</v>
      </c>
      <c r="AG2443" s="23" t="s">
        <v>659</v>
      </c>
      <c r="AH2443" s="39">
        <v>45796</v>
      </c>
      <c r="AI2443" s="53" t="s">
        <v>5851</v>
      </c>
    </row>
    <row r="2444" spans="1:54" ht="96">
      <c r="A2444" s="134" t="s">
        <v>13964</v>
      </c>
      <c r="B2444" s="23" t="s">
        <v>13958</v>
      </c>
      <c r="C2444" s="140">
        <v>45783</v>
      </c>
      <c r="D2444" s="23" t="s">
        <v>729</v>
      </c>
      <c r="E2444" s="23" t="s">
        <v>752</v>
      </c>
      <c r="F2444" s="23" t="s">
        <v>2200</v>
      </c>
      <c r="G2444" s="23" t="s">
        <v>301</v>
      </c>
      <c r="H2444" s="23">
        <v>20604974</v>
      </c>
      <c r="I2444" s="23">
        <v>20604974</v>
      </c>
      <c r="J2444" s="140">
        <v>45781</v>
      </c>
      <c r="K2444" s="23" t="s">
        <v>13959</v>
      </c>
      <c r="L2444" s="140">
        <v>45786</v>
      </c>
      <c r="O2444" s="23" t="s">
        <v>14010</v>
      </c>
      <c r="P2444" s="23" t="s">
        <v>14011</v>
      </c>
      <c r="Q2444" s="140">
        <v>45802</v>
      </c>
      <c r="T2444" s="23" t="s">
        <v>305</v>
      </c>
      <c r="U2444" s="23" t="s">
        <v>305</v>
      </c>
      <c r="V2444" s="23" t="s">
        <v>299</v>
      </c>
      <c r="W2444" s="23" t="s">
        <v>13500</v>
      </c>
      <c r="Y2444" s="23">
        <v>23724</v>
      </c>
      <c r="Z2444" s="23">
        <v>210600</v>
      </c>
      <c r="AB2444" s="19" t="s">
        <v>14054</v>
      </c>
      <c r="AC2444" s="23">
        <v>18</v>
      </c>
      <c r="AD2444" s="23">
        <v>0</v>
      </c>
      <c r="AE2444" s="23">
        <v>6</v>
      </c>
      <c r="AF2444" s="23" t="s">
        <v>9622</v>
      </c>
      <c r="AG2444" s="23" t="s">
        <v>659</v>
      </c>
      <c r="AH2444" s="39">
        <v>45796</v>
      </c>
      <c r="AI2444" s="53" t="s">
        <v>5851</v>
      </c>
    </row>
    <row r="2445" spans="1:54">
      <c r="A2445" s="75" t="s">
        <v>13965</v>
      </c>
      <c r="B2445" s="23" t="s">
        <v>13960</v>
      </c>
      <c r="C2445" s="140">
        <v>45800</v>
      </c>
      <c r="D2445" s="23" t="s">
        <v>729</v>
      </c>
      <c r="E2445" s="23" t="s">
        <v>3773</v>
      </c>
      <c r="F2445" s="23" t="s">
        <v>12847</v>
      </c>
      <c r="G2445" s="23" t="s">
        <v>12867</v>
      </c>
      <c r="H2445" s="23" t="s">
        <v>14027</v>
      </c>
      <c r="I2445" s="23" t="s">
        <v>14027</v>
      </c>
      <c r="J2445" s="140">
        <v>45769</v>
      </c>
      <c r="S2445" s="23" t="s">
        <v>300</v>
      </c>
      <c r="T2445" s="23" t="s">
        <v>12031</v>
      </c>
      <c r="U2445" s="23" t="s">
        <v>12031</v>
      </c>
      <c r="V2445" s="23" t="s">
        <v>233</v>
      </c>
      <c r="W2445" s="23" t="s">
        <v>13716</v>
      </c>
      <c r="X2445" s="37">
        <v>7872</v>
      </c>
      <c r="Y2445" s="37">
        <v>8588</v>
      </c>
      <c r="Z2445" s="37">
        <v>101900</v>
      </c>
      <c r="AB2445" s="23" t="s">
        <v>14030</v>
      </c>
      <c r="AC2445" s="23" t="s">
        <v>14028</v>
      </c>
      <c r="AD2445" s="23">
        <v>0</v>
      </c>
      <c r="AE2445" s="23">
        <v>0</v>
      </c>
      <c r="AF2445" s="23" t="s">
        <v>97</v>
      </c>
      <c r="AG2445" s="23" t="s">
        <v>13682</v>
      </c>
      <c r="AH2445" s="39">
        <v>45804</v>
      </c>
      <c r="AI2445" s="53" t="s">
        <v>13552</v>
      </c>
    </row>
    <row r="2446" spans="1:54" ht="32">
      <c r="A2446" s="75" t="s">
        <v>13966</v>
      </c>
      <c r="B2446" s="19" t="s">
        <v>13961</v>
      </c>
      <c r="C2446" s="140">
        <v>45787</v>
      </c>
      <c r="D2446" s="23" t="s">
        <v>729</v>
      </c>
      <c r="E2446" s="23" t="s">
        <v>752</v>
      </c>
      <c r="F2446" s="23" t="s">
        <v>11006</v>
      </c>
      <c r="G2446" s="23" t="s">
        <v>5538</v>
      </c>
      <c r="H2446" s="23" t="s">
        <v>13962</v>
      </c>
      <c r="I2446" s="23" t="s">
        <v>13962</v>
      </c>
      <c r="J2446" s="140">
        <v>45775</v>
      </c>
      <c r="T2446" s="23" t="s">
        <v>12031</v>
      </c>
      <c r="U2446" s="23" t="s">
        <v>12031</v>
      </c>
      <c r="V2446" s="23" t="s">
        <v>299</v>
      </c>
      <c r="W2446" s="23" t="s">
        <v>13963</v>
      </c>
      <c r="Y2446" s="23">
        <v>7606</v>
      </c>
      <c r="Z2446" s="23">
        <v>66000</v>
      </c>
      <c r="AB2446" s="60" t="s">
        <v>13968</v>
      </c>
      <c r="AC2446" s="23">
        <v>4</v>
      </c>
      <c r="AD2446" s="23">
        <v>0</v>
      </c>
      <c r="AE2446" s="23">
        <v>2</v>
      </c>
      <c r="AF2446" s="23" t="s">
        <v>9622</v>
      </c>
      <c r="AG2446" s="23" t="s">
        <v>12356</v>
      </c>
      <c r="AH2446" s="39">
        <v>45797</v>
      </c>
      <c r="AI2446" s="53" t="s">
        <v>11984</v>
      </c>
    </row>
    <row r="2447" spans="1:54">
      <c r="A2447" s="75" t="s">
        <v>13975</v>
      </c>
      <c r="B2447" s="23">
        <v>251420180</v>
      </c>
      <c r="C2447" s="140">
        <v>45740</v>
      </c>
      <c r="D2447" s="23" t="s">
        <v>729</v>
      </c>
      <c r="E2447" s="23" t="s">
        <v>752</v>
      </c>
      <c r="F2447" s="23" t="s">
        <v>11006</v>
      </c>
      <c r="G2447" s="23" t="s">
        <v>5538</v>
      </c>
      <c r="H2447" s="23" t="s">
        <v>13977</v>
      </c>
      <c r="I2447" s="23" t="s">
        <v>13977</v>
      </c>
      <c r="J2447" s="140">
        <v>45734</v>
      </c>
      <c r="T2447" s="23" t="s">
        <v>12031</v>
      </c>
      <c r="U2447" s="23" t="s">
        <v>12031</v>
      </c>
      <c r="V2447" s="23" t="s">
        <v>299</v>
      </c>
      <c r="W2447" s="23" t="s">
        <v>13978</v>
      </c>
      <c r="Y2447" s="23">
        <v>5612</v>
      </c>
      <c r="Z2447" s="23">
        <v>170000</v>
      </c>
      <c r="AB2447" s="59" t="s">
        <v>13979</v>
      </c>
      <c r="AC2447" s="23">
        <v>2</v>
      </c>
      <c r="AD2447" s="23">
        <v>0</v>
      </c>
      <c r="AE2447" s="23">
        <v>1</v>
      </c>
      <c r="AF2447" s="23" t="s">
        <v>9622</v>
      </c>
      <c r="AG2447" s="23" t="s">
        <v>13980</v>
      </c>
      <c r="AH2447" s="39">
        <v>45798</v>
      </c>
      <c r="AI2447" s="53" t="s">
        <v>13973</v>
      </c>
    </row>
    <row r="2448" spans="1:54">
      <c r="A2448" s="75" t="s">
        <v>13990</v>
      </c>
      <c r="B2448" s="23" t="s">
        <v>13991</v>
      </c>
      <c r="C2448" s="140">
        <v>45786</v>
      </c>
      <c r="D2448" s="23" t="s">
        <v>729</v>
      </c>
      <c r="E2448" s="23" t="s">
        <v>752</v>
      </c>
      <c r="F2448" s="23" t="s">
        <v>2200</v>
      </c>
      <c r="G2448" s="23" t="s">
        <v>301</v>
      </c>
      <c r="H2448" s="23">
        <v>70434708</v>
      </c>
      <c r="I2448" s="23">
        <v>70434708</v>
      </c>
      <c r="J2448" s="140">
        <v>45786</v>
      </c>
      <c r="K2448" s="23" t="s">
        <v>13995</v>
      </c>
      <c r="L2448" s="140">
        <v>45799</v>
      </c>
      <c r="O2448" s="23" t="s">
        <v>14033</v>
      </c>
      <c r="P2448" s="23" t="s">
        <v>14032</v>
      </c>
      <c r="Q2448" s="140">
        <v>45796</v>
      </c>
      <c r="T2448" s="23" t="s">
        <v>305</v>
      </c>
      <c r="U2448" s="23" t="s">
        <v>305</v>
      </c>
      <c r="V2448" s="23" t="s">
        <v>299</v>
      </c>
      <c r="W2448" s="23" t="s">
        <v>13992</v>
      </c>
      <c r="Y2448" s="23">
        <v>7722</v>
      </c>
      <c r="Z2448" s="23">
        <v>88000</v>
      </c>
      <c r="AB2448" s="59" t="s">
        <v>13993</v>
      </c>
      <c r="AC2448" s="23">
        <v>44</v>
      </c>
      <c r="AD2448" s="23">
        <v>0</v>
      </c>
      <c r="AE2448" s="23">
        <v>1</v>
      </c>
      <c r="AF2448" s="23" t="s">
        <v>9622</v>
      </c>
      <c r="AG2448" s="23" t="s">
        <v>13994</v>
      </c>
      <c r="AH2448" s="39">
        <v>45797</v>
      </c>
    </row>
    <row r="2449" spans="1:54" ht="32">
      <c r="A2449" s="75" t="s">
        <v>13999</v>
      </c>
      <c r="B2449" s="23" t="s">
        <v>14000</v>
      </c>
      <c r="C2449" s="140">
        <v>45791</v>
      </c>
      <c r="D2449" s="23" t="s">
        <v>729</v>
      </c>
      <c r="E2449" s="23" t="s">
        <v>752</v>
      </c>
      <c r="F2449" s="23" t="s">
        <v>2200</v>
      </c>
      <c r="G2449" s="23" t="s">
        <v>301</v>
      </c>
      <c r="H2449" s="23">
        <v>20602181</v>
      </c>
      <c r="I2449" s="23">
        <v>20602181</v>
      </c>
      <c r="J2449" s="140">
        <v>45790</v>
      </c>
      <c r="K2449" s="23" t="s">
        <v>14074</v>
      </c>
      <c r="L2449" s="140">
        <v>45817</v>
      </c>
      <c r="P2449" s="23" t="s">
        <v>14034</v>
      </c>
      <c r="Q2449" s="140">
        <v>45806</v>
      </c>
      <c r="T2449" s="23" t="s">
        <v>305</v>
      </c>
      <c r="U2449" s="23" t="s">
        <v>305</v>
      </c>
      <c r="V2449" s="23" t="s">
        <v>299</v>
      </c>
      <c r="W2449" s="23" t="s">
        <v>14001</v>
      </c>
      <c r="Y2449" s="23">
        <v>7540</v>
      </c>
      <c r="Z2449" s="23">
        <v>183200</v>
      </c>
      <c r="AB2449" s="19" t="s">
        <v>14002</v>
      </c>
      <c r="AC2449" s="23">
        <v>4</v>
      </c>
      <c r="AD2449" s="23">
        <v>0</v>
      </c>
      <c r="AE2449" s="23">
        <v>2</v>
      </c>
      <c r="AF2449" s="23" t="s">
        <v>9622</v>
      </c>
      <c r="AG2449" s="23" t="s">
        <v>659</v>
      </c>
      <c r="AH2449" s="39">
        <v>45803</v>
      </c>
      <c r="AI2449" s="53" t="s">
        <v>5851</v>
      </c>
    </row>
    <row r="2450" spans="1:54" ht="48">
      <c r="A2450" s="75" t="s">
        <v>14003</v>
      </c>
      <c r="B2450" s="23" t="s">
        <v>14004</v>
      </c>
      <c r="C2450" s="140">
        <v>45803</v>
      </c>
      <c r="D2450" s="23" t="s">
        <v>729</v>
      </c>
      <c r="E2450" s="23" t="s">
        <v>2919</v>
      </c>
      <c r="F2450" s="23" t="s">
        <v>13558</v>
      </c>
      <c r="G2450" s="23" t="s">
        <v>13567</v>
      </c>
      <c r="H2450" s="23" t="s">
        <v>14005</v>
      </c>
      <c r="I2450" s="23" t="s">
        <v>14005</v>
      </c>
      <c r="J2450" s="140">
        <v>45797</v>
      </c>
      <c r="Q2450" s="140">
        <v>45806</v>
      </c>
      <c r="S2450" s="23" t="s">
        <v>184</v>
      </c>
      <c r="T2450" s="23" t="s">
        <v>12326</v>
      </c>
      <c r="U2450" s="23" t="s">
        <v>12326</v>
      </c>
      <c r="V2450" s="23" t="s">
        <v>233</v>
      </c>
      <c r="W2450" s="23" t="s">
        <v>14006</v>
      </c>
      <c r="X2450" s="37">
        <v>12250</v>
      </c>
      <c r="Y2450" s="37">
        <v>12650</v>
      </c>
      <c r="Z2450" s="37">
        <v>114277.4</v>
      </c>
      <c r="AB2450" s="23" t="s">
        <v>97</v>
      </c>
      <c r="AC2450" s="23" t="s">
        <v>14007</v>
      </c>
      <c r="AD2450" s="23">
        <v>0</v>
      </c>
      <c r="AE2450" s="23">
        <v>0</v>
      </c>
      <c r="AF2450" s="23" t="s">
        <v>97</v>
      </c>
      <c r="AG2450" s="23" t="s">
        <v>14008</v>
      </c>
      <c r="AH2450" s="39">
        <v>45803</v>
      </c>
      <c r="AI2450" s="53" t="s">
        <v>14009</v>
      </c>
      <c r="BB2450" s="19" t="s">
        <v>14047</v>
      </c>
    </row>
    <row r="2451" spans="1:54">
      <c r="A2451" s="134" t="s">
        <v>14012</v>
      </c>
      <c r="B2451" s="23" t="s">
        <v>14013</v>
      </c>
      <c r="C2451" s="140">
        <v>45798</v>
      </c>
      <c r="D2451" s="23" t="s">
        <v>729</v>
      </c>
      <c r="E2451" s="23" t="s">
        <v>752</v>
      </c>
      <c r="F2451" s="23" t="s">
        <v>2200</v>
      </c>
      <c r="G2451" s="23" t="s">
        <v>301</v>
      </c>
      <c r="H2451" s="23">
        <v>20605925</v>
      </c>
      <c r="I2451" s="23">
        <v>20605925</v>
      </c>
      <c r="J2451" s="140">
        <v>45797</v>
      </c>
      <c r="K2451" s="23" t="s">
        <v>14014</v>
      </c>
      <c r="L2451" s="140">
        <v>45799</v>
      </c>
      <c r="T2451" s="23" t="s">
        <v>12031</v>
      </c>
      <c r="U2451" s="23" t="s">
        <v>12031</v>
      </c>
      <c r="V2451" s="23" t="s">
        <v>299</v>
      </c>
      <c r="W2451" s="23" t="s">
        <v>12859</v>
      </c>
      <c r="Y2451" s="23">
        <v>14130</v>
      </c>
      <c r="Z2451" s="23">
        <v>144000</v>
      </c>
      <c r="AB2451" s="59" t="s">
        <v>14029</v>
      </c>
      <c r="AC2451" s="23">
        <v>9</v>
      </c>
      <c r="AD2451" s="23">
        <v>0</v>
      </c>
      <c r="AE2451" s="23">
        <v>3</v>
      </c>
      <c r="AF2451" s="23" t="s">
        <v>9622</v>
      </c>
      <c r="AG2451" s="23" t="s">
        <v>659</v>
      </c>
      <c r="AH2451" s="39">
        <v>45804</v>
      </c>
      <c r="AI2451" s="53" t="s">
        <v>5851</v>
      </c>
    </row>
    <row r="2452" spans="1:54" ht="80">
      <c r="A2452" s="134" t="s">
        <v>14015</v>
      </c>
      <c r="B2452" s="23" t="s">
        <v>14016</v>
      </c>
      <c r="C2452" s="140">
        <v>45798</v>
      </c>
      <c r="D2452" s="23" t="s">
        <v>729</v>
      </c>
      <c r="E2452" s="23" t="s">
        <v>752</v>
      </c>
      <c r="F2452" s="23" t="s">
        <v>2200</v>
      </c>
      <c r="G2452" s="23" t="s">
        <v>301</v>
      </c>
      <c r="H2452" s="23">
        <v>20605924</v>
      </c>
      <c r="I2452" s="23">
        <v>20605924</v>
      </c>
      <c r="J2452" s="140">
        <v>45797</v>
      </c>
      <c r="K2452" s="23" t="s">
        <v>14017</v>
      </c>
      <c r="L2452" s="140">
        <v>45799</v>
      </c>
      <c r="T2452" s="23" t="s">
        <v>12031</v>
      </c>
      <c r="U2452" s="23" t="s">
        <v>12031</v>
      </c>
      <c r="V2452" s="23" t="s">
        <v>299</v>
      </c>
      <c r="W2452" s="23" t="s">
        <v>13500</v>
      </c>
      <c r="Y2452" s="23">
        <v>19770</v>
      </c>
      <c r="Z2452" s="23">
        <v>175500</v>
      </c>
      <c r="AB2452" s="19" t="s">
        <v>14055</v>
      </c>
      <c r="AC2452" s="23">
        <v>15</v>
      </c>
      <c r="AD2452" s="23">
        <v>0</v>
      </c>
      <c r="AE2452" s="23">
        <v>5</v>
      </c>
      <c r="AF2452" s="23" t="s">
        <v>9622</v>
      </c>
      <c r="AG2452" s="23" t="s">
        <v>659</v>
      </c>
      <c r="AH2452" s="39">
        <v>45804</v>
      </c>
      <c r="AI2452" s="53" t="s">
        <v>5851</v>
      </c>
    </row>
    <row r="2453" spans="1:54" ht="192">
      <c r="A2453" s="134" t="s">
        <v>14018</v>
      </c>
      <c r="B2453" s="23" t="s">
        <v>14019</v>
      </c>
      <c r="C2453" s="140">
        <v>45798</v>
      </c>
      <c r="D2453" s="23" t="s">
        <v>729</v>
      </c>
      <c r="E2453" s="23" t="s">
        <v>752</v>
      </c>
      <c r="F2453" s="23" t="s">
        <v>2200</v>
      </c>
      <c r="G2453" s="23" t="s">
        <v>301</v>
      </c>
      <c r="H2453" s="23">
        <v>20605923</v>
      </c>
      <c r="I2453" s="23">
        <v>20605923</v>
      </c>
      <c r="J2453" s="140">
        <v>45797</v>
      </c>
      <c r="K2453" s="23" t="s">
        <v>14020</v>
      </c>
      <c r="L2453" s="140">
        <v>45799</v>
      </c>
      <c r="T2453" s="23" t="s">
        <v>12031</v>
      </c>
      <c r="U2453" s="23" t="s">
        <v>12031</v>
      </c>
      <c r="V2453" s="23" t="s">
        <v>299</v>
      </c>
      <c r="W2453" s="23" t="s">
        <v>13802</v>
      </c>
      <c r="Y2453" s="23">
        <v>47448</v>
      </c>
      <c r="Z2453" s="38">
        <v>2444040</v>
      </c>
      <c r="AB2453" s="19" t="s">
        <v>14021</v>
      </c>
      <c r="AC2453" s="23">
        <v>36</v>
      </c>
      <c r="AD2453" s="23">
        <v>0</v>
      </c>
      <c r="AE2453" s="23">
        <v>12</v>
      </c>
      <c r="AF2453" s="23" t="s">
        <v>9622</v>
      </c>
      <c r="AG2453" s="23" t="s">
        <v>659</v>
      </c>
      <c r="AH2453" s="39">
        <v>45804</v>
      </c>
      <c r="AI2453" s="53" t="s">
        <v>5851</v>
      </c>
    </row>
    <row r="2454" spans="1:54" ht="48">
      <c r="A2454" s="75" t="s">
        <v>14022</v>
      </c>
      <c r="B2454" s="23" t="s">
        <v>14023</v>
      </c>
      <c r="C2454" s="140">
        <v>45794</v>
      </c>
      <c r="D2454" s="23" t="s">
        <v>729</v>
      </c>
      <c r="E2454" s="23" t="s">
        <v>3773</v>
      </c>
      <c r="F2454" s="23" t="s">
        <v>12847</v>
      </c>
      <c r="G2454" s="23" t="s">
        <v>12867</v>
      </c>
      <c r="H2454" s="23" t="s">
        <v>14024</v>
      </c>
      <c r="I2454" s="23" t="s">
        <v>14024</v>
      </c>
      <c r="J2454" s="140">
        <v>45785</v>
      </c>
      <c r="P2454" s="23" t="s">
        <v>14031</v>
      </c>
      <c r="Q2454" s="140">
        <v>45801</v>
      </c>
      <c r="S2454" s="23" t="s">
        <v>300</v>
      </c>
      <c r="T2454" s="23" t="s">
        <v>12031</v>
      </c>
      <c r="U2454" s="23" t="s">
        <v>12031</v>
      </c>
      <c r="V2454" s="23" t="s">
        <v>233</v>
      </c>
      <c r="W2454" s="23" t="s">
        <v>14025</v>
      </c>
      <c r="X2454" s="23">
        <v>850</v>
      </c>
      <c r="Y2454" s="23">
        <v>940</v>
      </c>
      <c r="Z2454" s="37">
        <v>3007.62</v>
      </c>
      <c r="AB2454" s="23" t="s">
        <v>14035</v>
      </c>
      <c r="AC2454" s="23" t="s">
        <v>1696</v>
      </c>
      <c r="AD2454" s="23">
        <v>0</v>
      </c>
      <c r="AE2454" s="23">
        <v>0</v>
      </c>
      <c r="AF2454" s="23" t="s">
        <v>97</v>
      </c>
      <c r="AG2454" s="23" t="s">
        <v>14026</v>
      </c>
      <c r="AH2454" s="39">
        <v>45804</v>
      </c>
      <c r="AI2454" s="53" t="s">
        <v>13946</v>
      </c>
      <c r="BB2454" s="19" t="s">
        <v>14197</v>
      </c>
    </row>
    <row r="2455" spans="1:54">
      <c r="A2455" s="75" t="s">
        <v>14040</v>
      </c>
      <c r="B2455" s="23" t="s">
        <v>14041</v>
      </c>
      <c r="C2455" s="140">
        <v>45789</v>
      </c>
      <c r="D2455" s="23" t="s">
        <v>729</v>
      </c>
      <c r="E2455" s="23" t="s">
        <v>3773</v>
      </c>
      <c r="F2455" s="23" t="s">
        <v>2200</v>
      </c>
      <c r="G2455" s="23" t="s">
        <v>301</v>
      </c>
      <c r="H2455" s="23">
        <v>55025095</v>
      </c>
      <c r="I2455" s="23">
        <v>55025095</v>
      </c>
      <c r="J2455" s="140">
        <v>45765</v>
      </c>
      <c r="K2455" s="23" t="s">
        <v>14042</v>
      </c>
      <c r="L2455" s="140">
        <v>45797</v>
      </c>
      <c r="O2455" s="23" t="s">
        <v>14062</v>
      </c>
      <c r="P2455" s="23" t="s">
        <v>14063</v>
      </c>
      <c r="Q2455" s="140">
        <v>45808</v>
      </c>
      <c r="T2455" s="23" t="s">
        <v>305</v>
      </c>
      <c r="U2455" s="23" t="s">
        <v>305</v>
      </c>
      <c r="V2455" s="23" t="s">
        <v>298</v>
      </c>
      <c r="W2455" s="23" t="s">
        <v>11559</v>
      </c>
      <c r="Y2455" s="23">
        <v>1217</v>
      </c>
      <c r="Z2455" s="23">
        <v>13320</v>
      </c>
      <c r="AB2455" s="23" t="s">
        <v>14043</v>
      </c>
      <c r="AC2455" s="23">
        <v>7</v>
      </c>
      <c r="AD2455" s="23">
        <v>1</v>
      </c>
      <c r="AE2455" s="23">
        <v>0</v>
      </c>
      <c r="AF2455" s="23" t="s">
        <v>9622</v>
      </c>
      <c r="AG2455" s="23" t="s">
        <v>5602</v>
      </c>
      <c r="AH2455" s="39">
        <v>45790</v>
      </c>
    </row>
    <row r="2456" spans="1:54">
      <c r="A2456" s="75" t="s">
        <v>14044</v>
      </c>
      <c r="B2456" s="23">
        <v>253091544</v>
      </c>
      <c r="C2456" s="140">
        <v>45804</v>
      </c>
      <c r="D2456" s="23" t="s">
        <v>729</v>
      </c>
      <c r="E2456" s="23" t="s">
        <v>752</v>
      </c>
      <c r="F2456" s="23" t="s">
        <v>13558</v>
      </c>
      <c r="G2456" s="23" t="s">
        <v>13567</v>
      </c>
      <c r="H2456" s="23" t="s">
        <v>14045</v>
      </c>
      <c r="I2456" s="23" t="s">
        <v>14045</v>
      </c>
      <c r="J2456" s="140">
        <v>45793</v>
      </c>
      <c r="O2456" s="23" t="s">
        <v>14057</v>
      </c>
      <c r="P2456" s="23" t="s">
        <v>14058</v>
      </c>
      <c r="Q2456" s="140">
        <v>45811</v>
      </c>
      <c r="S2456" s="23" t="s">
        <v>184</v>
      </c>
      <c r="T2456" s="23" t="s">
        <v>305</v>
      </c>
      <c r="U2456" s="23" t="s">
        <v>305</v>
      </c>
      <c r="V2456" s="23" t="s">
        <v>233</v>
      </c>
      <c r="W2456" s="23" t="s">
        <v>13569</v>
      </c>
      <c r="X2456" s="23">
        <v>86485</v>
      </c>
      <c r="Y2456" s="23">
        <v>88043</v>
      </c>
      <c r="Z2456" s="23">
        <v>644200</v>
      </c>
      <c r="AB2456" s="23" t="s">
        <v>14059</v>
      </c>
      <c r="AC2456" s="23" t="s">
        <v>14060</v>
      </c>
      <c r="AD2456" s="23">
        <v>0</v>
      </c>
      <c r="AE2456" s="23">
        <v>7</v>
      </c>
      <c r="AF2456" s="23" t="s">
        <v>9622</v>
      </c>
      <c r="AG2456" s="23" t="s">
        <v>13769</v>
      </c>
      <c r="AH2456" s="39">
        <v>45812</v>
      </c>
      <c r="AI2456" s="53" t="s">
        <v>13699</v>
      </c>
    </row>
    <row r="2457" spans="1:54">
      <c r="A2457" s="134" t="s">
        <v>14064</v>
      </c>
      <c r="B2457" s="23" t="s">
        <v>14066</v>
      </c>
      <c r="C2457" s="140">
        <v>45810</v>
      </c>
      <c r="D2457" s="23" t="s">
        <v>729</v>
      </c>
      <c r="E2457" s="23" t="s">
        <v>752</v>
      </c>
      <c r="F2457" s="23" t="s">
        <v>2200</v>
      </c>
      <c r="G2457" s="23" t="s">
        <v>301</v>
      </c>
      <c r="H2457" s="23">
        <v>20608743</v>
      </c>
      <c r="I2457" s="23">
        <v>20608743</v>
      </c>
      <c r="J2457" s="140">
        <v>45807</v>
      </c>
      <c r="K2457" s="23" t="s">
        <v>14072</v>
      </c>
      <c r="L2457" s="140">
        <v>45814</v>
      </c>
      <c r="O2457" s="23" t="s">
        <v>14067</v>
      </c>
      <c r="S2457" s="23" t="s">
        <v>300</v>
      </c>
      <c r="T2457" s="23" t="s">
        <v>12031</v>
      </c>
      <c r="U2457" s="23" t="s">
        <v>12031</v>
      </c>
      <c r="V2457" s="23" t="s">
        <v>299</v>
      </c>
      <c r="W2457" s="23" t="s">
        <v>13264</v>
      </c>
      <c r="Y2457" s="38">
        <v>16240</v>
      </c>
      <c r="Z2457" s="23">
        <v>164000</v>
      </c>
      <c r="AB2457" s="23" t="s">
        <v>14068</v>
      </c>
      <c r="AC2457" s="23">
        <v>8</v>
      </c>
      <c r="AD2457" s="23">
        <v>0</v>
      </c>
      <c r="AE2457" s="23">
        <v>4</v>
      </c>
      <c r="AF2457" s="23" t="s">
        <v>9622</v>
      </c>
      <c r="AG2457" s="23" t="s">
        <v>14069</v>
      </c>
      <c r="AH2457" s="39">
        <v>45817</v>
      </c>
      <c r="AI2457" s="53" t="s">
        <v>5851</v>
      </c>
    </row>
    <row r="2458" spans="1:54">
      <c r="A2458" s="134" t="s">
        <v>14065</v>
      </c>
      <c r="B2458" s="23" t="s">
        <v>14070</v>
      </c>
      <c r="C2458" s="140">
        <v>45810</v>
      </c>
      <c r="D2458" s="23" t="s">
        <v>729</v>
      </c>
      <c r="E2458" s="23" t="s">
        <v>752</v>
      </c>
      <c r="F2458" s="23" t="s">
        <v>2200</v>
      </c>
      <c r="G2458" s="23" t="s">
        <v>301</v>
      </c>
      <c r="H2458" s="23">
        <v>20608744</v>
      </c>
      <c r="I2458" s="23">
        <v>20608744</v>
      </c>
      <c r="J2458" s="140">
        <v>45807</v>
      </c>
      <c r="K2458" s="23" t="s">
        <v>14073</v>
      </c>
      <c r="L2458" s="140">
        <v>45814</v>
      </c>
      <c r="O2458" s="23" t="s">
        <v>14067</v>
      </c>
      <c r="S2458" s="23" t="s">
        <v>300</v>
      </c>
      <c r="T2458" s="23" t="s">
        <v>12031</v>
      </c>
      <c r="U2458" s="23" t="s">
        <v>12031</v>
      </c>
      <c r="V2458" s="23" t="s">
        <v>299</v>
      </c>
      <c r="W2458" s="23" t="s">
        <v>12524</v>
      </c>
      <c r="Y2458" s="38">
        <v>59310</v>
      </c>
      <c r="Z2458" s="23">
        <v>3055050</v>
      </c>
      <c r="AB2458" s="23" t="s">
        <v>14071</v>
      </c>
      <c r="AC2458" s="23">
        <v>45</v>
      </c>
      <c r="AD2458" s="23">
        <v>0</v>
      </c>
      <c r="AE2458" s="23">
        <v>15</v>
      </c>
      <c r="AF2458" s="23" t="s">
        <v>9622</v>
      </c>
      <c r="AG2458" s="23" t="s">
        <v>1553</v>
      </c>
      <c r="AH2458" s="39">
        <v>45817</v>
      </c>
      <c r="AI2458" s="53" t="s">
        <v>5851</v>
      </c>
    </row>
    <row r="2459" spans="1:54" ht="48">
      <c r="A2459" s="75" t="s">
        <v>14075</v>
      </c>
      <c r="B2459" s="23" t="s">
        <v>14076</v>
      </c>
      <c r="C2459" s="140">
        <v>45817</v>
      </c>
      <c r="D2459" s="23" t="s">
        <v>729</v>
      </c>
      <c r="E2459" s="23" t="s">
        <v>2919</v>
      </c>
      <c r="F2459" s="23" t="s">
        <v>13558</v>
      </c>
      <c r="G2459" s="23" t="s">
        <v>13567</v>
      </c>
      <c r="H2459" s="23" t="s">
        <v>14077</v>
      </c>
      <c r="I2459" s="23" t="s">
        <v>14077</v>
      </c>
      <c r="J2459" s="140">
        <v>45777</v>
      </c>
      <c r="P2459" s="23" t="s">
        <v>14078</v>
      </c>
      <c r="S2459" s="23" t="s">
        <v>184</v>
      </c>
      <c r="T2459" s="23" t="s">
        <v>12326</v>
      </c>
      <c r="U2459" s="23" t="s">
        <v>12326</v>
      </c>
      <c r="V2459" s="23" t="s">
        <v>233</v>
      </c>
      <c r="W2459" s="23" t="s">
        <v>14006</v>
      </c>
      <c r="X2459" s="38">
        <v>2800</v>
      </c>
      <c r="Y2459" s="38">
        <v>2900</v>
      </c>
      <c r="Z2459" s="37">
        <v>117926.37</v>
      </c>
      <c r="AB2459" s="23" t="s">
        <v>14079</v>
      </c>
      <c r="AC2459" s="23" t="s">
        <v>5468</v>
      </c>
      <c r="AD2459" s="23">
        <v>0</v>
      </c>
      <c r="AE2459" s="23">
        <v>1</v>
      </c>
      <c r="AF2459" s="23" t="s">
        <v>9622</v>
      </c>
      <c r="AG2459" s="23" t="s">
        <v>13849</v>
      </c>
      <c r="AH2459" s="39">
        <v>45819</v>
      </c>
      <c r="BB2459" s="19" t="s">
        <v>14130</v>
      </c>
    </row>
    <row r="2460" spans="1:54" ht="48">
      <c r="A2460" s="75" t="s">
        <v>14080</v>
      </c>
      <c r="B2460" s="23" t="s">
        <v>14081</v>
      </c>
      <c r="C2460" s="140">
        <v>45820</v>
      </c>
      <c r="D2460" s="23" t="s">
        <v>729</v>
      </c>
      <c r="E2460" s="23" t="s">
        <v>2861</v>
      </c>
      <c r="F2460" s="23" t="s">
        <v>12847</v>
      </c>
      <c r="G2460" s="23" t="s">
        <v>12867</v>
      </c>
      <c r="H2460" s="23" t="s">
        <v>14082</v>
      </c>
      <c r="I2460" s="23" t="s">
        <v>14082</v>
      </c>
      <c r="J2460" s="140">
        <v>45820</v>
      </c>
      <c r="O2460" s="23" t="s">
        <v>14083</v>
      </c>
      <c r="S2460" s="23" t="s">
        <v>184</v>
      </c>
      <c r="T2460" s="23" t="s">
        <v>12326</v>
      </c>
      <c r="U2460" s="23" t="s">
        <v>12326</v>
      </c>
      <c r="V2460" s="23" t="s">
        <v>233</v>
      </c>
      <c r="W2460" s="23" t="s">
        <v>14084</v>
      </c>
      <c r="X2460" s="23">
        <v>350</v>
      </c>
      <c r="Y2460" s="23">
        <v>425</v>
      </c>
      <c r="Z2460" s="38">
        <v>11275</v>
      </c>
      <c r="AB2460" s="23" t="s">
        <v>97</v>
      </c>
      <c r="AC2460" s="23" t="s">
        <v>14085</v>
      </c>
      <c r="AD2460" s="23">
        <v>0</v>
      </c>
      <c r="AE2460" s="23">
        <v>0</v>
      </c>
      <c r="AF2460" s="23" t="s">
        <v>97</v>
      </c>
      <c r="AG2460" s="23" t="s">
        <v>13927</v>
      </c>
      <c r="AH2460" s="39">
        <v>45820</v>
      </c>
      <c r="AI2460" s="53" t="s">
        <v>14086</v>
      </c>
      <c r="BB2460" s="19" t="s">
        <v>14131</v>
      </c>
    </row>
    <row r="2461" spans="1:54">
      <c r="A2461" s="134" t="s">
        <v>14087</v>
      </c>
      <c r="B2461" s="23" t="s">
        <v>14089</v>
      </c>
      <c r="C2461" s="140">
        <v>45818</v>
      </c>
      <c r="D2461" s="23" t="s">
        <v>729</v>
      </c>
      <c r="E2461" s="23" t="s">
        <v>752</v>
      </c>
      <c r="F2461" s="23" t="s">
        <v>2200</v>
      </c>
      <c r="G2461" s="23" t="s">
        <v>301</v>
      </c>
      <c r="H2461" s="23">
        <v>20610793</v>
      </c>
      <c r="I2461" s="23">
        <v>20610793</v>
      </c>
      <c r="J2461" s="140">
        <v>45815</v>
      </c>
      <c r="K2461" s="23" t="s">
        <v>14090</v>
      </c>
      <c r="L2461" s="140">
        <v>45820</v>
      </c>
      <c r="P2461" s="23" t="s">
        <v>14091</v>
      </c>
      <c r="Q2461" s="140">
        <v>45825</v>
      </c>
      <c r="S2461" s="23" t="s">
        <v>300</v>
      </c>
      <c r="T2461" s="23" t="s">
        <v>12031</v>
      </c>
      <c r="U2461" s="23" t="s">
        <v>12031</v>
      </c>
      <c r="V2461" s="23" t="s">
        <v>299</v>
      </c>
      <c r="W2461" s="23" t="s">
        <v>12524</v>
      </c>
      <c r="X2461" s="23">
        <v>47448</v>
      </c>
      <c r="Y2461" s="23">
        <v>47448</v>
      </c>
      <c r="Z2461" s="23">
        <v>2444040</v>
      </c>
      <c r="AB2461" s="23" t="s">
        <v>14092</v>
      </c>
      <c r="AC2461" s="23">
        <v>36</v>
      </c>
      <c r="AD2461" s="23">
        <v>0</v>
      </c>
      <c r="AE2461" s="23">
        <v>12</v>
      </c>
      <c r="AF2461" s="23" t="s">
        <v>9622</v>
      </c>
      <c r="AG2461" s="23" t="s">
        <v>1553</v>
      </c>
      <c r="AH2461" s="39">
        <v>45824</v>
      </c>
      <c r="AI2461" s="53" t="s">
        <v>5851</v>
      </c>
    </row>
    <row r="2462" spans="1:54" ht="48">
      <c r="A2462" s="75" t="s">
        <v>14088</v>
      </c>
      <c r="B2462" s="23" t="s">
        <v>14093</v>
      </c>
      <c r="C2462" s="140">
        <v>45813</v>
      </c>
      <c r="D2462" s="23" t="s">
        <v>729</v>
      </c>
      <c r="E2462" s="23" t="s">
        <v>2861</v>
      </c>
      <c r="F2462" s="23" t="s">
        <v>11006</v>
      </c>
      <c r="G2462" s="23" t="s">
        <v>5538</v>
      </c>
      <c r="H2462" s="23" t="s">
        <v>14094</v>
      </c>
      <c r="I2462" s="23" t="s">
        <v>14094</v>
      </c>
      <c r="J2462" s="140">
        <v>45810</v>
      </c>
      <c r="T2462" s="23" t="s">
        <v>12326</v>
      </c>
      <c r="U2462" s="23" t="s">
        <v>12326</v>
      </c>
      <c r="V2462" s="23" t="s">
        <v>299</v>
      </c>
      <c r="W2462" s="23" t="s">
        <v>14095</v>
      </c>
      <c r="Y2462" s="23">
        <v>3000</v>
      </c>
      <c r="Z2462" s="23">
        <v>59000</v>
      </c>
      <c r="AB2462" s="23" t="s">
        <v>97</v>
      </c>
      <c r="AC2462" s="23">
        <v>1</v>
      </c>
      <c r="AD2462" s="23">
        <v>0</v>
      </c>
      <c r="AE2462" s="23">
        <v>0</v>
      </c>
      <c r="AF2462" s="23" t="s">
        <v>97</v>
      </c>
      <c r="AG2462" s="23" t="s">
        <v>2852</v>
      </c>
      <c r="AH2462" s="39">
        <v>45825</v>
      </c>
      <c r="AI2462" s="53" t="s">
        <v>13437</v>
      </c>
      <c r="BB2462" s="19" t="s">
        <v>14180</v>
      </c>
    </row>
    <row r="2463" spans="1:54">
      <c r="A2463" s="75" t="s">
        <v>14096</v>
      </c>
      <c r="B2463" s="23" t="s">
        <v>14098</v>
      </c>
      <c r="C2463" s="140">
        <v>45818</v>
      </c>
      <c r="D2463" s="23" t="s">
        <v>729</v>
      </c>
      <c r="E2463" s="23" t="s">
        <v>3773</v>
      </c>
      <c r="F2463" s="23" t="s">
        <v>10928</v>
      </c>
      <c r="G2463" s="23" t="s">
        <v>3469</v>
      </c>
      <c r="H2463" s="23" t="s">
        <v>14112</v>
      </c>
      <c r="I2463" s="23" t="s">
        <v>14112</v>
      </c>
      <c r="J2463" s="140">
        <v>45812</v>
      </c>
      <c r="S2463" s="23" t="s">
        <v>300</v>
      </c>
      <c r="T2463" s="23" t="s">
        <v>12031</v>
      </c>
      <c r="U2463" s="23" t="s">
        <v>12031</v>
      </c>
      <c r="V2463" s="23" t="s">
        <v>298</v>
      </c>
      <c r="W2463" s="23" t="s">
        <v>14099</v>
      </c>
      <c r="Y2463" s="23">
        <v>162000</v>
      </c>
      <c r="Z2463" s="23">
        <v>320000</v>
      </c>
      <c r="AB2463" s="23" t="s">
        <v>97</v>
      </c>
      <c r="AC2463" s="23">
        <v>10</v>
      </c>
      <c r="AD2463" s="23">
        <v>0</v>
      </c>
      <c r="AE2463" s="23">
        <v>0</v>
      </c>
      <c r="AF2463" s="23" t="s">
        <v>97</v>
      </c>
      <c r="AG2463" s="23" t="s">
        <v>4893</v>
      </c>
      <c r="AH2463" s="39">
        <v>45825</v>
      </c>
    </row>
    <row r="2464" spans="1:54">
      <c r="A2464" s="75" t="s">
        <v>14097</v>
      </c>
      <c r="B2464" s="23" t="s">
        <v>14100</v>
      </c>
      <c r="C2464" s="140">
        <v>45818</v>
      </c>
      <c r="D2464" s="23" t="s">
        <v>729</v>
      </c>
      <c r="E2464" s="23" t="s">
        <v>3773</v>
      </c>
      <c r="F2464" s="23" t="s">
        <v>14101</v>
      </c>
      <c r="G2464" s="23" t="s">
        <v>14110</v>
      </c>
      <c r="H2464" s="23" t="s">
        <v>14113</v>
      </c>
      <c r="I2464" s="23" t="s">
        <v>14113</v>
      </c>
      <c r="J2464" s="140">
        <v>45812</v>
      </c>
      <c r="S2464" s="23" t="s">
        <v>300</v>
      </c>
      <c r="T2464" s="23" t="s">
        <v>12031</v>
      </c>
      <c r="U2464" s="23" t="s">
        <v>12031</v>
      </c>
      <c r="V2464" s="23" t="s">
        <v>298</v>
      </c>
      <c r="W2464" s="23" t="s">
        <v>14102</v>
      </c>
      <c r="Y2464" s="23">
        <v>25880</v>
      </c>
      <c r="Z2464" s="23">
        <v>81000</v>
      </c>
      <c r="AB2464" s="23" t="s">
        <v>97</v>
      </c>
      <c r="AC2464" s="23">
        <v>2</v>
      </c>
      <c r="AD2464" s="23">
        <v>0</v>
      </c>
      <c r="AE2464" s="23">
        <v>0</v>
      </c>
      <c r="AF2464" s="23" t="s">
        <v>97</v>
      </c>
      <c r="AG2464" s="23" t="s">
        <v>4893</v>
      </c>
      <c r="AH2464" s="39">
        <v>45825</v>
      </c>
    </row>
    <row r="2465" spans="1:54">
      <c r="A2465" s="75" t="s">
        <v>14103</v>
      </c>
      <c r="B2465" s="23" t="s">
        <v>14104</v>
      </c>
      <c r="C2465" s="140">
        <v>45804</v>
      </c>
      <c r="D2465" s="23" t="s">
        <v>729</v>
      </c>
      <c r="E2465" s="23" t="s">
        <v>752</v>
      </c>
      <c r="F2465" s="23" t="s">
        <v>2200</v>
      </c>
      <c r="G2465" s="23" t="s">
        <v>301</v>
      </c>
      <c r="H2465" s="23">
        <v>55025656</v>
      </c>
      <c r="I2465" s="23">
        <v>55025656</v>
      </c>
      <c r="J2465" s="140">
        <v>45791</v>
      </c>
      <c r="K2465" s="23" t="s">
        <v>14154</v>
      </c>
      <c r="L2465" s="140">
        <v>45819</v>
      </c>
      <c r="O2465" s="23" t="s">
        <v>14203</v>
      </c>
      <c r="P2465" s="141" t="s">
        <v>14204</v>
      </c>
      <c r="Q2465" s="141"/>
      <c r="S2465" s="23" t="s">
        <v>3140</v>
      </c>
      <c r="T2465" s="23" t="s">
        <v>305</v>
      </c>
      <c r="U2465" s="23" t="s">
        <v>305</v>
      </c>
      <c r="V2465" s="23" t="s">
        <v>298</v>
      </c>
      <c r="W2465" s="23" t="s">
        <v>3141</v>
      </c>
      <c r="Y2465" s="23">
        <v>7604</v>
      </c>
      <c r="Z2465" s="23">
        <v>68441.999999999985</v>
      </c>
      <c r="AB2465" s="23" t="s">
        <v>14105</v>
      </c>
      <c r="AC2465" s="23" t="s">
        <v>8462</v>
      </c>
      <c r="AD2465" s="23">
        <v>0</v>
      </c>
      <c r="AE2465" s="23">
        <v>1</v>
      </c>
      <c r="AF2465" s="23" t="s">
        <v>9622</v>
      </c>
      <c r="AG2465" s="23" t="s">
        <v>5950</v>
      </c>
      <c r="AH2465" s="39">
        <v>45825</v>
      </c>
    </row>
    <row r="2466" spans="1:54" ht="96">
      <c r="A2466" s="75" t="s">
        <v>14106</v>
      </c>
      <c r="B2466" s="23" t="s">
        <v>14107</v>
      </c>
      <c r="C2466" s="140">
        <v>45803</v>
      </c>
      <c r="D2466" s="23" t="s">
        <v>729</v>
      </c>
      <c r="E2466" s="23" t="s">
        <v>3773</v>
      </c>
      <c r="F2466" s="23" t="s">
        <v>12847</v>
      </c>
      <c r="G2466" s="23" t="s">
        <v>12867</v>
      </c>
      <c r="H2466" s="23" t="s">
        <v>14108</v>
      </c>
      <c r="I2466" s="23" t="s">
        <v>14108</v>
      </c>
      <c r="J2466" s="140">
        <v>45783</v>
      </c>
      <c r="S2466" s="23" t="s">
        <v>300</v>
      </c>
      <c r="T2466" s="23" t="s">
        <v>12031</v>
      </c>
      <c r="U2466" s="23" t="s">
        <v>12031</v>
      </c>
      <c r="V2466" s="23" t="s">
        <v>233</v>
      </c>
      <c r="W2466" s="23" t="s">
        <v>13761</v>
      </c>
      <c r="X2466" s="23">
        <v>223.61</v>
      </c>
      <c r="Y2466" s="23">
        <v>286.54000000000002</v>
      </c>
      <c r="Z2466" s="23" t="s">
        <v>14152</v>
      </c>
      <c r="AB2466" s="23" t="s">
        <v>14153</v>
      </c>
      <c r="AC2466" s="23" t="s">
        <v>14132</v>
      </c>
      <c r="AD2466" s="23">
        <v>0</v>
      </c>
      <c r="AE2466" s="23">
        <v>0</v>
      </c>
      <c r="AF2466" s="23" t="s">
        <v>97</v>
      </c>
      <c r="AG2466" s="23" t="s">
        <v>14151</v>
      </c>
      <c r="AH2466" s="39">
        <v>45825</v>
      </c>
      <c r="AI2466" s="53" t="s">
        <v>14086</v>
      </c>
      <c r="BB2466" s="19" t="s">
        <v>14198</v>
      </c>
    </row>
    <row r="2467" spans="1:54">
      <c r="A2467" s="75" t="s">
        <v>14109</v>
      </c>
      <c r="B2467" s="23" t="s">
        <v>14129</v>
      </c>
      <c r="C2467" s="140">
        <v>45819</v>
      </c>
      <c r="D2467" s="23" t="s">
        <v>729</v>
      </c>
      <c r="E2467" s="23" t="s">
        <v>3773</v>
      </c>
      <c r="F2467" s="23" t="s">
        <v>14117</v>
      </c>
      <c r="G2467" s="23" t="s">
        <v>14111</v>
      </c>
      <c r="H2467" s="23" t="s">
        <v>14114</v>
      </c>
      <c r="I2467" s="23" t="s">
        <v>14114</v>
      </c>
      <c r="J2467" s="140">
        <v>45812</v>
      </c>
      <c r="S2467" s="23" t="s">
        <v>300</v>
      </c>
      <c r="T2467" s="23" t="s">
        <v>12031</v>
      </c>
      <c r="U2467" s="23" t="s">
        <v>12031</v>
      </c>
      <c r="V2467" s="23" t="s">
        <v>298</v>
      </c>
      <c r="W2467" s="23" t="s">
        <v>14184</v>
      </c>
      <c r="Y2467" s="23">
        <v>738000</v>
      </c>
      <c r="Z2467" s="23">
        <v>1707000</v>
      </c>
      <c r="AB2467" s="23" t="s">
        <v>97</v>
      </c>
      <c r="AC2467" s="23">
        <v>60</v>
      </c>
      <c r="AD2467" s="23">
        <v>0</v>
      </c>
      <c r="AE2467" s="23">
        <v>0</v>
      </c>
      <c r="AF2467" s="23" t="s">
        <v>97</v>
      </c>
      <c r="AG2467" s="23" t="s">
        <v>4893</v>
      </c>
      <c r="AH2467" s="39">
        <v>45825</v>
      </c>
    </row>
    <row r="2468" spans="1:54" ht="48">
      <c r="A2468" s="75" t="s">
        <v>14133</v>
      </c>
      <c r="B2468" s="23" t="s">
        <v>14134</v>
      </c>
      <c r="C2468" s="140">
        <v>45823</v>
      </c>
      <c r="D2468" s="23" t="s">
        <v>729</v>
      </c>
      <c r="E2468" s="23" t="s">
        <v>14135</v>
      </c>
      <c r="F2468" s="23" t="s">
        <v>11006</v>
      </c>
      <c r="G2468" s="23" t="s">
        <v>5538</v>
      </c>
      <c r="H2468" s="23" t="s">
        <v>14136</v>
      </c>
      <c r="I2468" s="23" t="s">
        <v>14136</v>
      </c>
      <c r="J2468" s="140">
        <v>45818</v>
      </c>
      <c r="O2468" s="23" t="s">
        <v>14162</v>
      </c>
      <c r="P2468" s="23" t="s">
        <v>14163</v>
      </c>
      <c r="T2468" s="23" t="s">
        <v>12326</v>
      </c>
      <c r="U2468" s="23" t="s">
        <v>12326</v>
      </c>
      <c r="V2468" s="23" t="s">
        <v>299</v>
      </c>
      <c r="W2468" s="23" t="s">
        <v>13441</v>
      </c>
      <c r="Y2468" s="23">
        <v>2884</v>
      </c>
      <c r="Z2468" s="23">
        <v>80000</v>
      </c>
      <c r="AB2468" s="23" t="s">
        <v>14137</v>
      </c>
      <c r="AC2468" s="23">
        <v>1</v>
      </c>
      <c r="AD2468" s="23">
        <v>0</v>
      </c>
      <c r="AE2468" s="23">
        <v>1</v>
      </c>
      <c r="AF2468" s="23" t="s">
        <v>9622</v>
      </c>
      <c r="AG2468" s="23" t="s">
        <v>2852</v>
      </c>
      <c r="AH2468" s="39">
        <v>45828</v>
      </c>
      <c r="AI2468" s="53" t="s">
        <v>13437</v>
      </c>
      <c r="BB2468" s="19" t="s">
        <v>14181</v>
      </c>
    </row>
    <row r="2469" spans="1:54">
      <c r="A2469" s="75" t="s">
        <v>14138</v>
      </c>
      <c r="B2469" s="23">
        <v>254542893</v>
      </c>
      <c r="C2469" s="140">
        <v>45828</v>
      </c>
      <c r="D2469" s="23" t="s">
        <v>729</v>
      </c>
      <c r="E2469" s="23" t="s">
        <v>752</v>
      </c>
      <c r="F2469" s="23" t="s">
        <v>11006</v>
      </c>
      <c r="G2469" s="23" t="s">
        <v>5538</v>
      </c>
      <c r="H2469" s="23" t="s">
        <v>14139</v>
      </c>
      <c r="I2469" s="23" t="s">
        <v>14139</v>
      </c>
      <c r="J2469" s="140">
        <v>45796</v>
      </c>
      <c r="T2469" s="23" t="s">
        <v>12031</v>
      </c>
      <c r="U2469" s="23" t="s">
        <v>12031</v>
      </c>
      <c r="V2469" s="23" t="s">
        <v>299</v>
      </c>
      <c r="W2469" s="23" t="s">
        <v>14140</v>
      </c>
      <c r="Y2469" s="23">
        <v>4680</v>
      </c>
      <c r="Z2469" s="23">
        <v>45000</v>
      </c>
      <c r="AB2469" s="23" t="s">
        <v>14141</v>
      </c>
      <c r="AC2469" s="23">
        <v>3</v>
      </c>
      <c r="AD2469" s="23">
        <v>0</v>
      </c>
      <c r="AE2469" s="23">
        <v>1</v>
      </c>
      <c r="AF2469" s="23" t="s">
        <v>9622</v>
      </c>
      <c r="AG2469" s="23" t="s">
        <v>14142</v>
      </c>
      <c r="AH2469" s="39">
        <v>45828</v>
      </c>
      <c r="AI2469" s="53" t="s">
        <v>12228</v>
      </c>
    </row>
    <row r="2470" spans="1:54">
      <c r="A2470" s="75" t="s">
        <v>14143</v>
      </c>
      <c r="B2470" s="23" t="s">
        <v>14144</v>
      </c>
      <c r="C2470" s="140">
        <v>45817</v>
      </c>
      <c r="D2470" s="23" t="s">
        <v>729</v>
      </c>
      <c r="E2470" s="23" t="s">
        <v>752</v>
      </c>
      <c r="F2470" s="23" t="s">
        <v>12847</v>
      </c>
      <c r="G2470" s="23" t="s">
        <v>12867</v>
      </c>
      <c r="H2470" s="23" t="s">
        <v>14145</v>
      </c>
      <c r="I2470" s="23" t="s">
        <v>14145</v>
      </c>
      <c r="J2470" s="140">
        <v>45803</v>
      </c>
      <c r="O2470" s="23" t="s">
        <v>14201</v>
      </c>
      <c r="P2470" s="23" t="s">
        <v>14202</v>
      </c>
      <c r="S2470" s="23" t="s">
        <v>300</v>
      </c>
      <c r="T2470" s="23" t="s">
        <v>305</v>
      </c>
      <c r="U2470" s="23" t="s">
        <v>305</v>
      </c>
      <c r="V2470" s="23" t="s">
        <v>233</v>
      </c>
      <c r="W2470" s="23" t="s">
        <v>14146</v>
      </c>
      <c r="X2470" s="38">
        <v>24000</v>
      </c>
      <c r="Y2470" s="38">
        <v>24080</v>
      </c>
      <c r="Z2470" s="38">
        <v>64800</v>
      </c>
      <c r="AB2470" s="23" t="s">
        <v>14147</v>
      </c>
      <c r="AC2470" s="23" t="s">
        <v>14148</v>
      </c>
      <c r="AD2470" s="23">
        <v>0</v>
      </c>
      <c r="AE2470" s="23">
        <v>4</v>
      </c>
      <c r="AF2470" s="23" t="s">
        <v>9622</v>
      </c>
      <c r="AG2470" s="23" t="s">
        <v>14149</v>
      </c>
      <c r="AH2470" s="39">
        <v>45831</v>
      </c>
      <c r="AI2470" s="53" t="s">
        <v>14150</v>
      </c>
    </row>
    <row r="2471" spans="1:54">
      <c r="A2471" s="134" t="s">
        <v>14155</v>
      </c>
      <c r="B2471" s="23" t="s">
        <v>14158</v>
      </c>
      <c r="C2471" s="140">
        <v>45827</v>
      </c>
      <c r="D2471" s="23" t="s">
        <v>729</v>
      </c>
      <c r="E2471" s="23" t="s">
        <v>752</v>
      </c>
      <c r="F2471" s="23" t="s">
        <v>2200</v>
      </c>
      <c r="G2471" s="23" t="s">
        <v>301</v>
      </c>
      <c r="H2471" s="23">
        <v>20611305</v>
      </c>
      <c r="I2471" s="23">
        <v>20611305</v>
      </c>
      <c r="J2471" s="140">
        <v>45826</v>
      </c>
      <c r="K2471" s="23" t="s">
        <v>14174</v>
      </c>
      <c r="L2471" s="140">
        <v>45832</v>
      </c>
      <c r="O2471" s="23" t="s">
        <v>14159</v>
      </c>
      <c r="S2471" s="23" t="s">
        <v>300</v>
      </c>
      <c r="T2471" s="23" t="s">
        <v>12031</v>
      </c>
      <c r="U2471" s="23" t="s">
        <v>12031</v>
      </c>
      <c r="V2471" s="23" t="s">
        <v>299</v>
      </c>
      <c r="W2471" s="23" t="s">
        <v>13810</v>
      </c>
      <c r="Y2471" s="23">
        <v>18160</v>
      </c>
      <c r="Z2471" s="23">
        <v>110800</v>
      </c>
      <c r="AB2471" s="23" t="s">
        <v>14175</v>
      </c>
      <c r="AC2471" s="23">
        <v>8</v>
      </c>
      <c r="AD2471" s="23">
        <v>0</v>
      </c>
      <c r="AE2471" s="23">
        <v>4</v>
      </c>
      <c r="AF2471" s="23" t="s">
        <v>9622</v>
      </c>
      <c r="AG2471" s="23" t="s">
        <v>659</v>
      </c>
      <c r="AH2471" s="39">
        <v>45833</v>
      </c>
      <c r="AI2471" s="53" t="s">
        <v>5851</v>
      </c>
    </row>
    <row r="2472" spans="1:54">
      <c r="A2472" s="134" t="s">
        <v>14156</v>
      </c>
      <c r="B2472" s="23" t="s">
        <v>14160</v>
      </c>
      <c r="C2472" s="140">
        <v>45827</v>
      </c>
      <c r="D2472" s="23" t="s">
        <v>729</v>
      </c>
      <c r="E2472" s="23" t="s">
        <v>752</v>
      </c>
      <c r="F2472" s="23" t="s">
        <v>2200</v>
      </c>
      <c r="G2472" s="23" t="s">
        <v>301</v>
      </c>
      <c r="H2472" s="23">
        <v>20611300</v>
      </c>
      <c r="I2472" s="23">
        <v>20611300</v>
      </c>
      <c r="J2472" s="140">
        <v>45826</v>
      </c>
      <c r="K2472" s="23" t="s">
        <v>14171</v>
      </c>
      <c r="L2472" s="140">
        <v>45832</v>
      </c>
      <c r="O2472" s="23" t="s">
        <v>14159</v>
      </c>
      <c r="S2472" s="23" t="s">
        <v>300</v>
      </c>
      <c r="T2472" s="23" t="s">
        <v>12031</v>
      </c>
      <c r="U2472" s="23" t="s">
        <v>12031</v>
      </c>
      <c r="V2472" s="23" t="s">
        <v>299</v>
      </c>
      <c r="W2472" s="23" t="s">
        <v>14172</v>
      </c>
      <c r="Y2472" s="23">
        <v>20300</v>
      </c>
      <c r="Z2472" s="23">
        <v>205000</v>
      </c>
      <c r="AB2472" s="23" t="s">
        <v>14177</v>
      </c>
      <c r="AC2472" s="23">
        <v>10</v>
      </c>
      <c r="AD2472" s="23">
        <v>0</v>
      </c>
      <c r="AE2472" s="23">
        <v>5</v>
      </c>
      <c r="AF2472" s="23" t="s">
        <v>9622</v>
      </c>
      <c r="AG2472" s="23" t="s">
        <v>659</v>
      </c>
      <c r="AH2472" s="39">
        <v>45833</v>
      </c>
      <c r="AI2472" s="53" t="s">
        <v>5851</v>
      </c>
    </row>
    <row r="2473" spans="1:54">
      <c r="A2473" s="134" t="s">
        <v>14157</v>
      </c>
      <c r="B2473" s="23" t="s">
        <v>14161</v>
      </c>
      <c r="C2473" s="140">
        <v>45827</v>
      </c>
      <c r="D2473" s="23" t="s">
        <v>729</v>
      </c>
      <c r="E2473" s="23" t="s">
        <v>752</v>
      </c>
      <c r="F2473" s="23" t="s">
        <v>2200</v>
      </c>
      <c r="G2473" s="23" t="s">
        <v>301</v>
      </c>
      <c r="H2473" s="23">
        <v>20611301</v>
      </c>
      <c r="I2473" s="23">
        <v>20611301</v>
      </c>
      <c r="J2473" s="140">
        <v>45826</v>
      </c>
      <c r="K2473" s="23" t="s">
        <v>14173</v>
      </c>
      <c r="L2473" s="140">
        <v>45832</v>
      </c>
      <c r="O2473" s="23" t="s">
        <v>14159</v>
      </c>
      <c r="S2473" s="23" t="s">
        <v>300</v>
      </c>
      <c r="T2473" s="23" t="s">
        <v>12031</v>
      </c>
      <c r="U2473" s="23" t="s">
        <v>12031</v>
      </c>
      <c r="V2473" s="23" t="s">
        <v>299</v>
      </c>
      <c r="W2473" s="23" t="s">
        <v>13886</v>
      </c>
      <c r="Y2473" s="23">
        <v>36936</v>
      </c>
      <c r="Z2473" s="23">
        <v>312000</v>
      </c>
      <c r="AB2473" s="23" t="s">
        <v>14176</v>
      </c>
      <c r="AC2473" s="23">
        <v>24</v>
      </c>
      <c r="AD2473" s="23">
        <v>0</v>
      </c>
      <c r="AE2473" s="23">
        <v>8</v>
      </c>
      <c r="AF2473" s="23" t="s">
        <v>9622</v>
      </c>
      <c r="AG2473" s="23" t="s">
        <v>659</v>
      </c>
      <c r="AH2473" s="39">
        <v>45833</v>
      </c>
      <c r="AI2473" s="53" t="s">
        <v>5851</v>
      </c>
    </row>
    <row r="2474" spans="1:54">
      <c r="A2474" s="75" t="s">
        <v>14164</v>
      </c>
      <c r="B2474" s="23" t="s">
        <v>14165</v>
      </c>
      <c r="C2474" s="140">
        <v>45802</v>
      </c>
      <c r="D2474" s="23" t="s">
        <v>729</v>
      </c>
      <c r="E2474" s="23" t="s">
        <v>752</v>
      </c>
      <c r="F2474" s="23" t="s">
        <v>13464</v>
      </c>
      <c r="G2474" s="23" t="s">
        <v>13465</v>
      </c>
      <c r="H2474" s="23">
        <v>1025050004</v>
      </c>
      <c r="I2474" s="23">
        <v>1025050004</v>
      </c>
      <c r="J2474" s="140">
        <v>45782</v>
      </c>
      <c r="O2474" s="23" t="s">
        <v>14170</v>
      </c>
      <c r="P2474" s="23" t="s">
        <v>14166</v>
      </c>
      <c r="S2474" s="23" t="s">
        <v>3140</v>
      </c>
      <c r="T2474" s="23" t="s">
        <v>305</v>
      </c>
      <c r="U2474" s="23" t="s">
        <v>305</v>
      </c>
      <c r="V2474" s="23" t="s">
        <v>233</v>
      </c>
      <c r="W2474" s="23" t="s">
        <v>14167</v>
      </c>
      <c r="X2474" s="23">
        <v>20980</v>
      </c>
      <c r="Y2474" s="23">
        <v>26700</v>
      </c>
      <c r="Z2474" s="23">
        <v>496964</v>
      </c>
      <c r="AB2474" s="23" t="s">
        <v>14179</v>
      </c>
      <c r="AC2474" s="23" t="s">
        <v>14168</v>
      </c>
      <c r="AD2474" s="23">
        <v>0</v>
      </c>
      <c r="AE2474" s="23">
        <v>8</v>
      </c>
      <c r="AF2474" s="23" t="s">
        <v>9622</v>
      </c>
      <c r="AG2474" s="23" t="s">
        <v>14169</v>
      </c>
      <c r="AH2474" s="39">
        <v>45782</v>
      </c>
      <c r="AI2474" s="53" t="s">
        <v>14178</v>
      </c>
    </row>
    <row r="2475" spans="1:54">
      <c r="A2475" s="134" t="s">
        <v>14182</v>
      </c>
      <c r="B2475" s="23" t="s">
        <v>14183</v>
      </c>
      <c r="C2475" s="140">
        <v>45836</v>
      </c>
      <c r="D2475" s="23" t="s">
        <v>729</v>
      </c>
      <c r="E2475" s="23" t="s">
        <v>752</v>
      </c>
      <c r="F2475" s="23" t="s">
        <v>2200</v>
      </c>
      <c r="G2475" s="23" t="s">
        <v>301</v>
      </c>
      <c r="H2475" s="23">
        <v>20613946</v>
      </c>
      <c r="I2475" s="23">
        <v>20613946</v>
      </c>
      <c r="J2475" s="140">
        <v>45833</v>
      </c>
      <c r="K2475" s="23" t="s">
        <v>14205</v>
      </c>
      <c r="L2475" s="140">
        <v>45839</v>
      </c>
      <c r="S2475" s="23" t="s">
        <v>300</v>
      </c>
      <c r="T2475" s="23" t="s">
        <v>12031</v>
      </c>
      <c r="U2475" s="23" t="s">
        <v>12031</v>
      </c>
      <c r="V2475" s="23" t="s">
        <v>299</v>
      </c>
      <c r="W2475" s="23" t="s">
        <v>12524</v>
      </c>
      <c r="Y2475" s="38">
        <v>59310</v>
      </c>
      <c r="Z2475" s="203">
        <v>3055050</v>
      </c>
      <c r="AB2475" s="23" t="s">
        <v>14206</v>
      </c>
      <c r="AC2475" s="23">
        <v>45</v>
      </c>
      <c r="AD2475" s="23">
        <v>0</v>
      </c>
      <c r="AE2475" s="23">
        <v>15</v>
      </c>
      <c r="AF2475" s="23" t="s">
        <v>9622</v>
      </c>
      <c r="AG2475" s="23" t="s">
        <v>1553</v>
      </c>
      <c r="AH2475" s="39">
        <v>45838</v>
      </c>
      <c r="AI2475" s="53" t="s">
        <v>5851</v>
      </c>
    </row>
    <row r="2476" spans="1:54">
      <c r="A2476" s="75" t="s">
        <v>14185</v>
      </c>
      <c r="B2476" s="23" t="s">
        <v>14186</v>
      </c>
      <c r="C2476" s="140">
        <v>45830</v>
      </c>
      <c r="D2476" s="23" t="s">
        <v>729</v>
      </c>
      <c r="E2476" s="23" t="s">
        <v>752</v>
      </c>
      <c r="F2476" s="23" t="s">
        <v>12533</v>
      </c>
      <c r="G2476" s="23" t="s">
        <v>57</v>
      </c>
      <c r="H2476" s="23" t="s">
        <v>14192</v>
      </c>
      <c r="I2476" s="23" t="s">
        <v>14192</v>
      </c>
      <c r="J2476" s="140">
        <v>45827</v>
      </c>
      <c r="K2476" s="23" t="s">
        <v>14199</v>
      </c>
      <c r="L2476" s="140">
        <v>45839</v>
      </c>
      <c r="O2476" s="23" t="s">
        <v>14187</v>
      </c>
      <c r="P2476" s="23" t="s">
        <v>14188</v>
      </c>
      <c r="Q2476" s="140">
        <v>45810</v>
      </c>
      <c r="S2476" s="23" t="s">
        <v>183</v>
      </c>
      <c r="T2476" s="23" t="s">
        <v>305</v>
      </c>
      <c r="U2476" s="23" t="s">
        <v>305</v>
      </c>
      <c r="V2476" s="23" t="s">
        <v>233</v>
      </c>
      <c r="W2476" s="23" t="s">
        <v>143</v>
      </c>
      <c r="X2476" s="23">
        <v>68767.100000000006</v>
      </c>
      <c r="Y2476" s="37">
        <v>69208.3</v>
      </c>
      <c r="Z2476" s="23">
        <v>59593.87</v>
      </c>
      <c r="AB2476" s="23" t="s">
        <v>14190</v>
      </c>
      <c r="AC2476" s="23" t="s">
        <v>14189</v>
      </c>
      <c r="AD2476" s="23">
        <v>0</v>
      </c>
      <c r="AE2476" s="23">
        <v>4</v>
      </c>
      <c r="AF2476" s="23" t="s">
        <v>9622</v>
      </c>
      <c r="AG2476" s="23" t="s">
        <v>792</v>
      </c>
      <c r="AH2476" s="39">
        <v>45839</v>
      </c>
      <c r="AI2476" s="53" t="s">
        <v>14191</v>
      </c>
    </row>
    <row r="2477" spans="1:54">
      <c r="A2477" s="75" t="s">
        <v>14193</v>
      </c>
      <c r="B2477" s="23">
        <v>444773</v>
      </c>
      <c r="C2477" s="140">
        <v>45828</v>
      </c>
      <c r="D2477" s="23" t="s">
        <v>729</v>
      </c>
      <c r="E2477" s="23" t="s">
        <v>752</v>
      </c>
      <c r="F2477" s="23" t="s">
        <v>13464</v>
      </c>
      <c r="G2477" s="23" t="s">
        <v>13465</v>
      </c>
      <c r="H2477" s="23">
        <v>1025060048</v>
      </c>
      <c r="I2477" s="23">
        <v>1025060048</v>
      </c>
      <c r="J2477" s="140">
        <v>45828</v>
      </c>
      <c r="O2477" s="23" t="s">
        <v>14194</v>
      </c>
      <c r="P2477" s="23" t="s">
        <v>14195</v>
      </c>
      <c r="Q2477" s="140">
        <v>45809</v>
      </c>
      <c r="S2477" s="23" t="s">
        <v>184</v>
      </c>
      <c r="T2477" s="23" t="s">
        <v>305</v>
      </c>
      <c r="U2477" s="23" t="s">
        <v>305</v>
      </c>
      <c r="V2477" s="23" t="s">
        <v>233</v>
      </c>
      <c r="W2477" s="23" t="s">
        <v>14196</v>
      </c>
      <c r="X2477" s="38">
        <v>2730</v>
      </c>
      <c r="Y2477" s="38">
        <v>2950</v>
      </c>
      <c r="Z2477" s="38">
        <v>38908</v>
      </c>
      <c r="AB2477" s="23" t="s">
        <v>14200</v>
      </c>
      <c r="AC2477" s="23" t="s">
        <v>13477</v>
      </c>
      <c r="AD2477" s="23">
        <v>0</v>
      </c>
      <c r="AE2477" s="23">
        <v>1</v>
      </c>
      <c r="AF2477" s="23" t="s">
        <v>9622</v>
      </c>
      <c r="AG2477" s="23" t="s">
        <v>14169</v>
      </c>
      <c r="AH2477" s="39">
        <v>45839</v>
      </c>
      <c r="AI2477" s="53" t="s">
        <v>14178</v>
      </c>
    </row>
    <row r="2478" spans="1:54">
      <c r="A2478" s="75" t="s">
        <v>14207</v>
      </c>
      <c r="B2478" s="23" t="s">
        <v>14208</v>
      </c>
      <c r="C2478" s="140">
        <v>45819</v>
      </c>
      <c r="D2478" s="23" t="s">
        <v>729</v>
      </c>
      <c r="E2478" s="23" t="s">
        <v>752</v>
      </c>
      <c r="F2478" s="23" t="s">
        <v>2200</v>
      </c>
      <c r="G2478" s="23" t="s">
        <v>301</v>
      </c>
      <c r="H2478" s="23">
        <v>55025977</v>
      </c>
      <c r="I2478" s="23">
        <v>55025977</v>
      </c>
      <c r="J2478" s="140">
        <v>45808</v>
      </c>
      <c r="K2478" s="23" t="s">
        <v>14209</v>
      </c>
      <c r="L2478" s="140">
        <v>45826</v>
      </c>
      <c r="O2478" s="23" t="s">
        <v>14278</v>
      </c>
      <c r="P2478" s="23" t="s">
        <v>14279</v>
      </c>
      <c r="Q2478" s="140">
        <v>45848</v>
      </c>
      <c r="S2478" s="23" t="s">
        <v>3140</v>
      </c>
      <c r="T2478" s="23" t="s">
        <v>305</v>
      </c>
      <c r="U2478" s="23" t="s">
        <v>305</v>
      </c>
      <c r="V2478" s="23" t="s">
        <v>298</v>
      </c>
      <c r="W2478" s="23" t="s">
        <v>11559</v>
      </c>
      <c r="Y2478" s="23">
        <v>7429</v>
      </c>
      <c r="Z2478" s="23">
        <v>72735</v>
      </c>
      <c r="AB2478" s="23" t="s">
        <v>14210</v>
      </c>
      <c r="AC2478" s="23" t="s">
        <v>14211</v>
      </c>
      <c r="AD2478" s="23">
        <v>0</v>
      </c>
      <c r="AE2478" s="23">
        <v>1</v>
      </c>
      <c r="AF2478" s="23" t="s">
        <v>9622</v>
      </c>
      <c r="AG2478" s="23" t="s">
        <v>5602</v>
      </c>
      <c r="AH2478" s="39">
        <v>45845</v>
      </c>
    </row>
    <row r="2479" spans="1:54">
      <c r="A2479" s="134" t="s">
        <v>14212</v>
      </c>
      <c r="B2479" s="23" t="s">
        <v>14214</v>
      </c>
      <c r="C2479" s="140">
        <v>45846</v>
      </c>
      <c r="D2479" s="23" t="s">
        <v>729</v>
      </c>
      <c r="E2479" s="23" t="s">
        <v>752</v>
      </c>
      <c r="F2479" s="23" t="s">
        <v>2200</v>
      </c>
      <c r="G2479" s="23" t="s">
        <v>301</v>
      </c>
      <c r="H2479" s="23">
        <v>20616297</v>
      </c>
      <c r="I2479" s="23">
        <v>20616297</v>
      </c>
      <c r="J2479" s="140">
        <v>45844</v>
      </c>
      <c r="K2479" s="23" t="s">
        <v>14281</v>
      </c>
      <c r="L2479" s="140">
        <v>45849</v>
      </c>
      <c r="S2479" s="23" t="s">
        <v>300</v>
      </c>
      <c r="T2479" s="23" t="s">
        <v>12031</v>
      </c>
      <c r="U2479" s="23" t="s">
        <v>12031</v>
      </c>
      <c r="V2479" s="23" t="s">
        <v>299</v>
      </c>
      <c r="W2479" s="23" t="s">
        <v>12524</v>
      </c>
      <c r="Y2479" s="38">
        <v>47448</v>
      </c>
      <c r="Z2479" s="203">
        <v>2444040</v>
      </c>
      <c r="AB2479" s="23" t="s">
        <v>14215</v>
      </c>
      <c r="AC2479" s="23">
        <v>36</v>
      </c>
      <c r="AD2479" s="23">
        <v>0</v>
      </c>
      <c r="AE2479" s="23">
        <v>12</v>
      </c>
      <c r="AF2479" s="23" t="s">
        <v>9622</v>
      </c>
      <c r="AG2479" s="23" t="s">
        <v>659</v>
      </c>
      <c r="AH2479" s="39">
        <v>45846</v>
      </c>
      <c r="AI2479" s="53" t="s">
        <v>5851</v>
      </c>
    </row>
    <row r="2480" spans="1:54">
      <c r="A2480" s="134" t="s">
        <v>14213</v>
      </c>
      <c r="B2480" s="23" t="s">
        <v>14220</v>
      </c>
      <c r="C2480" s="140">
        <v>45846</v>
      </c>
      <c r="D2480" s="23" t="s">
        <v>729</v>
      </c>
      <c r="E2480" s="23" t="s">
        <v>752</v>
      </c>
      <c r="F2480" s="23" t="s">
        <v>2200</v>
      </c>
      <c r="G2480" s="23" t="s">
        <v>301</v>
      </c>
      <c r="H2480" s="23">
        <v>20616011</v>
      </c>
      <c r="I2480" s="23">
        <v>20616011</v>
      </c>
      <c r="J2480" s="140">
        <v>45844</v>
      </c>
      <c r="K2480" s="23" t="s">
        <v>14280</v>
      </c>
      <c r="L2480" s="140">
        <v>45849</v>
      </c>
      <c r="S2480" s="23" t="s">
        <v>300</v>
      </c>
      <c r="T2480" s="23" t="s">
        <v>12031</v>
      </c>
      <c r="U2480" s="23" t="s">
        <v>12031</v>
      </c>
      <c r="V2480" s="23" t="s">
        <v>299</v>
      </c>
      <c r="W2480" s="23" t="s">
        <v>14221</v>
      </c>
      <c r="Y2480" s="38">
        <v>11862</v>
      </c>
      <c r="Z2480" s="203">
        <v>611010</v>
      </c>
      <c r="AB2480" s="23" t="s">
        <v>14222</v>
      </c>
      <c r="AC2480" s="23">
        <v>9</v>
      </c>
      <c r="AD2480" s="23">
        <v>0</v>
      </c>
      <c r="AE2480" s="23">
        <v>3</v>
      </c>
      <c r="AF2480" s="23" t="s">
        <v>9622</v>
      </c>
      <c r="AG2480" s="23" t="s">
        <v>659</v>
      </c>
      <c r="AH2480" s="39">
        <v>45846</v>
      </c>
      <c r="AI2480" s="53" t="s">
        <v>5851</v>
      </c>
    </row>
    <row r="2481" spans="1:54" ht="48">
      <c r="A2481" s="134" t="s">
        <v>14219</v>
      </c>
      <c r="B2481" s="23" t="s">
        <v>14216</v>
      </c>
      <c r="C2481" s="140">
        <v>45845</v>
      </c>
      <c r="D2481" s="23" t="s">
        <v>729</v>
      </c>
      <c r="E2481" s="23" t="s">
        <v>752</v>
      </c>
      <c r="F2481" s="23" t="s">
        <v>2200</v>
      </c>
      <c r="G2481" s="23" t="s">
        <v>301</v>
      </c>
      <c r="H2481" s="23" t="s">
        <v>14271</v>
      </c>
      <c r="I2481" s="23" t="s">
        <v>14271</v>
      </c>
      <c r="J2481" s="140">
        <v>45844</v>
      </c>
      <c r="K2481" s="23" t="s">
        <v>14276</v>
      </c>
      <c r="L2481" s="140">
        <v>45848</v>
      </c>
      <c r="S2481" s="23" t="s">
        <v>300</v>
      </c>
      <c r="T2481" s="23" t="s">
        <v>12031</v>
      </c>
      <c r="U2481" s="23" t="s">
        <v>12031</v>
      </c>
      <c r="V2481" s="23" t="s">
        <v>299</v>
      </c>
      <c r="W2481" s="19" t="s">
        <v>14217</v>
      </c>
      <c r="Y2481" s="38">
        <v>42591</v>
      </c>
      <c r="Z2481" s="23">
        <v>420000</v>
      </c>
      <c r="AB2481" s="23" t="s">
        <v>14218</v>
      </c>
      <c r="AC2481" s="23">
        <v>27</v>
      </c>
      <c r="AD2481" s="23">
        <v>0</v>
      </c>
      <c r="AE2481" s="23">
        <v>9</v>
      </c>
      <c r="AF2481" s="23" t="s">
        <v>9622</v>
      </c>
      <c r="AG2481" s="23" t="s">
        <v>659</v>
      </c>
      <c r="AH2481" s="39">
        <v>45846</v>
      </c>
      <c r="AI2481" s="53" t="s">
        <v>5851</v>
      </c>
    </row>
    <row r="2482" spans="1:54">
      <c r="A2482" s="134" t="s">
        <v>14225</v>
      </c>
      <c r="B2482" s="23" t="s">
        <v>14223</v>
      </c>
      <c r="C2482" s="140">
        <v>45845</v>
      </c>
      <c r="D2482" s="23" t="s">
        <v>729</v>
      </c>
      <c r="E2482" s="23" t="s">
        <v>752</v>
      </c>
      <c r="F2482" s="23" t="s">
        <v>2200</v>
      </c>
      <c r="G2482" s="23" t="s">
        <v>301</v>
      </c>
      <c r="H2482" s="23">
        <v>20616012</v>
      </c>
      <c r="I2482" s="23">
        <v>20616012</v>
      </c>
      <c r="J2482" s="140">
        <v>45844</v>
      </c>
      <c r="K2482" s="23" t="s">
        <v>14277</v>
      </c>
      <c r="L2482" s="140">
        <v>45848</v>
      </c>
      <c r="S2482" s="23" t="s">
        <v>300</v>
      </c>
      <c r="T2482" s="23" t="s">
        <v>12031</v>
      </c>
      <c r="U2482" s="23" t="s">
        <v>12031</v>
      </c>
      <c r="V2482" s="23" t="s">
        <v>299</v>
      </c>
      <c r="W2482" s="23" t="s">
        <v>12524</v>
      </c>
      <c r="Y2482" s="38">
        <v>23724</v>
      </c>
      <c r="Z2482" s="23">
        <v>122202</v>
      </c>
      <c r="AB2482" s="23" t="s">
        <v>14224</v>
      </c>
      <c r="AC2482" s="23">
        <v>18</v>
      </c>
      <c r="AD2482" s="23">
        <v>0</v>
      </c>
      <c r="AE2482" s="23">
        <v>6</v>
      </c>
      <c r="AF2482" s="23" t="s">
        <v>9622</v>
      </c>
      <c r="AG2482" s="23" t="s">
        <v>659</v>
      </c>
      <c r="AH2482" s="39">
        <v>45846</v>
      </c>
      <c r="AI2482" s="53" t="s">
        <v>5851</v>
      </c>
    </row>
    <row r="2483" spans="1:54">
      <c r="A2483" s="75" t="s">
        <v>14226</v>
      </c>
      <c r="B2483" s="23" t="s">
        <v>14227</v>
      </c>
      <c r="C2483" s="140">
        <v>45838</v>
      </c>
      <c r="D2483" s="23" t="s">
        <v>729</v>
      </c>
      <c r="E2483" s="23" t="s">
        <v>752</v>
      </c>
      <c r="F2483" s="23" t="s">
        <v>12097</v>
      </c>
      <c r="G2483" s="23" t="s">
        <v>13333</v>
      </c>
      <c r="H2483" s="23" t="s">
        <v>14228</v>
      </c>
      <c r="I2483" s="23" t="s">
        <v>14228</v>
      </c>
      <c r="J2483" s="140">
        <v>45823</v>
      </c>
      <c r="S2483" s="23" t="s">
        <v>300</v>
      </c>
      <c r="T2483" s="23" t="s">
        <v>12031</v>
      </c>
      <c r="U2483" s="23" t="s">
        <v>12031</v>
      </c>
      <c r="V2483" s="23" t="s">
        <v>299</v>
      </c>
      <c r="W2483" s="23" t="s">
        <v>14229</v>
      </c>
      <c r="Y2483" s="23">
        <v>64000</v>
      </c>
      <c r="Z2483" s="23">
        <v>700000</v>
      </c>
      <c r="AB2483" s="23" t="s">
        <v>14232</v>
      </c>
      <c r="AC2483" s="23">
        <v>25</v>
      </c>
      <c r="AD2483" s="23">
        <v>1</v>
      </c>
      <c r="AE2483" s="23">
        <v>12</v>
      </c>
      <c r="AF2483" s="23" t="s">
        <v>9622</v>
      </c>
      <c r="AG2483" s="23" t="s">
        <v>14230</v>
      </c>
      <c r="AH2483" s="39">
        <v>45846</v>
      </c>
      <c r="AI2483" s="53" t="s">
        <v>13319</v>
      </c>
    </row>
    <row r="2484" spans="1:54">
      <c r="A2484" s="75" t="s">
        <v>14233</v>
      </c>
      <c r="B2484" s="23" t="s">
        <v>14234</v>
      </c>
      <c r="C2484" s="140">
        <v>45842</v>
      </c>
      <c r="D2484" s="23" t="s">
        <v>729</v>
      </c>
      <c r="E2484" s="23" t="s">
        <v>752</v>
      </c>
      <c r="F2484" s="23" t="s">
        <v>12097</v>
      </c>
      <c r="G2484" s="23" t="s">
        <v>13333</v>
      </c>
      <c r="H2484" s="23" t="s">
        <v>14235</v>
      </c>
      <c r="I2484" s="23" t="s">
        <v>14235</v>
      </c>
      <c r="J2484" s="140">
        <v>45834</v>
      </c>
      <c r="S2484" s="23" t="s">
        <v>300</v>
      </c>
      <c r="T2484" s="23" t="s">
        <v>12031</v>
      </c>
      <c r="U2484" s="23" t="s">
        <v>12031</v>
      </c>
      <c r="V2484" s="23" t="s">
        <v>299</v>
      </c>
      <c r="W2484" s="23" t="s">
        <v>14236</v>
      </c>
      <c r="Y2484" s="23">
        <v>2370</v>
      </c>
      <c r="Z2484" s="23">
        <v>20000</v>
      </c>
      <c r="AB2484" s="23" t="s">
        <v>14237</v>
      </c>
      <c r="AC2484" s="23">
        <v>1</v>
      </c>
      <c r="AD2484" s="23">
        <v>0</v>
      </c>
      <c r="AE2484" s="23">
        <v>1</v>
      </c>
      <c r="AF2484" s="23" t="s">
        <v>9622</v>
      </c>
      <c r="AG2484" s="23" t="s">
        <v>13346</v>
      </c>
      <c r="AH2484" s="39">
        <v>45847</v>
      </c>
      <c r="AI2484" s="53" t="s">
        <v>13319</v>
      </c>
    </row>
    <row r="2485" spans="1:54" ht="48">
      <c r="A2485" s="75" t="s">
        <v>14239</v>
      </c>
      <c r="B2485" s="23" t="s">
        <v>14240</v>
      </c>
      <c r="C2485" s="140">
        <v>45842</v>
      </c>
      <c r="D2485" s="23" t="s">
        <v>729</v>
      </c>
      <c r="E2485" s="23" t="s">
        <v>752</v>
      </c>
      <c r="F2485" s="23" t="s">
        <v>14246</v>
      </c>
      <c r="G2485" s="23" t="s">
        <v>14252</v>
      </c>
      <c r="H2485" s="23" t="s">
        <v>14241</v>
      </c>
      <c r="I2485" s="23" t="s">
        <v>14241</v>
      </c>
      <c r="J2485" s="140">
        <v>45834</v>
      </c>
      <c r="S2485" s="23" t="s">
        <v>300</v>
      </c>
      <c r="T2485" s="23" t="s">
        <v>12031</v>
      </c>
      <c r="U2485" s="23" t="s">
        <v>12031</v>
      </c>
      <c r="V2485" s="23" t="s">
        <v>299</v>
      </c>
      <c r="W2485" s="19" t="s">
        <v>14242</v>
      </c>
      <c r="Y2485" s="38">
        <v>34262</v>
      </c>
      <c r="Z2485" s="23">
        <v>544000</v>
      </c>
      <c r="AB2485" s="23" t="s">
        <v>14243</v>
      </c>
      <c r="AC2485" s="23">
        <v>13</v>
      </c>
      <c r="AD2485" s="23">
        <v>0</v>
      </c>
      <c r="AE2485" s="23">
        <v>7</v>
      </c>
      <c r="AF2485" s="23" t="s">
        <v>9622</v>
      </c>
      <c r="AG2485" s="23" t="s">
        <v>13346</v>
      </c>
      <c r="AH2485" s="39">
        <v>45848</v>
      </c>
      <c r="AI2485" s="53" t="s">
        <v>13319</v>
      </c>
    </row>
    <row r="2486" spans="1:54">
      <c r="A2486" s="75" t="s">
        <v>14253</v>
      </c>
      <c r="B2486" s="23">
        <v>255605697</v>
      </c>
      <c r="C2486" s="140">
        <v>45847</v>
      </c>
      <c r="D2486" s="23" t="s">
        <v>729</v>
      </c>
      <c r="E2486" s="23" t="s">
        <v>752</v>
      </c>
      <c r="F2486" s="23" t="s">
        <v>13586</v>
      </c>
      <c r="G2486" s="23" t="s">
        <v>13587</v>
      </c>
      <c r="H2486" s="23" t="s">
        <v>14258</v>
      </c>
      <c r="I2486" s="23" t="s">
        <v>14258</v>
      </c>
      <c r="J2486" s="140">
        <v>45834</v>
      </c>
      <c r="S2486" s="23" t="s">
        <v>300</v>
      </c>
      <c r="T2486" s="23" t="s">
        <v>12031</v>
      </c>
      <c r="U2486" s="23" t="s">
        <v>12031</v>
      </c>
      <c r="V2486" s="23" t="s">
        <v>299</v>
      </c>
      <c r="W2486" s="23" t="s">
        <v>14256</v>
      </c>
      <c r="Y2486" s="23">
        <v>23502</v>
      </c>
      <c r="AB2486" s="23" t="s">
        <v>14257</v>
      </c>
      <c r="AC2486" s="23">
        <v>12</v>
      </c>
      <c r="AD2486" s="23">
        <v>0</v>
      </c>
      <c r="AE2486" s="23">
        <v>4</v>
      </c>
      <c r="AF2486" s="23" t="s">
        <v>9622</v>
      </c>
      <c r="AG2486" s="23" t="s">
        <v>14255</v>
      </c>
      <c r="AH2486" s="39">
        <v>45849</v>
      </c>
      <c r="AI2486" s="53" t="s">
        <v>13319</v>
      </c>
    </row>
    <row r="2487" spans="1:54">
      <c r="A2487" s="75" t="s">
        <v>14254</v>
      </c>
      <c r="B2487" s="23">
        <v>255600461</v>
      </c>
      <c r="C2487" s="140">
        <v>45847</v>
      </c>
      <c r="D2487" s="23" t="s">
        <v>729</v>
      </c>
      <c r="E2487" s="23" t="s">
        <v>752</v>
      </c>
      <c r="F2487" s="23" t="s">
        <v>14246</v>
      </c>
      <c r="G2487" s="23" t="s">
        <v>14252</v>
      </c>
      <c r="H2487" s="23" t="s">
        <v>14262</v>
      </c>
      <c r="I2487" s="23" t="s">
        <v>14262</v>
      </c>
      <c r="J2487" s="140">
        <v>45834</v>
      </c>
      <c r="S2487" s="23" t="s">
        <v>300</v>
      </c>
      <c r="T2487" s="23" t="s">
        <v>12031</v>
      </c>
      <c r="U2487" s="23" t="s">
        <v>12031</v>
      </c>
      <c r="V2487" s="23" t="s">
        <v>299</v>
      </c>
      <c r="W2487" s="23" t="s">
        <v>14259</v>
      </c>
      <c r="Y2487" s="23">
        <v>17220</v>
      </c>
      <c r="AB2487" s="23" t="s">
        <v>14260</v>
      </c>
      <c r="AC2487" s="23">
        <v>10</v>
      </c>
      <c r="AD2487" s="23">
        <v>0</v>
      </c>
      <c r="AE2487" s="23">
        <v>5</v>
      </c>
      <c r="AF2487" s="23" t="s">
        <v>9622</v>
      </c>
      <c r="AG2487" s="23" t="s">
        <v>14261</v>
      </c>
      <c r="AH2487" s="39">
        <v>45849</v>
      </c>
      <c r="AI2487" s="53" t="s">
        <v>13319</v>
      </c>
    </row>
    <row r="2488" spans="1:54" ht="48">
      <c r="A2488" s="75" t="s">
        <v>14263</v>
      </c>
      <c r="B2488" s="23" t="s">
        <v>14264</v>
      </c>
      <c r="C2488" s="140">
        <v>45834</v>
      </c>
      <c r="D2488" s="23" t="s">
        <v>729</v>
      </c>
      <c r="E2488" s="23" t="s">
        <v>752</v>
      </c>
      <c r="F2488" s="23" t="s">
        <v>13558</v>
      </c>
      <c r="G2488" s="23" t="s">
        <v>13567</v>
      </c>
      <c r="H2488" s="23" t="s">
        <v>14265</v>
      </c>
      <c r="I2488" s="23" t="s">
        <v>14265</v>
      </c>
      <c r="J2488" s="140">
        <v>45831</v>
      </c>
      <c r="S2488" s="23" t="s">
        <v>300</v>
      </c>
      <c r="T2488" s="23" t="s">
        <v>12031</v>
      </c>
      <c r="U2488" s="23" t="s">
        <v>12031</v>
      </c>
      <c r="V2488" s="23" t="s">
        <v>233</v>
      </c>
      <c r="W2488" s="23" t="s">
        <v>14270</v>
      </c>
      <c r="X2488" s="23">
        <v>35189</v>
      </c>
      <c r="Y2488" s="23">
        <v>46216</v>
      </c>
      <c r="Z2488" s="23">
        <v>2000000</v>
      </c>
      <c r="AB2488" s="23" t="s">
        <v>14266</v>
      </c>
      <c r="AC2488" s="23" t="s">
        <v>14267</v>
      </c>
      <c r="AD2488" s="23">
        <v>0</v>
      </c>
      <c r="AE2488" s="23">
        <v>8</v>
      </c>
      <c r="AF2488" s="23" t="s">
        <v>9622</v>
      </c>
      <c r="AG2488" s="23" t="s">
        <v>14268</v>
      </c>
      <c r="AH2488" s="39">
        <v>45849</v>
      </c>
      <c r="AI2488" s="53" t="s">
        <v>14269</v>
      </c>
      <c r="BB2488" s="19" t="s">
        <v>14576</v>
      </c>
    </row>
    <row r="2489" spans="1:54" ht="48">
      <c r="A2489" s="64" t="s">
        <v>14289</v>
      </c>
      <c r="B2489" s="23" t="s">
        <v>14272</v>
      </c>
      <c r="C2489" s="140">
        <v>45842</v>
      </c>
      <c r="D2489" s="23" t="s">
        <v>729</v>
      </c>
      <c r="E2489" s="23" t="s">
        <v>3773</v>
      </c>
      <c r="F2489" s="23" t="s">
        <v>12847</v>
      </c>
      <c r="G2489" s="23" t="s">
        <v>12867</v>
      </c>
      <c r="H2489" s="23" t="s">
        <v>14273</v>
      </c>
      <c r="I2489" s="23" t="s">
        <v>14273</v>
      </c>
      <c r="J2489" s="140">
        <v>45833</v>
      </c>
      <c r="Q2489" s="140">
        <v>45846</v>
      </c>
      <c r="S2489" s="23" t="s">
        <v>300</v>
      </c>
      <c r="T2489" s="23" t="s">
        <v>12031</v>
      </c>
      <c r="U2489" s="23" t="s">
        <v>12031</v>
      </c>
      <c r="V2489" s="23" t="s">
        <v>233</v>
      </c>
      <c r="W2489" s="23" t="s">
        <v>14283</v>
      </c>
      <c r="X2489" s="23">
        <v>505.8</v>
      </c>
      <c r="Y2489" s="23">
        <v>748.6</v>
      </c>
      <c r="Z2489" s="23">
        <v>22669</v>
      </c>
      <c r="AB2489" s="23" t="s">
        <v>14284</v>
      </c>
      <c r="AC2489" s="23" t="s">
        <v>14285</v>
      </c>
      <c r="AD2489" s="23">
        <v>0</v>
      </c>
      <c r="AE2489" s="23">
        <v>0</v>
      </c>
      <c r="AF2489" s="23" t="s">
        <v>97</v>
      </c>
      <c r="AG2489" s="23" t="s">
        <v>14286</v>
      </c>
      <c r="AH2489" s="39">
        <v>45854</v>
      </c>
      <c r="AI2489" s="53" t="s">
        <v>14275</v>
      </c>
      <c r="BB2489" s="29" t="s">
        <v>14434</v>
      </c>
    </row>
    <row r="2490" spans="1:54">
      <c r="A2490" s="64" t="s">
        <v>14290</v>
      </c>
      <c r="B2490" s="23" t="s">
        <v>14272</v>
      </c>
      <c r="C2490" s="140">
        <v>45842</v>
      </c>
      <c r="D2490" s="23" t="s">
        <v>729</v>
      </c>
      <c r="E2490" s="23" t="s">
        <v>3773</v>
      </c>
      <c r="F2490" s="23" t="s">
        <v>12847</v>
      </c>
      <c r="G2490" s="23" t="s">
        <v>12867</v>
      </c>
      <c r="H2490" s="23" t="s">
        <v>14274</v>
      </c>
      <c r="I2490" s="23" t="s">
        <v>14274</v>
      </c>
      <c r="J2490" s="140">
        <v>45833</v>
      </c>
      <c r="Q2490" s="140">
        <v>45846</v>
      </c>
      <c r="S2490" s="23" t="s">
        <v>300</v>
      </c>
      <c r="T2490" s="23" t="s">
        <v>12031</v>
      </c>
      <c r="U2490" s="23" t="s">
        <v>12031</v>
      </c>
      <c r="V2490" s="23" t="s">
        <v>233</v>
      </c>
      <c r="W2490" s="23" t="s">
        <v>14287</v>
      </c>
      <c r="X2490" s="23">
        <v>5</v>
      </c>
      <c r="Y2490" s="23">
        <v>16</v>
      </c>
      <c r="Z2490" s="23">
        <v>90</v>
      </c>
      <c r="AB2490" s="23" t="s">
        <v>14284</v>
      </c>
      <c r="AC2490" s="23" t="s">
        <v>14288</v>
      </c>
      <c r="AD2490" s="23">
        <v>0</v>
      </c>
      <c r="AE2490" s="23">
        <v>0</v>
      </c>
      <c r="AF2490" s="23" t="s">
        <v>97</v>
      </c>
      <c r="AG2490" s="23" t="s">
        <v>14286</v>
      </c>
      <c r="AH2490" s="39">
        <v>45854</v>
      </c>
      <c r="AI2490" s="53" t="s">
        <v>13947</v>
      </c>
    </row>
    <row r="2491" spans="1:54">
      <c r="A2491" s="75" t="s">
        <v>14282</v>
      </c>
      <c r="B2491" s="23" t="s">
        <v>14326</v>
      </c>
      <c r="C2491" s="140">
        <v>45856</v>
      </c>
      <c r="D2491" s="23" t="s">
        <v>729</v>
      </c>
      <c r="E2491" s="23" t="s">
        <v>752</v>
      </c>
      <c r="F2491" s="23" t="s">
        <v>12533</v>
      </c>
      <c r="G2491" s="23" t="s">
        <v>57</v>
      </c>
      <c r="H2491" s="23" t="s">
        <v>14421</v>
      </c>
      <c r="I2491" s="23" t="s">
        <v>14421</v>
      </c>
      <c r="J2491" s="140">
        <v>45852</v>
      </c>
      <c r="Q2491" s="140">
        <v>45866</v>
      </c>
      <c r="S2491" s="23" t="s">
        <v>184</v>
      </c>
      <c r="T2491" s="23" t="s">
        <v>12031</v>
      </c>
      <c r="U2491" s="23" t="s">
        <v>12031</v>
      </c>
      <c r="V2491" s="23" t="s">
        <v>233</v>
      </c>
      <c r="W2491" s="23" t="s">
        <v>14327</v>
      </c>
      <c r="X2491" s="23">
        <v>7484.84</v>
      </c>
      <c r="Y2491" s="37">
        <v>7598.5</v>
      </c>
      <c r="Z2491" s="37">
        <v>20198.990000000002</v>
      </c>
      <c r="AB2491" s="23" t="s">
        <v>14329</v>
      </c>
      <c r="AC2491" s="23" t="s">
        <v>14328</v>
      </c>
      <c r="AD2491" s="23">
        <v>1</v>
      </c>
      <c r="AE2491" s="23">
        <v>0</v>
      </c>
      <c r="AF2491" s="23" t="s">
        <v>9622</v>
      </c>
      <c r="AG2491" s="23" t="s">
        <v>787</v>
      </c>
      <c r="AH2491" s="39">
        <v>45859</v>
      </c>
      <c r="AI2491" s="53" t="s">
        <v>13947</v>
      </c>
    </row>
    <row r="2492" spans="1:54" ht="96">
      <c r="A2492" s="75" t="s">
        <v>14291</v>
      </c>
      <c r="B2492" s="23" t="s">
        <v>14343</v>
      </c>
      <c r="C2492" s="140">
        <v>45842</v>
      </c>
      <c r="D2492" s="23" t="s">
        <v>729</v>
      </c>
      <c r="E2492" s="23" t="s">
        <v>3773</v>
      </c>
      <c r="F2492" s="23" t="s">
        <v>12847</v>
      </c>
      <c r="G2492" s="23" t="s">
        <v>12867</v>
      </c>
      <c r="H2492" s="23" t="s">
        <v>14314</v>
      </c>
      <c r="I2492" s="23" t="s">
        <v>14314</v>
      </c>
      <c r="J2492" s="140">
        <v>45811</v>
      </c>
      <c r="K2492" s="23" t="s">
        <v>14344</v>
      </c>
      <c r="L2492" s="140">
        <v>45845</v>
      </c>
      <c r="Q2492" s="140">
        <v>45858</v>
      </c>
      <c r="S2492" s="23" t="s">
        <v>300</v>
      </c>
      <c r="T2492" s="23" t="s">
        <v>12031</v>
      </c>
      <c r="U2492" s="23" t="s">
        <v>12031</v>
      </c>
      <c r="V2492" s="23" t="s">
        <v>233</v>
      </c>
      <c r="W2492" s="23" t="s">
        <v>14315</v>
      </c>
      <c r="X2492" s="23">
        <v>800</v>
      </c>
      <c r="Y2492" s="23">
        <v>976</v>
      </c>
      <c r="Z2492" s="23">
        <v>5200</v>
      </c>
      <c r="AB2492" s="23" t="s">
        <v>14316</v>
      </c>
      <c r="AC2492" s="23" t="s">
        <v>14317</v>
      </c>
      <c r="AD2492" s="23">
        <v>0</v>
      </c>
      <c r="AE2492" s="23">
        <v>0</v>
      </c>
      <c r="AF2492" s="23" t="s">
        <v>97</v>
      </c>
      <c r="AG2492" s="23" t="s">
        <v>14318</v>
      </c>
      <c r="AH2492" s="39">
        <v>45859</v>
      </c>
      <c r="AI2492" s="53" t="s">
        <v>13947</v>
      </c>
      <c r="BB2492" s="19" t="s">
        <v>14435</v>
      </c>
    </row>
    <row r="2493" spans="1:54" ht="48">
      <c r="A2493" s="75" t="s">
        <v>14292</v>
      </c>
      <c r="B2493" s="23" t="s">
        <v>14293</v>
      </c>
      <c r="C2493" s="140">
        <v>45837</v>
      </c>
      <c r="D2493" s="23" t="s">
        <v>729</v>
      </c>
      <c r="E2493" s="23" t="s">
        <v>752</v>
      </c>
      <c r="F2493" s="23" t="s">
        <v>12847</v>
      </c>
      <c r="G2493" s="23" t="s">
        <v>12867</v>
      </c>
      <c r="H2493" s="23" t="s">
        <v>14294</v>
      </c>
      <c r="I2493" s="23" t="s">
        <v>14294</v>
      </c>
      <c r="J2493" s="140">
        <v>45828</v>
      </c>
      <c r="P2493" s="23" t="s">
        <v>14295</v>
      </c>
      <c r="Q2493" s="140">
        <v>45847</v>
      </c>
      <c r="S2493" s="23" t="s">
        <v>300</v>
      </c>
      <c r="T2493" s="23" t="s">
        <v>12031</v>
      </c>
      <c r="U2493" s="23" t="s">
        <v>12031</v>
      </c>
      <c r="V2493" s="23" t="s">
        <v>233</v>
      </c>
      <c r="W2493" s="19" t="s">
        <v>14296</v>
      </c>
      <c r="X2493" s="23">
        <v>26000</v>
      </c>
      <c r="Y2493" s="23">
        <v>26208</v>
      </c>
      <c r="Z2493" s="38">
        <v>9372</v>
      </c>
      <c r="AB2493" s="23" t="s">
        <v>14298</v>
      </c>
      <c r="AC2493" s="23" t="s">
        <v>14297</v>
      </c>
      <c r="AD2493" s="23">
        <v>0</v>
      </c>
      <c r="AE2493" s="23">
        <v>1</v>
      </c>
      <c r="AF2493" s="23" t="s">
        <v>9622</v>
      </c>
      <c r="AG2493" s="23" t="s">
        <v>14286</v>
      </c>
      <c r="AH2493" s="39">
        <v>45856</v>
      </c>
      <c r="AI2493" s="53" t="s">
        <v>14299</v>
      </c>
      <c r="BB2493" s="19" t="s">
        <v>14428</v>
      </c>
    </row>
    <row r="2494" spans="1:54">
      <c r="A2494" s="134" t="s">
        <v>14300</v>
      </c>
      <c r="B2494" s="23" t="s">
        <v>14301</v>
      </c>
      <c r="C2494" s="140">
        <v>45858</v>
      </c>
      <c r="D2494" s="23" t="s">
        <v>729</v>
      </c>
      <c r="E2494" s="23" t="s">
        <v>752</v>
      </c>
      <c r="F2494" s="23" t="s">
        <v>2200</v>
      </c>
      <c r="G2494" s="23" t="s">
        <v>301</v>
      </c>
      <c r="H2494" s="23">
        <v>20617642</v>
      </c>
      <c r="I2494" s="23">
        <v>20617642</v>
      </c>
      <c r="J2494" s="140">
        <v>45854</v>
      </c>
      <c r="K2494" s="23" t="s">
        <v>14407</v>
      </c>
      <c r="L2494" s="140">
        <v>45860</v>
      </c>
      <c r="O2494" s="23" t="s">
        <v>14302</v>
      </c>
      <c r="S2494" s="23" t="s">
        <v>300</v>
      </c>
      <c r="T2494" s="23" t="s">
        <v>12031</v>
      </c>
      <c r="U2494" s="23" t="s">
        <v>12031</v>
      </c>
      <c r="V2494" s="23" t="s">
        <v>299</v>
      </c>
      <c r="W2494" s="23" t="s">
        <v>14303</v>
      </c>
      <c r="Y2494" s="23">
        <v>27702</v>
      </c>
      <c r="AB2494" s="23" t="s">
        <v>14304</v>
      </c>
      <c r="AC2494" s="23">
        <v>18</v>
      </c>
      <c r="AD2494" s="23">
        <v>0</v>
      </c>
      <c r="AE2494" s="23">
        <v>6</v>
      </c>
      <c r="AF2494" s="23" t="s">
        <v>9622</v>
      </c>
      <c r="AG2494" s="23" t="s">
        <v>1553</v>
      </c>
      <c r="AH2494" s="39">
        <v>45859</v>
      </c>
      <c r="AI2494" s="53" t="s">
        <v>5851</v>
      </c>
    </row>
    <row r="2495" spans="1:54">
      <c r="A2495" s="134" t="s">
        <v>14307</v>
      </c>
      <c r="B2495" s="23" t="s">
        <v>14305</v>
      </c>
      <c r="C2495" s="140">
        <v>45858</v>
      </c>
      <c r="D2495" s="23" t="s">
        <v>729</v>
      </c>
      <c r="E2495" s="23" t="s">
        <v>752</v>
      </c>
      <c r="F2495" s="23" t="s">
        <v>2200</v>
      </c>
      <c r="G2495" s="23" t="s">
        <v>301</v>
      </c>
      <c r="H2495" s="23">
        <v>20618221</v>
      </c>
      <c r="I2495" s="23">
        <v>20618221</v>
      </c>
      <c r="J2495" s="140">
        <v>45854</v>
      </c>
      <c r="K2495" s="23" t="s">
        <v>14408</v>
      </c>
      <c r="L2495" s="140">
        <v>45860</v>
      </c>
      <c r="O2495" s="23" t="s">
        <v>14302</v>
      </c>
      <c r="S2495" s="23" t="s">
        <v>300</v>
      </c>
      <c r="T2495" s="23" t="s">
        <v>12031</v>
      </c>
      <c r="U2495" s="23" t="s">
        <v>12031</v>
      </c>
      <c r="V2495" s="23" t="s">
        <v>299</v>
      </c>
      <c r="W2495" s="23" t="s">
        <v>12524</v>
      </c>
      <c r="Y2495" s="23">
        <v>59310</v>
      </c>
      <c r="AB2495" s="23" t="s">
        <v>14306</v>
      </c>
      <c r="AC2495" s="23">
        <v>45</v>
      </c>
      <c r="AD2495" s="23">
        <v>0</v>
      </c>
      <c r="AE2495" s="23">
        <v>15</v>
      </c>
      <c r="AF2495" s="23" t="s">
        <v>9622</v>
      </c>
      <c r="AG2495" s="23" t="s">
        <v>1553</v>
      </c>
      <c r="AH2495" s="39">
        <v>45859</v>
      </c>
      <c r="AI2495" s="53" t="s">
        <v>5851</v>
      </c>
    </row>
    <row r="2496" spans="1:54">
      <c r="A2496" s="134" t="s">
        <v>14308</v>
      </c>
      <c r="B2496" s="23" t="s">
        <v>14309</v>
      </c>
      <c r="C2496" s="140">
        <v>45845</v>
      </c>
      <c r="D2496" s="23" t="s">
        <v>729</v>
      </c>
      <c r="E2496" s="23" t="s">
        <v>752</v>
      </c>
      <c r="F2496" s="23" t="s">
        <v>2200</v>
      </c>
      <c r="G2496" s="23" t="s">
        <v>301</v>
      </c>
      <c r="H2496" s="23" t="s">
        <v>14319</v>
      </c>
      <c r="I2496" s="23" t="s">
        <v>14319</v>
      </c>
      <c r="J2496" s="140">
        <v>45832</v>
      </c>
      <c r="K2496" s="23" t="s">
        <v>14320</v>
      </c>
      <c r="L2496" s="140">
        <v>45852</v>
      </c>
      <c r="O2496" s="23" t="s">
        <v>14310</v>
      </c>
      <c r="P2496" s="140" t="s">
        <v>14342</v>
      </c>
      <c r="Q2496" s="53">
        <v>45857</v>
      </c>
      <c r="S2496" s="23" t="s">
        <v>300</v>
      </c>
      <c r="T2496" s="23" t="s">
        <v>305</v>
      </c>
      <c r="U2496" s="23" t="s">
        <v>305</v>
      </c>
      <c r="V2496" s="23" t="s">
        <v>299</v>
      </c>
      <c r="W2496" s="23" t="s">
        <v>14311</v>
      </c>
      <c r="Y2496" s="23">
        <v>30909</v>
      </c>
      <c r="Z2496" s="203">
        <v>1843377</v>
      </c>
      <c r="AB2496" s="23" t="s">
        <v>14312</v>
      </c>
      <c r="AC2496" s="23">
        <v>21</v>
      </c>
      <c r="AD2496" s="23">
        <v>0</v>
      </c>
      <c r="AE2496" s="23">
        <v>6</v>
      </c>
      <c r="AF2496" s="23" t="s">
        <v>9622</v>
      </c>
      <c r="AG2496" s="23" t="s">
        <v>14313</v>
      </c>
      <c r="AH2496" s="39">
        <v>45859</v>
      </c>
      <c r="AI2496" s="53" t="s">
        <v>5851</v>
      </c>
    </row>
    <row r="2497" spans="1:54" ht="48">
      <c r="A2497" s="75" t="s">
        <v>14321</v>
      </c>
      <c r="B2497" s="23" t="s">
        <v>14323</v>
      </c>
      <c r="C2497" s="140">
        <v>45852</v>
      </c>
      <c r="D2497" s="23" t="s">
        <v>729</v>
      </c>
      <c r="E2497" s="23" t="s">
        <v>752</v>
      </c>
      <c r="F2497" s="23" t="s">
        <v>13558</v>
      </c>
      <c r="G2497" s="23" t="s">
        <v>13567</v>
      </c>
      <c r="H2497" s="23" t="s">
        <v>14324</v>
      </c>
      <c r="I2497" s="23" t="s">
        <v>14324</v>
      </c>
      <c r="J2497" s="140">
        <v>45852</v>
      </c>
      <c r="Q2497" s="140" t="s">
        <v>14322</v>
      </c>
      <c r="R2497" s="53">
        <v>45858</v>
      </c>
      <c r="S2497" s="23" t="s">
        <v>300</v>
      </c>
      <c r="T2497" s="23" t="s">
        <v>12031</v>
      </c>
      <c r="U2497" s="23" t="s">
        <v>12031</v>
      </c>
      <c r="V2497" s="23" t="s">
        <v>233</v>
      </c>
      <c r="W2497" s="23" t="s">
        <v>14325</v>
      </c>
      <c r="X2497" s="23">
        <v>104621</v>
      </c>
      <c r="Y2497" s="23">
        <v>124988</v>
      </c>
      <c r="Z2497" s="23">
        <v>2412000</v>
      </c>
      <c r="AB2497" s="23" t="s">
        <v>14335</v>
      </c>
      <c r="AC2497" s="23" t="s">
        <v>14336</v>
      </c>
      <c r="AD2497" s="23">
        <v>1</v>
      </c>
      <c r="AE2497" s="23">
        <v>22</v>
      </c>
      <c r="AF2497" s="23" t="s">
        <v>9622</v>
      </c>
      <c r="AG2497" s="23" t="s">
        <v>14268</v>
      </c>
      <c r="AH2497" s="39">
        <v>45859</v>
      </c>
      <c r="AI2497" s="53" t="s">
        <v>14337</v>
      </c>
      <c r="BB2497" s="19" t="s">
        <v>14577</v>
      </c>
    </row>
    <row r="2498" spans="1:54">
      <c r="A2498" s="75" t="s">
        <v>14330</v>
      </c>
      <c r="B2498" s="23" t="s">
        <v>14332</v>
      </c>
      <c r="C2498" s="140">
        <v>45853</v>
      </c>
      <c r="D2498" s="23" t="s">
        <v>729</v>
      </c>
      <c r="E2498" s="23" t="s">
        <v>3773</v>
      </c>
      <c r="F2498" s="23" t="s">
        <v>10928</v>
      </c>
      <c r="G2498" s="23" t="s">
        <v>3469</v>
      </c>
      <c r="H2498" s="23" t="s">
        <v>14338</v>
      </c>
      <c r="I2498" s="23" t="s">
        <v>14338</v>
      </c>
      <c r="J2498" s="140">
        <v>45841</v>
      </c>
      <c r="S2498" s="23" t="s">
        <v>300</v>
      </c>
      <c r="T2498" s="23" t="s">
        <v>12031</v>
      </c>
      <c r="U2498" s="23" t="s">
        <v>12031</v>
      </c>
      <c r="V2498" s="23" t="s">
        <v>298</v>
      </c>
      <c r="W2498" s="23" t="s">
        <v>14339</v>
      </c>
      <c r="Y2498" s="23">
        <v>35640</v>
      </c>
      <c r="AB2498" s="23" t="s">
        <v>97</v>
      </c>
      <c r="AC2498" s="23">
        <v>22</v>
      </c>
      <c r="AD2498" s="23">
        <v>0</v>
      </c>
      <c r="AE2498" s="23">
        <v>0</v>
      </c>
      <c r="AF2498" s="23" t="s">
        <v>97</v>
      </c>
      <c r="AG2498" s="23" t="s">
        <v>4893</v>
      </c>
      <c r="AH2498" s="39">
        <v>45860</v>
      </c>
    </row>
    <row r="2499" spans="1:54">
      <c r="A2499" s="75" t="s">
        <v>14331</v>
      </c>
      <c r="B2499" s="23" t="s">
        <v>14333</v>
      </c>
      <c r="C2499" s="140">
        <v>45854</v>
      </c>
      <c r="D2499" s="23" t="s">
        <v>729</v>
      </c>
      <c r="E2499" s="23" t="s">
        <v>3773</v>
      </c>
      <c r="F2499" s="23" t="s">
        <v>14101</v>
      </c>
      <c r="G2499" s="23" t="s">
        <v>14110</v>
      </c>
      <c r="H2499" s="23" t="s">
        <v>14340</v>
      </c>
      <c r="I2499" s="23" t="s">
        <v>14340</v>
      </c>
      <c r="J2499" s="140">
        <v>45841</v>
      </c>
      <c r="S2499" s="23" t="s">
        <v>300</v>
      </c>
      <c r="T2499" s="23" t="s">
        <v>12031</v>
      </c>
      <c r="U2499" s="23" t="s">
        <v>12031</v>
      </c>
      <c r="V2499" s="23" t="s">
        <v>298</v>
      </c>
      <c r="W2499" s="23" t="s">
        <v>14334</v>
      </c>
      <c r="Y2499" s="23">
        <v>64600</v>
      </c>
      <c r="AB2499" s="23" t="s">
        <v>97</v>
      </c>
      <c r="AC2499" s="23">
        <v>5</v>
      </c>
      <c r="AD2499" s="23">
        <v>0</v>
      </c>
      <c r="AE2499" s="23">
        <v>0</v>
      </c>
      <c r="AF2499" s="23" t="s">
        <v>97</v>
      </c>
      <c r="AG2499" s="23" t="s">
        <v>4893</v>
      </c>
      <c r="AH2499" s="39">
        <v>45860</v>
      </c>
    </row>
    <row r="2500" spans="1:54">
      <c r="A2500" s="75" t="s">
        <v>14445</v>
      </c>
      <c r="B2500" s="23" t="s">
        <v>14503</v>
      </c>
      <c r="C2500" s="140">
        <v>45868</v>
      </c>
      <c r="D2500" s="23" t="s">
        <v>729</v>
      </c>
      <c r="E2500" s="23" t="s">
        <v>752</v>
      </c>
      <c r="F2500" s="23" t="s">
        <v>12533</v>
      </c>
      <c r="G2500" s="23" t="s">
        <v>57</v>
      </c>
      <c r="H2500" s="23" t="s">
        <v>14508</v>
      </c>
      <c r="I2500" s="23" t="s">
        <v>14508</v>
      </c>
      <c r="J2500" s="140">
        <v>45866</v>
      </c>
      <c r="O2500" s="23" t="s">
        <v>14534</v>
      </c>
      <c r="P2500" s="204" t="s">
        <v>14509</v>
      </c>
      <c r="Q2500" s="140">
        <v>45882</v>
      </c>
      <c r="S2500" s="23" t="s">
        <v>183</v>
      </c>
      <c r="T2500" s="23" t="s">
        <v>305</v>
      </c>
      <c r="U2500" s="23" t="s">
        <v>305</v>
      </c>
      <c r="V2500" s="23" t="s">
        <v>233</v>
      </c>
      <c r="W2500" s="23" t="s">
        <v>112</v>
      </c>
      <c r="X2500" s="37">
        <v>69983.600000000006</v>
      </c>
      <c r="Y2500" s="37">
        <v>70418.8</v>
      </c>
      <c r="Z2500" s="23">
        <v>61504.14</v>
      </c>
      <c r="AB2500" s="23" t="s">
        <v>14504</v>
      </c>
      <c r="AC2500" s="23" t="s">
        <v>14505</v>
      </c>
      <c r="AD2500" s="23">
        <v>0</v>
      </c>
      <c r="AE2500" s="23">
        <v>4</v>
      </c>
      <c r="AF2500" s="23" t="s">
        <v>9622</v>
      </c>
      <c r="AG2500" s="23" t="s">
        <v>2953</v>
      </c>
      <c r="AH2500" s="39">
        <v>45880</v>
      </c>
      <c r="AI2500" s="53" t="s">
        <v>13947</v>
      </c>
    </row>
    <row r="2501" spans="1:54" ht="48">
      <c r="A2501" s="75" t="s">
        <v>14341</v>
      </c>
      <c r="B2501" s="23" t="s">
        <v>14345</v>
      </c>
      <c r="C2501" s="140">
        <v>45863</v>
      </c>
      <c r="D2501" s="23" t="s">
        <v>729</v>
      </c>
      <c r="E2501" s="23" t="s">
        <v>752</v>
      </c>
      <c r="F2501" s="23" t="s">
        <v>13558</v>
      </c>
      <c r="G2501" s="23" t="s">
        <v>13567</v>
      </c>
      <c r="H2501" s="23" t="s">
        <v>14346</v>
      </c>
      <c r="I2501" s="23" t="s">
        <v>14346</v>
      </c>
      <c r="J2501" s="140">
        <v>45798</v>
      </c>
      <c r="P2501" s="23" t="s">
        <v>14347</v>
      </c>
      <c r="Q2501" s="140">
        <v>45864</v>
      </c>
      <c r="S2501" s="23" t="s">
        <v>184</v>
      </c>
      <c r="T2501" s="23" t="s">
        <v>12031</v>
      </c>
      <c r="U2501" s="23" t="s">
        <v>12031</v>
      </c>
      <c r="V2501" s="23" t="s">
        <v>233</v>
      </c>
      <c r="W2501" s="23" t="s">
        <v>14348</v>
      </c>
      <c r="X2501" s="23">
        <v>9755</v>
      </c>
      <c r="Y2501" s="23">
        <v>10438</v>
      </c>
      <c r="Z2501" s="23">
        <v>160000</v>
      </c>
      <c r="AB2501" s="23" t="s">
        <v>14349</v>
      </c>
      <c r="AC2501" s="23" t="s">
        <v>14350</v>
      </c>
      <c r="AD2501" s="23">
        <v>0</v>
      </c>
      <c r="AE2501" s="23">
        <v>2</v>
      </c>
      <c r="AF2501" s="23" t="s">
        <v>9622</v>
      </c>
      <c r="AG2501" s="23" t="s">
        <v>14351</v>
      </c>
      <c r="AH2501" s="39">
        <v>45860</v>
      </c>
      <c r="AI2501" s="53" t="s">
        <v>14337</v>
      </c>
      <c r="BB2501" s="19" t="s">
        <v>14496</v>
      </c>
    </row>
    <row r="2502" spans="1:54">
      <c r="A2502" s="75" t="s">
        <v>14352</v>
      </c>
      <c r="B2502" s="23" t="s">
        <v>14442</v>
      </c>
      <c r="C2502" s="140">
        <v>45850</v>
      </c>
      <c r="D2502" s="23" t="s">
        <v>729</v>
      </c>
      <c r="E2502" s="23" t="s">
        <v>752</v>
      </c>
      <c r="F2502" s="23" t="s">
        <v>13558</v>
      </c>
      <c r="G2502" s="23" t="s">
        <v>13567</v>
      </c>
      <c r="H2502" s="23" t="s">
        <v>14353</v>
      </c>
      <c r="I2502" s="23" t="s">
        <v>14353</v>
      </c>
      <c r="J2502" s="140">
        <v>45848</v>
      </c>
      <c r="O2502" s="23" t="s">
        <v>14469</v>
      </c>
      <c r="P2502" s="23" t="s">
        <v>14468</v>
      </c>
      <c r="Q2502" s="140">
        <v>45872</v>
      </c>
      <c r="S2502" s="23" t="s">
        <v>14354</v>
      </c>
      <c r="T2502" s="23" t="s">
        <v>305</v>
      </c>
      <c r="U2502" s="23" t="s">
        <v>305</v>
      </c>
      <c r="V2502" s="23" t="s">
        <v>233</v>
      </c>
      <c r="W2502" s="23" t="s">
        <v>14355</v>
      </c>
      <c r="X2502" s="23">
        <v>50680</v>
      </c>
      <c r="Y2502" s="23">
        <v>70070</v>
      </c>
      <c r="Z2502" s="23">
        <v>512964400</v>
      </c>
      <c r="AB2502" s="23" t="s">
        <v>14356</v>
      </c>
      <c r="AC2502" s="23" t="s">
        <v>14357</v>
      </c>
      <c r="AD2502" s="23">
        <v>1</v>
      </c>
      <c r="AE2502" s="23">
        <v>11</v>
      </c>
      <c r="AF2502" s="23" t="s">
        <v>9622</v>
      </c>
      <c r="AG2502" s="23" t="s">
        <v>14358</v>
      </c>
      <c r="AH2502" s="39">
        <v>45860</v>
      </c>
      <c r="AI2502" s="53" t="s">
        <v>14337</v>
      </c>
    </row>
    <row r="2503" spans="1:54">
      <c r="A2503" s="75" t="s">
        <v>14359</v>
      </c>
      <c r="B2503" s="59" t="s">
        <v>14360</v>
      </c>
      <c r="C2503" s="140">
        <v>45856</v>
      </c>
      <c r="D2503" s="23" t="s">
        <v>729</v>
      </c>
      <c r="E2503" s="23" t="s">
        <v>752</v>
      </c>
      <c r="F2503" s="23" t="s">
        <v>13464</v>
      </c>
      <c r="G2503" s="23" t="s">
        <v>13465</v>
      </c>
      <c r="H2503" s="23" t="s">
        <v>14361</v>
      </c>
      <c r="I2503" s="23" t="s">
        <v>14361</v>
      </c>
      <c r="J2503" s="140">
        <v>45813</v>
      </c>
      <c r="O2503" s="23" t="s">
        <v>14470</v>
      </c>
      <c r="P2503" s="23" t="s">
        <v>14454</v>
      </c>
      <c r="Q2503" s="140">
        <v>45875</v>
      </c>
      <c r="S2503" s="23" t="s">
        <v>184</v>
      </c>
      <c r="T2503" s="23" t="s">
        <v>305</v>
      </c>
      <c r="U2503" s="23" t="s">
        <v>305</v>
      </c>
      <c r="V2503" s="23" t="s">
        <v>233</v>
      </c>
      <c r="W2503" s="23" t="s">
        <v>14362</v>
      </c>
      <c r="X2503" s="23">
        <v>11252.49</v>
      </c>
      <c r="Y2503" s="23">
        <v>11534.43</v>
      </c>
      <c r="Z2503" s="23">
        <v>103000</v>
      </c>
      <c r="AB2503" s="23" t="s">
        <v>14363</v>
      </c>
      <c r="AC2503" s="23" t="s">
        <v>13986</v>
      </c>
      <c r="AD2503" s="23">
        <v>0</v>
      </c>
      <c r="AE2503" s="23">
        <v>2</v>
      </c>
      <c r="AF2503" s="23" t="s">
        <v>9622</v>
      </c>
      <c r="AG2503" s="23" t="s">
        <v>14351</v>
      </c>
      <c r="AH2503" s="39">
        <v>45860</v>
      </c>
      <c r="AI2503" s="53" t="s">
        <v>14178</v>
      </c>
    </row>
    <row r="2504" spans="1:54">
      <c r="A2504" s="134" t="s">
        <v>14364</v>
      </c>
      <c r="B2504" s="23" t="s">
        <v>14366</v>
      </c>
      <c r="C2504" s="140">
        <v>45863</v>
      </c>
      <c r="D2504" s="23" t="s">
        <v>729</v>
      </c>
      <c r="E2504" s="23" t="s">
        <v>752</v>
      </c>
      <c r="F2504" s="23" t="s">
        <v>2200</v>
      </c>
      <c r="G2504" s="23" t="s">
        <v>301</v>
      </c>
      <c r="H2504" s="23" t="s">
        <v>14471</v>
      </c>
      <c r="I2504" s="23" t="s">
        <v>14471</v>
      </c>
      <c r="J2504" s="140">
        <v>45858</v>
      </c>
      <c r="K2504" s="23" t="s">
        <v>14472</v>
      </c>
      <c r="L2504" s="140">
        <v>45868</v>
      </c>
      <c r="O2504" s="23" t="s">
        <v>14494</v>
      </c>
      <c r="P2504" s="23" t="s">
        <v>14488</v>
      </c>
      <c r="Q2504" s="140">
        <v>45876</v>
      </c>
      <c r="S2504" s="23" t="s">
        <v>300</v>
      </c>
      <c r="T2504" s="23" t="s">
        <v>305</v>
      </c>
      <c r="U2504" s="23" t="s">
        <v>305</v>
      </c>
      <c r="V2504" s="23" t="s">
        <v>299</v>
      </c>
      <c r="W2504" s="23" t="s">
        <v>14367</v>
      </c>
      <c r="Y2504" s="23">
        <v>21801</v>
      </c>
      <c r="Z2504" s="203">
        <v>1098203</v>
      </c>
      <c r="AB2504" s="23" t="s">
        <v>14473</v>
      </c>
      <c r="AC2504" s="23">
        <v>19</v>
      </c>
      <c r="AD2504" s="23">
        <v>0</v>
      </c>
      <c r="AE2504" s="23">
        <v>5</v>
      </c>
      <c r="AF2504" s="23" t="s">
        <v>9622</v>
      </c>
      <c r="AG2504" s="23" t="s">
        <v>14474</v>
      </c>
      <c r="AH2504" s="39">
        <v>45862</v>
      </c>
      <c r="AI2504" s="53" t="s">
        <v>5851</v>
      </c>
    </row>
    <row r="2505" spans="1:54">
      <c r="A2505" s="134" t="s">
        <v>14365</v>
      </c>
      <c r="B2505" s="23" t="s">
        <v>14368</v>
      </c>
      <c r="C2505" s="140">
        <v>45861</v>
      </c>
      <c r="D2505" s="23" t="s">
        <v>729</v>
      </c>
      <c r="E2505" s="23" t="s">
        <v>752</v>
      </c>
      <c r="F2505" s="23" t="s">
        <v>2200</v>
      </c>
      <c r="G2505" s="23" t="s">
        <v>301</v>
      </c>
      <c r="H2505" s="23" t="s">
        <v>14436</v>
      </c>
      <c r="I2505" s="23" t="s">
        <v>14436</v>
      </c>
      <c r="J2505" s="140">
        <v>45859</v>
      </c>
      <c r="K2505" s="27" t="s">
        <v>14475</v>
      </c>
      <c r="L2505" s="140">
        <v>45874</v>
      </c>
      <c r="O2505" s="23" t="s">
        <v>14495</v>
      </c>
      <c r="P2505" s="23" t="s">
        <v>14489</v>
      </c>
      <c r="Q2505" s="140">
        <v>45880</v>
      </c>
      <c r="S2505" s="23" t="s">
        <v>300</v>
      </c>
      <c r="T2505" s="23" t="s">
        <v>305</v>
      </c>
      <c r="U2505" s="23" t="s">
        <v>305</v>
      </c>
      <c r="V2505" s="23" t="s">
        <v>299</v>
      </c>
      <c r="W2505" s="23" t="s">
        <v>13354</v>
      </c>
      <c r="Y2505" s="23">
        <v>19860</v>
      </c>
      <c r="Z2505" s="203">
        <v>1343736</v>
      </c>
      <c r="AB2505" s="23" t="s">
        <v>14433</v>
      </c>
      <c r="AC2505" s="23">
        <v>12</v>
      </c>
      <c r="AD2505" s="23">
        <v>0</v>
      </c>
      <c r="AE2505" s="23">
        <v>6</v>
      </c>
      <c r="AF2505" s="23" t="s">
        <v>9622</v>
      </c>
      <c r="AG2505" s="23" t="s">
        <v>1553</v>
      </c>
      <c r="AH2505" s="39">
        <v>45862</v>
      </c>
      <c r="AI2505" s="53" t="s">
        <v>5852</v>
      </c>
    </row>
    <row r="2506" spans="1:54">
      <c r="A2506" s="134" t="s">
        <v>14369</v>
      </c>
      <c r="B2506" s="23" t="s">
        <v>14371</v>
      </c>
      <c r="C2506" s="140">
        <v>45863</v>
      </c>
      <c r="D2506" s="23" t="s">
        <v>729</v>
      </c>
      <c r="E2506" s="23" t="s">
        <v>752</v>
      </c>
      <c r="F2506" s="23" t="s">
        <v>2200</v>
      </c>
      <c r="G2506" s="23" t="s">
        <v>301</v>
      </c>
      <c r="H2506" s="23">
        <v>20619404</v>
      </c>
      <c r="I2506" s="23">
        <v>20619404</v>
      </c>
      <c r="J2506" s="140">
        <v>45862</v>
      </c>
      <c r="K2506" s="23" t="s">
        <v>14429</v>
      </c>
      <c r="L2506" s="140">
        <v>45867</v>
      </c>
      <c r="S2506" s="23" t="s">
        <v>300</v>
      </c>
      <c r="T2506" s="23" t="s">
        <v>12031</v>
      </c>
      <c r="U2506" s="23" t="s">
        <v>12031</v>
      </c>
      <c r="V2506" s="23" t="s">
        <v>299</v>
      </c>
      <c r="W2506" s="23" t="s">
        <v>12524</v>
      </c>
      <c r="Y2506" s="23">
        <v>47448</v>
      </c>
      <c r="Z2506" s="203">
        <v>2444040</v>
      </c>
      <c r="AB2506" s="23" t="s">
        <v>14437</v>
      </c>
      <c r="AC2506" s="23">
        <v>36</v>
      </c>
      <c r="AD2506" s="23">
        <v>0</v>
      </c>
      <c r="AE2506" s="23">
        <v>12</v>
      </c>
      <c r="AF2506" s="23" t="s">
        <v>9622</v>
      </c>
      <c r="AG2506" s="23" t="s">
        <v>1553</v>
      </c>
      <c r="AH2506" s="39">
        <v>45862</v>
      </c>
      <c r="AI2506" s="53" t="s">
        <v>5851</v>
      </c>
    </row>
    <row r="2507" spans="1:54">
      <c r="A2507" s="134" t="s">
        <v>14370</v>
      </c>
      <c r="B2507" s="23" t="s">
        <v>14373</v>
      </c>
      <c r="C2507" s="140">
        <v>45863</v>
      </c>
      <c r="D2507" s="23" t="s">
        <v>729</v>
      </c>
      <c r="E2507" s="23" t="s">
        <v>752</v>
      </c>
      <c r="F2507" s="23" t="s">
        <v>2200</v>
      </c>
      <c r="G2507" s="23" t="s">
        <v>301</v>
      </c>
      <c r="H2507" s="23">
        <v>20619405</v>
      </c>
      <c r="I2507" s="23">
        <v>20619405</v>
      </c>
      <c r="J2507" s="140">
        <v>45862</v>
      </c>
      <c r="K2507" s="23" t="s">
        <v>14430</v>
      </c>
      <c r="L2507" s="140">
        <v>45867</v>
      </c>
      <c r="S2507" s="23" t="s">
        <v>300</v>
      </c>
      <c r="T2507" s="23" t="s">
        <v>12031</v>
      </c>
      <c r="U2507" s="23" t="s">
        <v>12031</v>
      </c>
      <c r="V2507" s="23" t="s">
        <v>299</v>
      </c>
      <c r="W2507" s="23" t="s">
        <v>13264</v>
      </c>
      <c r="Y2507" s="23">
        <v>12180</v>
      </c>
      <c r="Z2507" s="23">
        <v>123000</v>
      </c>
      <c r="AB2507" s="23" t="s">
        <v>14438</v>
      </c>
      <c r="AC2507" s="23">
        <v>6</v>
      </c>
      <c r="AD2507" s="23">
        <v>0</v>
      </c>
      <c r="AE2507" s="23">
        <v>3</v>
      </c>
      <c r="AF2507" s="23" t="s">
        <v>9622</v>
      </c>
      <c r="AG2507" s="23" t="s">
        <v>1553</v>
      </c>
      <c r="AH2507" s="39">
        <v>45862</v>
      </c>
      <c r="AI2507" s="53" t="s">
        <v>5851</v>
      </c>
    </row>
    <row r="2508" spans="1:54">
      <c r="A2508" s="134" t="s">
        <v>14372</v>
      </c>
      <c r="B2508" s="23" t="s">
        <v>14374</v>
      </c>
      <c r="C2508" s="140">
        <v>45863</v>
      </c>
      <c r="D2508" s="23" t="s">
        <v>729</v>
      </c>
      <c r="E2508" s="23" t="s">
        <v>752</v>
      </c>
      <c r="F2508" s="23" t="s">
        <v>2200</v>
      </c>
      <c r="G2508" s="23" t="s">
        <v>301</v>
      </c>
      <c r="H2508" s="23">
        <v>20619406</v>
      </c>
      <c r="I2508" s="23">
        <v>20619406</v>
      </c>
      <c r="J2508" s="140">
        <v>45862</v>
      </c>
      <c r="K2508" s="23" t="s">
        <v>14431</v>
      </c>
      <c r="L2508" s="140">
        <v>45867</v>
      </c>
      <c r="S2508" s="23" t="s">
        <v>300</v>
      </c>
      <c r="T2508" s="23" t="s">
        <v>12031</v>
      </c>
      <c r="U2508" s="23" t="s">
        <v>12031</v>
      </c>
      <c r="V2508" s="23" t="s">
        <v>299</v>
      </c>
      <c r="W2508" s="23" t="s">
        <v>12511</v>
      </c>
      <c r="Y2508" s="23">
        <v>14850</v>
      </c>
      <c r="Z2508" s="23">
        <v>166500</v>
      </c>
      <c r="AB2508" s="23" t="s">
        <v>14432</v>
      </c>
      <c r="AC2508" s="23">
        <v>9</v>
      </c>
      <c r="AD2508" s="23">
        <v>0</v>
      </c>
      <c r="AE2508" s="23">
        <v>3</v>
      </c>
      <c r="AF2508" s="23" t="s">
        <v>9622</v>
      </c>
      <c r="AG2508" s="23" t="s">
        <v>1553</v>
      </c>
      <c r="AH2508" s="39">
        <v>45862</v>
      </c>
      <c r="AI2508" s="53" t="s">
        <v>5851</v>
      </c>
    </row>
    <row r="2509" spans="1:54" ht="48">
      <c r="A2509" s="75" t="s">
        <v>14375</v>
      </c>
      <c r="B2509" s="27" t="s">
        <v>14422</v>
      </c>
      <c r="C2509" s="140">
        <v>45847</v>
      </c>
      <c r="D2509" s="23" t="s">
        <v>729</v>
      </c>
      <c r="E2509" s="23" t="s">
        <v>752</v>
      </c>
      <c r="F2509" s="23" t="s">
        <v>12847</v>
      </c>
      <c r="G2509" s="23" t="s">
        <v>12867</v>
      </c>
      <c r="H2509" s="23" t="s">
        <v>14376</v>
      </c>
      <c r="I2509" s="23" t="s">
        <v>14376</v>
      </c>
      <c r="J2509" s="140">
        <v>45828</v>
      </c>
      <c r="Q2509" s="140">
        <v>45864</v>
      </c>
      <c r="S2509" s="23" t="s">
        <v>300</v>
      </c>
      <c r="T2509" s="23" t="s">
        <v>12031</v>
      </c>
      <c r="U2509" s="23" t="s">
        <v>12031</v>
      </c>
      <c r="V2509" s="23" t="s">
        <v>233</v>
      </c>
      <c r="W2509" s="23" t="s">
        <v>14377</v>
      </c>
      <c r="X2509" s="23">
        <v>10000</v>
      </c>
      <c r="Y2509" s="23">
        <v>10700</v>
      </c>
      <c r="Z2509" s="23">
        <v>18880</v>
      </c>
      <c r="AB2509" s="23" t="s">
        <v>14378</v>
      </c>
      <c r="AC2509" s="23" t="s">
        <v>14379</v>
      </c>
      <c r="AD2509" s="23">
        <v>1</v>
      </c>
      <c r="AE2509" s="23">
        <v>0</v>
      </c>
      <c r="AF2509" s="23" t="s">
        <v>9622</v>
      </c>
      <c r="AG2509" s="23" t="s">
        <v>14261</v>
      </c>
      <c r="AH2509" s="39">
        <v>45863</v>
      </c>
      <c r="AI2509" s="53" t="s">
        <v>13947</v>
      </c>
      <c r="BB2509" s="19" t="s">
        <v>14497</v>
      </c>
    </row>
    <row r="2510" spans="1:54">
      <c r="A2510" s="75" t="s">
        <v>14380</v>
      </c>
      <c r="B2510" s="59">
        <v>256553427</v>
      </c>
      <c r="C2510" s="140">
        <v>45862</v>
      </c>
      <c r="D2510" s="23" t="s">
        <v>729</v>
      </c>
      <c r="E2510" s="23" t="s">
        <v>752</v>
      </c>
      <c r="F2510" s="23" t="s">
        <v>11304</v>
      </c>
      <c r="G2510" s="23" t="s">
        <v>5538</v>
      </c>
      <c r="H2510" s="23" t="s">
        <v>14383</v>
      </c>
      <c r="I2510" s="23" t="s">
        <v>14383</v>
      </c>
      <c r="J2510" s="140">
        <v>45848</v>
      </c>
      <c r="T2510" s="23" t="s">
        <v>12031</v>
      </c>
      <c r="U2510" s="23" t="s">
        <v>12031</v>
      </c>
      <c r="V2510" s="23" t="s">
        <v>299</v>
      </c>
      <c r="W2510" s="23" t="s">
        <v>14384</v>
      </c>
      <c r="Y2510" s="23">
        <v>18000</v>
      </c>
      <c r="Z2510" s="23">
        <v>144000</v>
      </c>
      <c r="AB2510" s="23" t="s">
        <v>14385</v>
      </c>
      <c r="AC2510" s="23">
        <v>8</v>
      </c>
      <c r="AD2510" s="23">
        <v>0</v>
      </c>
      <c r="AE2510" s="23">
        <v>4</v>
      </c>
      <c r="AF2510" s="23" t="s">
        <v>9622</v>
      </c>
      <c r="AG2510" s="23" t="s">
        <v>14386</v>
      </c>
      <c r="AH2510" s="39">
        <v>45866</v>
      </c>
      <c r="AI2510" s="53" t="s">
        <v>13319</v>
      </c>
    </row>
    <row r="2511" spans="1:54" ht="64">
      <c r="A2511" s="75" t="s">
        <v>14381</v>
      </c>
      <c r="B2511" s="59">
        <v>256568816</v>
      </c>
      <c r="C2511" s="140">
        <v>45862</v>
      </c>
      <c r="D2511" s="23" t="s">
        <v>729</v>
      </c>
      <c r="E2511" s="23" t="s">
        <v>752</v>
      </c>
      <c r="F2511" s="23" t="s">
        <v>13586</v>
      </c>
      <c r="G2511" s="23" t="s">
        <v>13587</v>
      </c>
      <c r="H2511" s="23" t="s">
        <v>14394</v>
      </c>
      <c r="I2511" s="23" t="s">
        <v>14394</v>
      </c>
      <c r="J2511" s="140">
        <v>45844</v>
      </c>
      <c r="T2511" s="23" t="s">
        <v>12031</v>
      </c>
      <c r="U2511" s="23" t="s">
        <v>12031</v>
      </c>
      <c r="V2511" s="23" t="s">
        <v>299</v>
      </c>
      <c r="W2511" s="19" t="s">
        <v>14395</v>
      </c>
      <c r="Y2511" s="23">
        <v>21076</v>
      </c>
      <c r="Z2511" s="23">
        <v>140000</v>
      </c>
      <c r="AB2511" s="23" t="s">
        <v>14396</v>
      </c>
      <c r="AC2511" s="23">
        <v>10</v>
      </c>
      <c r="AD2511" s="23">
        <v>0</v>
      </c>
      <c r="AE2511" s="23">
        <v>4</v>
      </c>
      <c r="AF2511" s="23" t="s">
        <v>9622</v>
      </c>
      <c r="AG2511" s="23" t="s">
        <v>13826</v>
      </c>
      <c r="AH2511" s="39">
        <v>45866</v>
      </c>
      <c r="AI2511" s="53" t="s">
        <v>13319</v>
      </c>
    </row>
    <row r="2512" spans="1:54" ht="32">
      <c r="A2512" s="75" t="s">
        <v>14382</v>
      </c>
      <c r="B2512" s="59">
        <v>256570764</v>
      </c>
      <c r="C2512" s="140">
        <v>45862</v>
      </c>
      <c r="D2512" s="23" t="s">
        <v>729</v>
      </c>
      <c r="E2512" s="23" t="s">
        <v>752</v>
      </c>
      <c r="F2512" s="23" t="s">
        <v>13348</v>
      </c>
      <c r="G2512" s="23" t="s">
        <v>13368</v>
      </c>
      <c r="H2512" s="23" t="s">
        <v>14397</v>
      </c>
      <c r="I2512" s="23" t="s">
        <v>14397</v>
      </c>
      <c r="J2512" s="140">
        <v>45844</v>
      </c>
      <c r="T2512" s="23" t="s">
        <v>12031</v>
      </c>
      <c r="U2512" s="23" t="s">
        <v>12031</v>
      </c>
      <c r="V2512" s="23" t="s">
        <v>299</v>
      </c>
      <c r="W2512" s="19" t="s">
        <v>14398</v>
      </c>
      <c r="Y2512" s="23">
        <v>15280</v>
      </c>
      <c r="Z2512" s="23">
        <v>210000</v>
      </c>
      <c r="AB2512" s="23" t="s">
        <v>14399</v>
      </c>
      <c r="AC2512" s="23">
        <v>6</v>
      </c>
      <c r="AD2512" s="23">
        <v>0</v>
      </c>
      <c r="AE2512" s="23">
        <v>3</v>
      </c>
      <c r="AF2512" s="23" t="s">
        <v>9622</v>
      </c>
      <c r="AG2512" s="23" t="s">
        <v>14400</v>
      </c>
      <c r="AH2512" s="39">
        <v>45866</v>
      </c>
      <c r="AI2512" s="53" t="s">
        <v>13319</v>
      </c>
    </row>
    <row r="2513" spans="1:54">
      <c r="A2513" s="134" t="s">
        <v>14401</v>
      </c>
      <c r="B2513" s="59" t="s">
        <v>14402</v>
      </c>
      <c r="C2513" s="140">
        <v>45867</v>
      </c>
      <c r="D2513" s="23" t="s">
        <v>729</v>
      </c>
      <c r="E2513" s="23" t="s">
        <v>752</v>
      </c>
      <c r="F2513" s="23" t="s">
        <v>2200</v>
      </c>
      <c r="G2513" s="23" t="s">
        <v>301</v>
      </c>
      <c r="H2513" s="23">
        <v>20620678</v>
      </c>
      <c r="I2513" s="23">
        <v>20620678</v>
      </c>
      <c r="J2513" s="140">
        <v>45866</v>
      </c>
      <c r="K2513" s="23" t="s">
        <v>14478</v>
      </c>
      <c r="L2513" s="140">
        <v>45873</v>
      </c>
      <c r="Q2513" s="140">
        <v>45877</v>
      </c>
      <c r="S2513" s="23" t="s">
        <v>300</v>
      </c>
      <c r="T2513" s="23" t="s">
        <v>12031</v>
      </c>
      <c r="U2513" s="23" t="s">
        <v>12031</v>
      </c>
      <c r="V2513" s="23" t="s">
        <v>299</v>
      </c>
      <c r="W2513" s="23" t="s">
        <v>12503</v>
      </c>
      <c r="Y2513" s="23">
        <v>60021</v>
      </c>
      <c r="Z2513" s="23">
        <v>507000</v>
      </c>
      <c r="AB2513" s="23" t="s">
        <v>14403</v>
      </c>
      <c r="AC2513" s="23">
        <v>39</v>
      </c>
      <c r="AD2513" s="23">
        <v>0</v>
      </c>
      <c r="AE2513" s="23">
        <v>13</v>
      </c>
      <c r="AF2513" s="23" t="s">
        <v>9622</v>
      </c>
      <c r="AG2513" s="23" t="s">
        <v>1553</v>
      </c>
      <c r="AH2513" s="39">
        <v>45867</v>
      </c>
      <c r="AI2513" s="53" t="s">
        <v>5851</v>
      </c>
    </row>
    <row r="2514" spans="1:54">
      <c r="A2514" s="134" t="s">
        <v>14404</v>
      </c>
      <c r="B2514" s="59" t="s">
        <v>14405</v>
      </c>
      <c r="C2514" s="140">
        <v>45867</v>
      </c>
      <c r="D2514" s="23" t="s">
        <v>729</v>
      </c>
      <c r="E2514" s="23" t="s">
        <v>752</v>
      </c>
      <c r="F2514" s="23" t="s">
        <v>2200</v>
      </c>
      <c r="G2514" s="23" t="s">
        <v>301</v>
      </c>
      <c r="H2514" s="23">
        <v>20620679</v>
      </c>
      <c r="I2514" s="23">
        <v>20620679</v>
      </c>
      <c r="J2514" s="140">
        <v>45866</v>
      </c>
      <c r="K2514" s="23" t="s">
        <v>14479</v>
      </c>
      <c r="L2514" s="140">
        <v>45873</v>
      </c>
      <c r="Q2514" s="140">
        <v>45877</v>
      </c>
      <c r="S2514" s="23" t="s">
        <v>300</v>
      </c>
      <c r="T2514" s="23" t="s">
        <v>12031</v>
      </c>
      <c r="U2514" s="23" t="s">
        <v>12031</v>
      </c>
      <c r="V2514" s="23" t="s">
        <v>299</v>
      </c>
      <c r="W2514" s="23" t="s">
        <v>12744</v>
      </c>
      <c r="Y2514" s="23">
        <v>4136</v>
      </c>
      <c r="Z2514" s="23">
        <v>36700</v>
      </c>
      <c r="AB2514" s="23" t="s">
        <v>14406</v>
      </c>
      <c r="AC2514" s="23">
        <v>2</v>
      </c>
      <c r="AD2514" s="23">
        <v>0</v>
      </c>
      <c r="AE2514" s="23">
        <v>1</v>
      </c>
      <c r="AF2514" s="23" t="s">
        <v>9622</v>
      </c>
      <c r="AG2514" s="23" t="s">
        <v>1553</v>
      </c>
      <c r="AH2514" s="39">
        <v>45867</v>
      </c>
      <c r="AI2514" s="53" t="s">
        <v>5851</v>
      </c>
    </row>
    <row r="2515" spans="1:54">
      <c r="A2515" s="75" t="s">
        <v>14409</v>
      </c>
      <c r="B2515" s="59" t="s">
        <v>14410</v>
      </c>
      <c r="C2515" s="140">
        <v>45838</v>
      </c>
      <c r="D2515" s="23" t="s">
        <v>729</v>
      </c>
      <c r="E2515" s="23" t="s">
        <v>752</v>
      </c>
      <c r="F2515" s="23" t="s">
        <v>2200</v>
      </c>
      <c r="G2515" s="23" t="s">
        <v>301</v>
      </c>
      <c r="H2515" s="23">
        <v>55026329</v>
      </c>
      <c r="I2515" s="23">
        <v>55026329</v>
      </c>
      <c r="J2515" s="140">
        <v>45827</v>
      </c>
      <c r="K2515" s="23" t="s">
        <v>14412</v>
      </c>
      <c r="L2515" s="140">
        <v>45852</v>
      </c>
      <c r="O2515" s="23" t="s">
        <v>14476</v>
      </c>
      <c r="P2515" s="23" t="s">
        <v>14477</v>
      </c>
      <c r="Q2515" s="140">
        <v>45867</v>
      </c>
      <c r="S2515" s="23" t="s">
        <v>3140</v>
      </c>
      <c r="T2515" s="23" t="s">
        <v>305</v>
      </c>
      <c r="U2515" s="23" t="s">
        <v>305</v>
      </c>
      <c r="V2515" s="23" t="s">
        <v>298</v>
      </c>
      <c r="W2515" s="23" t="s">
        <v>11559</v>
      </c>
      <c r="Y2515" s="23">
        <v>8535</v>
      </c>
      <c r="Z2515" s="23">
        <v>68155</v>
      </c>
      <c r="AB2515" s="23" t="s">
        <v>14411</v>
      </c>
      <c r="AC2515" s="23" t="s">
        <v>11127</v>
      </c>
      <c r="AD2515" s="23">
        <v>0</v>
      </c>
      <c r="AE2515" s="23">
        <v>1</v>
      </c>
      <c r="AF2515" s="23" t="s">
        <v>9622</v>
      </c>
      <c r="AG2515" s="23" t="s">
        <v>5602</v>
      </c>
      <c r="AH2515" s="39">
        <v>45866</v>
      </c>
    </row>
    <row r="2516" spans="1:54">
      <c r="A2516" s="75" t="s">
        <v>14413</v>
      </c>
      <c r="B2516" s="59" t="s">
        <v>14414</v>
      </c>
      <c r="C2516" s="140">
        <v>45838</v>
      </c>
      <c r="D2516" s="23" t="s">
        <v>729</v>
      </c>
      <c r="E2516" s="23" t="s">
        <v>752</v>
      </c>
      <c r="F2516" s="23" t="s">
        <v>2200</v>
      </c>
      <c r="G2516" s="23" t="s">
        <v>301</v>
      </c>
      <c r="H2516" s="23">
        <v>55026443</v>
      </c>
      <c r="I2516" s="23">
        <v>55026443</v>
      </c>
      <c r="J2516" s="140">
        <v>45833</v>
      </c>
      <c r="K2516" s="23" t="s">
        <v>14415</v>
      </c>
      <c r="L2516" s="140">
        <v>45852</v>
      </c>
      <c r="O2516" s="23" t="s">
        <v>14476</v>
      </c>
      <c r="P2516" s="23" t="s">
        <v>14477</v>
      </c>
      <c r="Q2516" s="140">
        <v>45867</v>
      </c>
      <c r="T2516" s="23" t="s">
        <v>305</v>
      </c>
      <c r="U2516" s="23" t="s">
        <v>305</v>
      </c>
      <c r="V2516" s="23" t="s">
        <v>298</v>
      </c>
      <c r="W2516" s="23" t="s">
        <v>11559</v>
      </c>
      <c r="Y2516" s="23">
        <v>8412</v>
      </c>
      <c r="Z2516" s="23">
        <v>65085</v>
      </c>
      <c r="AB2516" s="23" t="s">
        <v>14416</v>
      </c>
      <c r="AC2516" s="23" t="s">
        <v>11127</v>
      </c>
      <c r="AD2516" s="23">
        <v>0</v>
      </c>
      <c r="AE2516" s="23">
        <v>1</v>
      </c>
      <c r="AF2516" s="23" t="s">
        <v>9622</v>
      </c>
      <c r="AG2516" s="23" t="s">
        <v>5602</v>
      </c>
      <c r="AH2516" s="39">
        <v>45866</v>
      </c>
    </row>
    <row r="2517" spans="1:54">
      <c r="A2517" s="75" t="s">
        <v>14417</v>
      </c>
      <c r="B2517" s="59" t="s">
        <v>14418</v>
      </c>
      <c r="C2517" s="140">
        <v>45838</v>
      </c>
      <c r="D2517" s="23" t="s">
        <v>729</v>
      </c>
      <c r="E2517" s="23" t="s">
        <v>752</v>
      </c>
      <c r="F2517" s="23" t="s">
        <v>2200</v>
      </c>
      <c r="G2517" s="23" t="s">
        <v>301</v>
      </c>
      <c r="H2517" s="23">
        <v>55026388</v>
      </c>
      <c r="I2517" s="23">
        <v>55026388</v>
      </c>
      <c r="J2517" s="140">
        <v>45831</v>
      </c>
      <c r="K2517" s="23" t="s">
        <v>14419</v>
      </c>
      <c r="L2517" s="140">
        <v>45852</v>
      </c>
      <c r="O2517" s="23" t="s">
        <v>14476</v>
      </c>
      <c r="P2517" s="23" t="s">
        <v>14477</v>
      </c>
      <c r="Q2517" s="140">
        <v>45867</v>
      </c>
      <c r="T2517" s="23" t="s">
        <v>305</v>
      </c>
      <c r="U2517" s="23" t="s">
        <v>305</v>
      </c>
      <c r="V2517" s="23" t="s">
        <v>298</v>
      </c>
      <c r="W2517" s="23" t="s">
        <v>11559</v>
      </c>
      <c r="Y2517" s="23">
        <v>8352</v>
      </c>
      <c r="Z2517" s="23">
        <v>64050</v>
      </c>
      <c r="AB2517" s="23" t="s">
        <v>14420</v>
      </c>
      <c r="AC2517" s="23" t="s">
        <v>13335</v>
      </c>
      <c r="AD2517" s="23">
        <v>0</v>
      </c>
      <c r="AE2517" s="23">
        <v>1</v>
      </c>
      <c r="AF2517" s="23" t="s">
        <v>9622</v>
      </c>
      <c r="AG2517" s="23" t="s">
        <v>5602</v>
      </c>
      <c r="AH2517" s="39">
        <v>45866</v>
      </c>
    </row>
    <row r="2518" spans="1:54">
      <c r="A2518" s="75" t="s">
        <v>14423</v>
      </c>
      <c r="B2518" s="59" t="s">
        <v>14424</v>
      </c>
      <c r="C2518" s="140">
        <v>45860</v>
      </c>
      <c r="D2518" s="23" t="s">
        <v>729</v>
      </c>
      <c r="E2518" s="23" t="s">
        <v>3773</v>
      </c>
      <c r="F2518" s="23" t="s">
        <v>10928</v>
      </c>
      <c r="G2518" s="23" t="s">
        <v>3469</v>
      </c>
      <c r="H2518" s="23" t="s">
        <v>14425</v>
      </c>
      <c r="I2518" s="23" t="s">
        <v>14425</v>
      </c>
      <c r="J2518" s="140">
        <v>45842</v>
      </c>
      <c r="T2518" s="23" t="s">
        <v>12031</v>
      </c>
      <c r="U2518" s="23" t="s">
        <v>12031</v>
      </c>
      <c r="V2518" s="23" t="s">
        <v>298</v>
      </c>
      <c r="W2518" s="23" t="s">
        <v>12805</v>
      </c>
      <c r="Y2518" s="23">
        <v>518400</v>
      </c>
      <c r="Z2518" s="23">
        <v>1052800</v>
      </c>
      <c r="AB2518" s="23" t="s">
        <v>97</v>
      </c>
      <c r="AC2518" s="23">
        <v>32</v>
      </c>
      <c r="AD2518" s="23">
        <v>0</v>
      </c>
      <c r="AE2518" s="23">
        <v>0</v>
      </c>
      <c r="AF2518" s="23" t="s">
        <v>97</v>
      </c>
      <c r="AG2518" s="23" t="s">
        <v>8497</v>
      </c>
      <c r="AH2518" s="39">
        <v>45868</v>
      </c>
    </row>
    <row r="2519" spans="1:54">
      <c r="A2519" s="75" t="s">
        <v>14439</v>
      </c>
      <c r="B2519" s="59" t="s">
        <v>14440</v>
      </c>
      <c r="C2519" s="140">
        <v>45873</v>
      </c>
      <c r="D2519" s="23" t="s">
        <v>729</v>
      </c>
      <c r="E2519" s="23" t="s">
        <v>2598</v>
      </c>
      <c r="F2519" s="23" t="s">
        <v>12847</v>
      </c>
      <c r="G2519" s="23" t="s">
        <v>12867</v>
      </c>
      <c r="H2519" s="23" t="s">
        <v>14449</v>
      </c>
      <c r="I2519" s="23" t="s">
        <v>14449</v>
      </c>
      <c r="J2519" s="140">
        <v>45868</v>
      </c>
      <c r="S2519" s="23" t="s">
        <v>300</v>
      </c>
      <c r="T2519" s="23" t="s">
        <v>303</v>
      </c>
      <c r="U2519" s="23" t="s">
        <v>303</v>
      </c>
      <c r="V2519" s="23" t="s">
        <v>233</v>
      </c>
      <c r="W2519" s="23" t="s">
        <v>14450</v>
      </c>
      <c r="X2519" s="23">
        <v>52</v>
      </c>
      <c r="Y2519" s="23">
        <v>74</v>
      </c>
      <c r="Z2519" s="23">
        <v>2800</v>
      </c>
      <c r="AB2519" s="23" t="s">
        <v>14453</v>
      </c>
      <c r="AC2519" s="23" t="s">
        <v>1696</v>
      </c>
      <c r="AD2519" s="23">
        <v>0</v>
      </c>
      <c r="AE2519" s="23">
        <v>0</v>
      </c>
      <c r="AF2519" s="23" t="s">
        <v>97</v>
      </c>
      <c r="AG2519" s="23" t="s">
        <v>13288</v>
      </c>
      <c r="AH2519" s="39">
        <v>45874</v>
      </c>
      <c r="AI2519" s="53" t="s">
        <v>13947</v>
      </c>
    </row>
    <row r="2520" spans="1:54">
      <c r="A2520" s="75" t="s">
        <v>14441</v>
      </c>
      <c r="B2520" s="23">
        <v>8352785346</v>
      </c>
      <c r="C2520" s="140">
        <v>45873</v>
      </c>
      <c r="D2520" s="23" t="s">
        <v>729</v>
      </c>
      <c r="E2520" s="23" t="s">
        <v>2598</v>
      </c>
      <c r="F2520" s="23" t="s">
        <v>13558</v>
      </c>
      <c r="G2520" s="23" t="s">
        <v>13567</v>
      </c>
      <c r="H2520" s="23" t="s">
        <v>14446</v>
      </c>
      <c r="I2520" s="23" t="s">
        <v>14446</v>
      </c>
      <c r="J2520" s="140">
        <v>45873</v>
      </c>
      <c r="S2520" s="23" t="s">
        <v>184</v>
      </c>
      <c r="T2520" s="23" t="s">
        <v>303</v>
      </c>
      <c r="U2520" s="23" t="s">
        <v>303</v>
      </c>
      <c r="V2520" s="23" t="s">
        <v>233</v>
      </c>
      <c r="W2520" s="23" t="s">
        <v>14447</v>
      </c>
      <c r="X2520" s="23">
        <v>37</v>
      </c>
      <c r="Y2520" s="23">
        <v>43</v>
      </c>
      <c r="Z2520" s="23">
        <v>24235</v>
      </c>
      <c r="AB2520" s="23" t="s">
        <v>14453</v>
      </c>
      <c r="AC2520" s="23" t="s">
        <v>10862</v>
      </c>
      <c r="AD2520" s="23">
        <v>0</v>
      </c>
      <c r="AE2520" s="23">
        <v>0</v>
      </c>
      <c r="AF2520" s="23" t="s">
        <v>97</v>
      </c>
      <c r="AG2520" s="23" t="s">
        <v>14448</v>
      </c>
      <c r="AH2520" s="39">
        <v>45874</v>
      </c>
      <c r="AI2520" s="53" t="s">
        <v>14337</v>
      </c>
    </row>
    <row r="2521" spans="1:54" ht="48">
      <c r="A2521" s="75" t="s">
        <v>14443</v>
      </c>
      <c r="B2521" s="23" t="s">
        <v>14511</v>
      </c>
      <c r="C2521" s="140">
        <v>45883</v>
      </c>
      <c r="D2521" s="23" t="s">
        <v>729</v>
      </c>
      <c r="E2521" s="23" t="s">
        <v>3773</v>
      </c>
      <c r="F2521" s="23" t="s">
        <v>13464</v>
      </c>
      <c r="G2521" s="23" t="s">
        <v>13465</v>
      </c>
      <c r="H2521" s="23" t="s">
        <v>14512</v>
      </c>
      <c r="I2521" s="23" t="s">
        <v>14512</v>
      </c>
      <c r="J2521" s="140">
        <v>45880</v>
      </c>
      <c r="P2521" s="23" t="s">
        <v>14547</v>
      </c>
      <c r="Q2521" s="140">
        <v>45887</v>
      </c>
      <c r="S2521" s="23" t="s">
        <v>184</v>
      </c>
      <c r="T2521" s="23" t="s">
        <v>12031</v>
      </c>
      <c r="U2521" s="23" t="s">
        <v>12031</v>
      </c>
      <c r="V2521" s="23" t="s">
        <v>233</v>
      </c>
      <c r="W2521" s="23" t="s">
        <v>13773</v>
      </c>
      <c r="X2521" s="23">
        <v>76608.899999999994</v>
      </c>
      <c r="Y2521" s="23">
        <v>80619.87</v>
      </c>
      <c r="Z2521" s="23">
        <v>1055000</v>
      </c>
      <c r="AB2521" s="23" t="s">
        <v>14513</v>
      </c>
      <c r="AC2521" s="23" t="s">
        <v>14514</v>
      </c>
      <c r="AE2521" s="23">
        <v>14</v>
      </c>
      <c r="AF2521" s="23" t="s">
        <v>9622</v>
      </c>
      <c r="AG2521" s="23" t="s">
        <v>13775</v>
      </c>
      <c r="AH2521" s="39">
        <v>45881</v>
      </c>
      <c r="AI2521" s="53" t="s">
        <v>14178</v>
      </c>
      <c r="BB2521" s="19" t="s">
        <v>14610</v>
      </c>
    </row>
    <row r="2522" spans="1:54">
      <c r="A2522" s="75" t="s">
        <v>14444</v>
      </c>
      <c r="B2522" s="23" t="s">
        <v>14515</v>
      </c>
      <c r="C2522" s="140">
        <v>45884</v>
      </c>
      <c r="D2522" s="23" t="s">
        <v>729</v>
      </c>
      <c r="E2522" s="23" t="s">
        <v>3773</v>
      </c>
      <c r="F2522" s="23" t="s">
        <v>13464</v>
      </c>
      <c r="G2522" s="23" t="s">
        <v>13465</v>
      </c>
      <c r="H2522" s="23" t="s">
        <v>14548</v>
      </c>
      <c r="I2522" s="23" t="s">
        <v>14548</v>
      </c>
      <c r="J2522" s="140">
        <v>45859</v>
      </c>
      <c r="P2522" s="23" t="s">
        <v>14547</v>
      </c>
      <c r="Q2522" s="140">
        <v>45887</v>
      </c>
      <c r="S2522" s="23" t="s">
        <v>184</v>
      </c>
      <c r="T2522" s="23" t="s">
        <v>12031</v>
      </c>
      <c r="U2522" s="23" t="s">
        <v>12031</v>
      </c>
      <c r="V2522" s="23" t="s">
        <v>233</v>
      </c>
      <c r="W2522" s="23" t="s">
        <v>14549</v>
      </c>
      <c r="X2522" s="23">
        <v>4631</v>
      </c>
      <c r="Y2522" s="23">
        <v>4721</v>
      </c>
      <c r="Z2522" s="23">
        <v>57450</v>
      </c>
      <c r="AB2522" s="23" t="s">
        <v>14550</v>
      </c>
      <c r="AC2522" s="23" t="s">
        <v>13477</v>
      </c>
      <c r="AD2522" s="23">
        <v>1</v>
      </c>
      <c r="AE2522" s="23">
        <v>0</v>
      </c>
      <c r="AF2522" s="23" t="s">
        <v>9622</v>
      </c>
      <c r="AG2522" s="23" t="s">
        <v>14522</v>
      </c>
      <c r="AH2522" s="39">
        <v>45883</v>
      </c>
      <c r="AI2522" s="53" t="s">
        <v>14178</v>
      </c>
    </row>
    <row r="2523" spans="1:54" ht="112">
      <c r="A2523" s="75" t="s">
        <v>14455</v>
      </c>
      <c r="B2523" s="59" t="s">
        <v>14456</v>
      </c>
      <c r="C2523" s="140">
        <v>45872</v>
      </c>
      <c r="D2523" s="23" t="s">
        <v>729</v>
      </c>
      <c r="E2523" s="23" t="s">
        <v>752</v>
      </c>
      <c r="F2523" s="23" t="s">
        <v>13464</v>
      </c>
      <c r="G2523" s="23" t="s">
        <v>13465</v>
      </c>
      <c r="H2523" s="23">
        <v>1681535</v>
      </c>
      <c r="I2523" s="23">
        <v>1681535</v>
      </c>
      <c r="J2523" s="140">
        <v>45860</v>
      </c>
      <c r="S2523" s="23" t="s">
        <v>184</v>
      </c>
      <c r="T2523" s="23" t="s">
        <v>12031</v>
      </c>
      <c r="U2523" s="23" t="s">
        <v>12031</v>
      </c>
      <c r="V2523" s="23" t="s">
        <v>233</v>
      </c>
      <c r="W2523" s="23" t="s">
        <v>14457</v>
      </c>
      <c r="X2523" s="23">
        <v>39542</v>
      </c>
      <c r="Y2523" s="23">
        <v>42327</v>
      </c>
      <c r="Z2523" s="23">
        <v>507000</v>
      </c>
      <c r="AB2523" s="23" t="s">
        <v>14458</v>
      </c>
      <c r="AC2523" s="23" t="s">
        <v>14459</v>
      </c>
      <c r="AE2523" s="23">
        <v>9</v>
      </c>
      <c r="AF2523" s="23" t="s">
        <v>9622</v>
      </c>
      <c r="AG2523" s="23" t="s">
        <v>14460</v>
      </c>
      <c r="AH2523" s="39">
        <v>45874</v>
      </c>
      <c r="AI2523" s="53" t="s">
        <v>14178</v>
      </c>
      <c r="BB2523" s="19" t="s">
        <v>14611</v>
      </c>
    </row>
    <row r="2524" spans="1:54" ht="48">
      <c r="A2524" s="75" t="s">
        <v>14461</v>
      </c>
      <c r="B2524" s="59" t="s">
        <v>14463</v>
      </c>
      <c r="C2524" s="140">
        <v>45872</v>
      </c>
      <c r="D2524" s="23" t="s">
        <v>729</v>
      </c>
      <c r="E2524" s="23" t="s">
        <v>752</v>
      </c>
      <c r="F2524" s="23" t="s">
        <v>13464</v>
      </c>
      <c r="G2524" s="23" t="s">
        <v>13465</v>
      </c>
      <c r="H2524" s="23" t="s">
        <v>14462</v>
      </c>
      <c r="I2524" s="23" t="s">
        <v>14462</v>
      </c>
      <c r="J2524" s="140">
        <v>45861</v>
      </c>
      <c r="S2524" s="23" t="s">
        <v>184</v>
      </c>
      <c r="T2524" s="23" t="s">
        <v>12031</v>
      </c>
      <c r="U2524" s="23" t="s">
        <v>12031</v>
      </c>
      <c r="V2524" s="23" t="s">
        <v>233</v>
      </c>
      <c r="W2524" s="23" t="s">
        <v>14464</v>
      </c>
      <c r="X2524" s="23">
        <v>5180</v>
      </c>
      <c r="Y2524" s="23">
        <v>5180</v>
      </c>
      <c r="Z2524" s="23">
        <v>299810</v>
      </c>
      <c r="AB2524" s="23" t="s">
        <v>14465</v>
      </c>
      <c r="AC2524" s="23" t="s">
        <v>14466</v>
      </c>
      <c r="AD2524" s="23">
        <v>0</v>
      </c>
      <c r="AE2524" s="23">
        <v>1</v>
      </c>
      <c r="AF2524" s="23" t="s">
        <v>9622</v>
      </c>
      <c r="AG2524" s="23" t="s">
        <v>14467</v>
      </c>
      <c r="AH2524" s="39">
        <v>45874</v>
      </c>
      <c r="AI2524" s="53" t="s">
        <v>14178</v>
      </c>
      <c r="BB2524" s="19" t="s">
        <v>14579</v>
      </c>
    </row>
    <row r="2525" spans="1:54" ht="48">
      <c r="A2525" s="75" t="s">
        <v>14480</v>
      </c>
      <c r="B2525" s="23" t="s">
        <v>14481</v>
      </c>
      <c r="C2525" s="140">
        <v>45877</v>
      </c>
      <c r="D2525" s="23" t="s">
        <v>729</v>
      </c>
      <c r="E2525" s="23" t="s">
        <v>752</v>
      </c>
      <c r="F2525" s="23" t="s">
        <v>13558</v>
      </c>
      <c r="G2525" s="23" t="s">
        <v>13567</v>
      </c>
      <c r="H2525" s="23" t="s">
        <v>14482</v>
      </c>
      <c r="I2525" s="23" t="s">
        <v>14482</v>
      </c>
      <c r="J2525" s="140">
        <v>45867</v>
      </c>
      <c r="Q2525" s="140">
        <v>45879</v>
      </c>
      <c r="S2525" s="23" t="s">
        <v>184</v>
      </c>
      <c r="T2525" s="23" t="s">
        <v>12031</v>
      </c>
      <c r="U2525" s="23" t="s">
        <v>12031</v>
      </c>
      <c r="V2525" s="23" t="s">
        <v>233</v>
      </c>
      <c r="W2525" s="23" t="s">
        <v>14483</v>
      </c>
      <c r="X2525" s="23">
        <v>5200</v>
      </c>
      <c r="Y2525" s="23">
        <v>5285</v>
      </c>
      <c r="Z2525" s="23">
        <v>72500</v>
      </c>
      <c r="AB2525" s="23" t="s">
        <v>14484</v>
      </c>
      <c r="AC2525" s="23" t="s">
        <v>1696</v>
      </c>
      <c r="AD2525" s="23">
        <v>0</v>
      </c>
      <c r="AE2525" s="23">
        <v>1</v>
      </c>
      <c r="AF2525" s="23" t="s">
        <v>9622</v>
      </c>
      <c r="AG2525" s="23" t="s">
        <v>14485</v>
      </c>
      <c r="AH2525" s="39">
        <v>45878</v>
      </c>
      <c r="AI2525" s="53" t="s">
        <v>14337</v>
      </c>
      <c r="BB2525" s="19" t="s">
        <v>14578</v>
      </c>
    </row>
    <row r="2526" spans="1:54" ht="48">
      <c r="A2526" s="75" t="s">
        <v>14487</v>
      </c>
      <c r="B2526" s="23" t="s">
        <v>14486</v>
      </c>
      <c r="C2526" s="140">
        <v>45857</v>
      </c>
      <c r="D2526" s="23" t="s">
        <v>729</v>
      </c>
      <c r="E2526" s="23" t="s">
        <v>752</v>
      </c>
      <c r="F2526" s="23" t="s">
        <v>12847</v>
      </c>
      <c r="G2526" s="23" t="s">
        <v>12867</v>
      </c>
      <c r="H2526" s="23" t="s">
        <v>14490</v>
      </c>
      <c r="I2526" s="23" t="s">
        <v>14490</v>
      </c>
      <c r="J2526" s="140">
        <v>45757</v>
      </c>
      <c r="Q2526" s="140">
        <v>45882</v>
      </c>
      <c r="S2526" s="23" t="s">
        <v>300</v>
      </c>
      <c r="T2526" s="23" t="s">
        <v>12031</v>
      </c>
      <c r="U2526" s="23" t="s">
        <v>12031</v>
      </c>
      <c r="V2526" s="23" t="s">
        <v>233</v>
      </c>
      <c r="W2526" s="23" t="s">
        <v>14491</v>
      </c>
      <c r="X2526" s="23">
        <v>16018.95</v>
      </c>
      <c r="Y2526" s="23">
        <v>16075</v>
      </c>
      <c r="Z2526" s="23">
        <v>15289.9</v>
      </c>
      <c r="AB2526" s="23" t="s">
        <v>14492</v>
      </c>
      <c r="AC2526" s="23" t="s">
        <v>3851</v>
      </c>
      <c r="AD2526" s="23">
        <v>1</v>
      </c>
      <c r="AE2526" s="23">
        <v>0</v>
      </c>
      <c r="AF2526" s="23" t="s">
        <v>9622</v>
      </c>
      <c r="AG2526" s="23" t="s">
        <v>14493</v>
      </c>
      <c r="AH2526" s="39">
        <v>45878</v>
      </c>
      <c r="AI2526" s="53" t="s">
        <v>14086</v>
      </c>
      <c r="BB2526" s="19" t="s">
        <v>14629</v>
      </c>
    </row>
    <row r="2527" spans="1:54" ht="48">
      <c r="A2527" s="75" t="s">
        <v>14498</v>
      </c>
      <c r="B2527" s="205" t="s">
        <v>14510</v>
      </c>
      <c r="C2527" s="140">
        <v>45874</v>
      </c>
      <c r="D2527" s="23" t="s">
        <v>729</v>
      </c>
      <c r="E2527" s="23" t="s">
        <v>752</v>
      </c>
      <c r="F2527" s="23" t="s">
        <v>12097</v>
      </c>
      <c r="G2527" s="23" t="s">
        <v>13333</v>
      </c>
      <c r="H2527" s="23" t="s">
        <v>14499</v>
      </c>
      <c r="I2527" s="23" t="s">
        <v>14499</v>
      </c>
      <c r="J2527" s="140">
        <v>45860</v>
      </c>
      <c r="T2527" s="23" t="s">
        <v>12031</v>
      </c>
      <c r="U2527" s="23" t="s">
        <v>12031</v>
      </c>
      <c r="V2527" s="23" t="s">
        <v>299</v>
      </c>
      <c r="W2527" s="19" t="s">
        <v>14500</v>
      </c>
      <c r="Y2527" s="23">
        <v>9995</v>
      </c>
      <c r="Z2527" s="23">
        <v>97000</v>
      </c>
      <c r="AB2527" s="19" t="s">
        <v>14501</v>
      </c>
      <c r="AC2527" s="23">
        <v>4</v>
      </c>
      <c r="AD2527" s="23">
        <v>0</v>
      </c>
      <c r="AE2527" s="23">
        <v>2</v>
      </c>
      <c r="AF2527" s="23" t="s">
        <v>9622</v>
      </c>
      <c r="AG2527" s="23" t="s">
        <v>14502</v>
      </c>
      <c r="AH2527" s="39">
        <v>45880</v>
      </c>
      <c r="AI2527" s="53" t="s">
        <v>13319</v>
      </c>
    </row>
    <row r="2528" spans="1:54">
      <c r="A2528" s="75" t="s">
        <v>14516</v>
      </c>
      <c r="B2528" s="23" t="s">
        <v>14591</v>
      </c>
      <c r="C2528" s="140">
        <v>45887</v>
      </c>
      <c r="D2528" s="23" t="s">
        <v>729</v>
      </c>
      <c r="E2528" s="23" t="s">
        <v>752</v>
      </c>
      <c r="F2528" s="23" t="s">
        <v>13558</v>
      </c>
      <c r="G2528" s="23" t="s">
        <v>13567</v>
      </c>
      <c r="H2528" s="23" t="s">
        <v>14595</v>
      </c>
      <c r="I2528" s="23" t="s">
        <v>14594</v>
      </c>
      <c r="J2528" s="140">
        <v>45881</v>
      </c>
      <c r="Q2528" s="140">
        <v>45895</v>
      </c>
      <c r="S2528" s="23" t="s">
        <v>2427</v>
      </c>
      <c r="T2528" s="23" t="s">
        <v>12031</v>
      </c>
      <c r="U2528" s="23" t="s">
        <v>12031</v>
      </c>
      <c r="V2528" s="23" t="s">
        <v>233</v>
      </c>
      <c r="W2528" s="23" t="s">
        <v>14520</v>
      </c>
      <c r="X2528" s="23">
        <v>4800</v>
      </c>
      <c r="Y2528" s="23">
        <v>6050</v>
      </c>
      <c r="Z2528" s="23">
        <v>390000</v>
      </c>
      <c r="AB2528" s="23" t="s">
        <v>14592</v>
      </c>
      <c r="AC2528" s="23" t="s">
        <v>14593</v>
      </c>
      <c r="AD2528" s="23">
        <v>0</v>
      </c>
      <c r="AE2528" s="23">
        <v>1</v>
      </c>
      <c r="AF2528" s="23" t="s">
        <v>9622</v>
      </c>
      <c r="AG2528" s="23" t="s">
        <v>14358</v>
      </c>
      <c r="AH2528" s="39">
        <v>45897</v>
      </c>
      <c r="AI2528" s="53" t="s">
        <v>14650</v>
      </c>
    </row>
    <row r="2529" spans="1:36">
      <c r="A2529" s="75" t="s">
        <v>14517</v>
      </c>
      <c r="B2529" s="23" t="s">
        <v>14518</v>
      </c>
      <c r="C2529" s="140">
        <v>45847</v>
      </c>
      <c r="D2529" s="23" t="s">
        <v>729</v>
      </c>
      <c r="E2529" s="23" t="s">
        <v>752</v>
      </c>
      <c r="F2529" s="23" t="s">
        <v>13558</v>
      </c>
      <c r="G2529" s="23" t="s">
        <v>13567</v>
      </c>
      <c r="H2529" s="23" t="s">
        <v>14519</v>
      </c>
      <c r="I2529" s="23" t="s">
        <v>14519</v>
      </c>
      <c r="J2529" s="140">
        <v>45831</v>
      </c>
      <c r="O2529" s="23" t="s">
        <v>14630</v>
      </c>
      <c r="P2529" s="23" t="s">
        <v>14631</v>
      </c>
      <c r="Q2529" s="140">
        <v>45895</v>
      </c>
      <c r="S2529" s="23" t="s">
        <v>3228</v>
      </c>
      <c r="T2529" s="23" t="s">
        <v>14605</v>
      </c>
      <c r="U2529" s="23" t="s">
        <v>14605</v>
      </c>
      <c r="V2529" s="23" t="s">
        <v>233</v>
      </c>
      <c r="W2529" s="23" t="s">
        <v>14520</v>
      </c>
      <c r="X2529" s="23">
        <v>745</v>
      </c>
      <c r="Y2529" s="23">
        <v>1071</v>
      </c>
      <c r="Z2529" s="23" t="s">
        <v>14596</v>
      </c>
      <c r="AB2529" s="23" t="s">
        <v>14609</v>
      </c>
      <c r="AC2529" s="23" t="s">
        <v>14521</v>
      </c>
      <c r="AD2529" s="23">
        <v>0</v>
      </c>
      <c r="AE2529" s="23">
        <v>0</v>
      </c>
      <c r="AF2529" s="23" t="s">
        <v>97</v>
      </c>
      <c r="AG2529" s="23" t="s">
        <v>14358</v>
      </c>
      <c r="AH2529" s="39">
        <v>45897</v>
      </c>
      <c r="AI2529" s="53" t="s">
        <v>14337</v>
      </c>
    </row>
    <row r="2530" spans="1:36">
      <c r="A2530" s="104" t="s">
        <v>14523</v>
      </c>
      <c r="D2530" s="23" t="s">
        <v>729</v>
      </c>
      <c r="E2530" s="23" t="s">
        <v>752</v>
      </c>
      <c r="F2530" s="23" t="s">
        <v>13464</v>
      </c>
      <c r="G2530" s="23" t="s">
        <v>13465</v>
      </c>
      <c r="H2530" s="23" t="s">
        <v>14524</v>
      </c>
      <c r="I2530" s="23" t="s">
        <v>14524</v>
      </c>
      <c r="AG2530" s="23" t="s">
        <v>14525</v>
      </c>
    </row>
    <row r="2531" spans="1:36" ht="64">
      <c r="A2531" s="75" t="s">
        <v>14526</v>
      </c>
      <c r="B2531" s="23" t="s">
        <v>14527</v>
      </c>
      <c r="C2531" s="140">
        <v>45857</v>
      </c>
      <c r="D2531" s="23" t="s">
        <v>729</v>
      </c>
      <c r="E2531" s="23" t="s">
        <v>752</v>
      </c>
      <c r="F2531" s="23" t="s">
        <v>2200</v>
      </c>
      <c r="G2531" s="23" t="s">
        <v>301</v>
      </c>
      <c r="H2531" s="23" t="s">
        <v>14528</v>
      </c>
      <c r="I2531" s="23" t="s">
        <v>14528</v>
      </c>
      <c r="J2531" s="140" t="s">
        <v>14529</v>
      </c>
      <c r="K2531" s="19" t="s">
        <v>14530</v>
      </c>
      <c r="L2531" s="140" t="s">
        <v>14531</v>
      </c>
      <c r="T2531" s="23" t="s">
        <v>305</v>
      </c>
      <c r="U2531" s="23" t="s">
        <v>305</v>
      </c>
      <c r="V2531" s="23" t="s">
        <v>298</v>
      </c>
      <c r="W2531" s="23" t="s">
        <v>11559</v>
      </c>
      <c r="Y2531" s="23">
        <v>4567</v>
      </c>
      <c r="Z2531" s="23" t="s">
        <v>14532</v>
      </c>
      <c r="AB2531" s="23" t="s">
        <v>14533</v>
      </c>
      <c r="AC2531" s="23" t="s">
        <v>2801</v>
      </c>
      <c r="AD2531" s="23">
        <v>0</v>
      </c>
      <c r="AE2531" s="23">
        <v>1</v>
      </c>
      <c r="AF2531" s="23" t="s">
        <v>9622</v>
      </c>
      <c r="AG2531" s="23" t="s">
        <v>5602</v>
      </c>
      <c r="AH2531" s="39">
        <v>45883</v>
      </c>
    </row>
    <row r="2532" spans="1:36">
      <c r="A2532" s="75" t="s">
        <v>14535</v>
      </c>
      <c r="B2532" s="23" t="s">
        <v>14536</v>
      </c>
      <c r="C2532" s="140">
        <v>45875</v>
      </c>
      <c r="D2532" s="23" t="s">
        <v>729</v>
      </c>
      <c r="E2532" s="23" t="s">
        <v>752</v>
      </c>
      <c r="F2532" s="23" t="s">
        <v>6113</v>
      </c>
      <c r="G2532" s="23" t="s">
        <v>5538</v>
      </c>
      <c r="H2532" s="23" t="s">
        <v>14537</v>
      </c>
      <c r="I2532" s="23" t="s">
        <v>14537</v>
      </c>
      <c r="J2532" s="140">
        <v>45859</v>
      </c>
      <c r="T2532" s="23" t="s">
        <v>12031</v>
      </c>
      <c r="U2532" s="23" t="s">
        <v>12031</v>
      </c>
      <c r="V2532" s="23" t="s">
        <v>299</v>
      </c>
      <c r="W2532" s="23" t="s">
        <v>14538</v>
      </c>
      <c r="Y2532" s="23">
        <v>37760</v>
      </c>
      <c r="AB2532" s="23" t="s">
        <v>14539</v>
      </c>
      <c r="AC2532" s="23">
        <v>20</v>
      </c>
      <c r="AD2532" s="23">
        <v>0</v>
      </c>
      <c r="AE2532" s="23">
        <v>7</v>
      </c>
      <c r="AF2532" s="23" t="s">
        <v>9622</v>
      </c>
      <c r="AG2532" s="23" t="s">
        <v>14540</v>
      </c>
      <c r="AH2532" s="39">
        <v>45883</v>
      </c>
      <c r="AI2532" s="53" t="s">
        <v>9962</v>
      </c>
    </row>
    <row r="2533" spans="1:36">
      <c r="A2533" s="75" t="s">
        <v>14545</v>
      </c>
      <c r="B2533" s="23" t="s">
        <v>14554</v>
      </c>
      <c r="C2533" s="140">
        <v>45854</v>
      </c>
      <c r="D2533" s="23" t="s">
        <v>729</v>
      </c>
      <c r="E2533" s="23" t="s">
        <v>752</v>
      </c>
      <c r="F2533" s="23" t="s">
        <v>13558</v>
      </c>
      <c r="G2533" s="23" t="s">
        <v>13567</v>
      </c>
      <c r="H2533" s="23" t="s">
        <v>14546</v>
      </c>
      <c r="I2533" s="23" t="s">
        <v>14546</v>
      </c>
      <c r="J2533" s="140">
        <v>45852</v>
      </c>
      <c r="P2533" s="23" t="s">
        <v>14551</v>
      </c>
      <c r="Q2533" s="140">
        <v>45885</v>
      </c>
      <c r="S2533" s="23" t="s">
        <v>14552</v>
      </c>
      <c r="T2533" s="23" t="s">
        <v>12031</v>
      </c>
      <c r="U2533" s="23" t="s">
        <v>12031</v>
      </c>
      <c r="V2533" s="23" t="s">
        <v>233</v>
      </c>
      <c r="W2533" s="23" t="s">
        <v>14520</v>
      </c>
      <c r="X2533" s="23">
        <v>47964</v>
      </c>
      <c r="Y2533" s="23">
        <v>56979</v>
      </c>
      <c r="Z2533" s="23">
        <v>1963000</v>
      </c>
      <c r="AB2533" s="23" t="s">
        <v>14553</v>
      </c>
      <c r="AC2533" s="23" t="s">
        <v>1622</v>
      </c>
      <c r="AD2533" s="23">
        <v>0</v>
      </c>
      <c r="AE2533" s="23">
        <v>10</v>
      </c>
      <c r="AF2533" s="23" t="s">
        <v>9622</v>
      </c>
      <c r="AG2533" s="23" t="s">
        <v>14358</v>
      </c>
      <c r="AH2533" s="39">
        <v>45884</v>
      </c>
      <c r="AI2533" s="53" t="s">
        <v>14337</v>
      </c>
    </row>
    <row r="2534" spans="1:36" ht="64">
      <c r="A2534" s="75" t="s">
        <v>14556</v>
      </c>
      <c r="B2534" s="23">
        <v>257700932</v>
      </c>
      <c r="C2534" s="140">
        <v>45887</v>
      </c>
      <c r="D2534" s="23" t="s">
        <v>729</v>
      </c>
      <c r="E2534" s="23" t="s">
        <v>752</v>
      </c>
      <c r="F2534" s="23" t="s">
        <v>14246</v>
      </c>
      <c r="G2534" s="23" t="s">
        <v>14252</v>
      </c>
      <c r="H2534" s="23" t="s">
        <v>14557</v>
      </c>
      <c r="I2534" s="23" t="s">
        <v>14557</v>
      </c>
      <c r="J2534" s="140">
        <v>45867</v>
      </c>
      <c r="T2534" s="23" t="s">
        <v>12031</v>
      </c>
      <c r="U2534" s="23" t="s">
        <v>12031</v>
      </c>
      <c r="V2534" s="23" t="s">
        <v>299</v>
      </c>
      <c r="W2534" s="19" t="s">
        <v>14558</v>
      </c>
      <c r="Y2534" s="23">
        <v>33305</v>
      </c>
      <c r="Z2534" s="23">
        <v>457000</v>
      </c>
      <c r="AB2534" s="23" t="s">
        <v>14559</v>
      </c>
      <c r="AC2534" s="23">
        <v>12</v>
      </c>
      <c r="AD2534" s="23">
        <v>0</v>
      </c>
      <c r="AE2534" s="23">
        <v>6</v>
      </c>
      <c r="AF2534" s="23" t="s">
        <v>9622</v>
      </c>
      <c r="AG2534" s="23" t="s">
        <v>12658</v>
      </c>
      <c r="AH2534" s="39">
        <v>45888</v>
      </c>
      <c r="AI2534" s="53" t="s">
        <v>13319</v>
      </c>
    </row>
    <row r="2535" spans="1:36" ht="48">
      <c r="A2535" s="75" t="s">
        <v>14560</v>
      </c>
      <c r="B2535" s="23" t="s">
        <v>14561</v>
      </c>
      <c r="C2535" s="140">
        <v>45882</v>
      </c>
      <c r="D2535" s="23" t="s">
        <v>729</v>
      </c>
      <c r="E2535" s="23" t="s">
        <v>752</v>
      </c>
      <c r="F2535" s="23" t="s">
        <v>13348</v>
      </c>
      <c r="G2535" s="23" t="s">
        <v>13368</v>
      </c>
      <c r="H2535" s="23" t="s">
        <v>14562</v>
      </c>
      <c r="I2535" s="23" t="s">
        <v>14562</v>
      </c>
      <c r="J2535" s="140">
        <v>45844</v>
      </c>
      <c r="T2535" s="23" t="s">
        <v>12031</v>
      </c>
      <c r="U2535" s="23" t="s">
        <v>12031</v>
      </c>
      <c r="V2535" s="23" t="s">
        <v>299</v>
      </c>
      <c r="W2535" s="19" t="s">
        <v>14563</v>
      </c>
      <c r="Y2535" s="23">
        <v>10490</v>
      </c>
      <c r="Z2535" s="23">
        <v>135000</v>
      </c>
      <c r="AB2535" s="23" t="s">
        <v>14564</v>
      </c>
      <c r="AC2535" s="23">
        <v>4</v>
      </c>
      <c r="AD2535" s="23">
        <v>0</v>
      </c>
      <c r="AE2535" s="23">
        <v>2</v>
      </c>
      <c r="AF2535" s="23" t="s">
        <v>9622</v>
      </c>
      <c r="AG2535" s="23" t="s">
        <v>14565</v>
      </c>
      <c r="AH2535" s="39">
        <v>45889</v>
      </c>
      <c r="AI2535" s="53" t="s">
        <v>13319</v>
      </c>
    </row>
    <row r="2536" spans="1:36">
      <c r="A2536" s="75" t="s">
        <v>14566</v>
      </c>
      <c r="B2536" s="23" t="s">
        <v>14567</v>
      </c>
      <c r="C2536" s="140">
        <v>45885</v>
      </c>
      <c r="D2536" s="23" t="s">
        <v>729</v>
      </c>
      <c r="E2536" s="23" t="s">
        <v>3773</v>
      </c>
      <c r="F2536" s="23" t="s">
        <v>10928</v>
      </c>
      <c r="G2536" s="23" t="s">
        <v>3469</v>
      </c>
      <c r="H2536" s="23" t="s">
        <v>14568</v>
      </c>
      <c r="I2536" s="23" t="s">
        <v>14568</v>
      </c>
      <c r="J2536" s="140">
        <v>45869</v>
      </c>
      <c r="S2536" s="23" t="s">
        <v>300</v>
      </c>
      <c r="T2536" s="23" t="s">
        <v>12031</v>
      </c>
      <c r="U2536" s="23" t="s">
        <v>12031</v>
      </c>
      <c r="V2536" s="23" t="s">
        <v>299</v>
      </c>
      <c r="W2536" s="23" t="s">
        <v>14569</v>
      </c>
      <c r="X2536" s="23">
        <v>729000</v>
      </c>
      <c r="Y2536" s="23">
        <v>729000</v>
      </c>
      <c r="Z2536" s="23">
        <v>1483100</v>
      </c>
      <c r="AB2536" s="23" t="s">
        <v>97</v>
      </c>
      <c r="AC2536" s="23">
        <v>43</v>
      </c>
      <c r="AD2536" s="23">
        <v>0</v>
      </c>
      <c r="AE2536" s="23">
        <v>0</v>
      </c>
      <c r="AF2536" s="23" t="s">
        <v>97</v>
      </c>
      <c r="AG2536" s="23" t="s">
        <v>4893</v>
      </c>
      <c r="AH2536" s="39">
        <v>45890</v>
      </c>
      <c r="AI2536" s="53" t="s">
        <v>5706</v>
      </c>
    </row>
    <row r="2537" spans="1:36">
      <c r="A2537" s="75" t="s">
        <v>14570</v>
      </c>
      <c r="B2537" s="23" t="s">
        <v>14571</v>
      </c>
      <c r="C2537" s="140">
        <v>45885</v>
      </c>
      <c r="D2537" s="23" t="s">
        <v>729</v>
      </c>
      <c r="E2537" s="23" t="s">
        <v>3773</v>
      </c>
      <c r="F2537" s="23" t="s">
        <v>10928</v>
      </c>
      <c r="G2537" s="23" t="s">
        <v>3469</v>
      </c>
      <c r="H2537" s="23" t="s">
        <v>14572</v>
      </c>
      <c r="I2537" s="23" t="s">
        <v>14572</v>
      </c>
      <c r="J2537" s="140">
        <v>45869</v>
      </c>
      <c r="S2537" s="23" t="s">
        <v>300</v>
      </c>
      <c r="T2537" s="23" t="s">
        <v>12031</v>
      </c>
      <c r="U2537" s="23" t="s">
        <v>12031</v>
      </c>
      <c r="V2537" s="23" t="s">
        <v>298</v>
      </c>
      <c r="W2537" s="23" t="s">
        <v>14573</v>
      </c>
      <c r="X2537" s="23">
        <v>200600</v>
      </c>
      <c r="Y2537" s="23">
        <v>200600</v>
      </c>
      <c r="Z2537" s="23">
        <v>729900</v>
      </c>
      <c r="AB2537" s="23" t="s">
        <v>97</v>
      </c>
      <c r="AC2537" s="23">
        <v>21</v>
      </c>
      <c r="AD2537" s="23">
        <v>0</v>
      </c>
      <c r="AE2537" s="23">
        <v>0</v>
      </c>
      <c r="AF2537" s="23" t="s">
        <v>97</v>
      </c>
      <c r="AG2537" s="23" t="s">
        <v>4893</v>
      </c>
      <c r="AH2537" s="39">
        <v>45890</v>
      </c>
    </row>
    <row r="2538" spans="1:36">
      <c r="A2538" s="208" t="s">
        <v>14575</v>
      </c>
      <c r="B2538" s="23" t="s">
        <v>14574</v>
      </c>
      <c r="C2538" s="140">
        <v>45899</v>
      </c>
      <c r="D2538" s="23" t="s">
        <v>729</v>
      </c>
      <c r="E2538" s="23" t="s">
        <v>752</v>
      </c>
      <c r="F2538" s="23" t="s">
        <v>13558</v>
      </c>
      <c r="G2538" s="23" t="s">
        <v>13567</v>
      </c>
      <c r="H2538" s="23" t="s">
        <v>14658</v>
      </c>
      <c r="I2538" s="23" t="s">
        <v>14657</v>
      </c>
      <c r="J2538" s="140">
        <v>45890</v>
      </c>
      <c r="P2538" s="23" t="s">
        <v>14644</v>
      </c>
      <c r="Q2538" s="140">
        <v>45900</v>
      </c>
      <c r="S2538" s="23" t="s">
        <v>184</v>
      </c>
      <c r="T2538" s="23" t="s">
        <v>12031</v>
      </c>
      <c r="U2538" s="23" t="s">
        <v>12031</v>
      </c>
      <c r="V2538" s="23" t="s">
        <v>233</v>
      </c>
      <c r="W2538" s="23" t="s">
        <v>14645</v>
      </c>
      <c r="X2538" s="23">
        <v>48322.19</v>
      </c>
      <c r="Y2538" s="23">
        <v>59539.89</v>
      </c>
      <c r="Z2538" s="23" t="s">
        <v>14646</v>
      </c>
      <c r="AB2538" s="23" t="s">
        <v>14647</v>
      </c>
      <c r="AC2538" s="23" t="s">
        <v>14648</v>
      </c>
      <c r="AD2538" s="23">
        <v>0</v>
      </c>
      <c r="AE2538" s="23">
        <v>5</v>
      </c>
      <c r="AF2538" s="23" t="s">
        <v>9622</v>
      </c>
      <c r="AG2538" s="23" t="s">
        <v>14649</v>
      </c>
      <c r="AH2538" s="39">
        <v>45902</v>
      </c>
      <c r="AI2538" s="53" t="s">
        <v>14650</v>
      </c>
    </row>
    <row r="2539" spans="1:36">
      <c r="A2539" s="75" t="s">
        <v>14580</v>
      </c>
      <c r="B2539" s="23" t="s">
        <v>14583</v>
      </c>
      <c r="C2539" s="140">
        <v>45890</v>
      </c>
      <c r="D2539" s="23" t="s">
        <v>729</v>
      </c>
      <c r="E2539" s="23" t="s">
        <v>752</v>
      </c>
      <c r="F2539" s="23" t="s">
        <v>2200</v>
      </c>
      <c r="G2539" s="23" t="s">
        <v>301</v>
      </c>
      <c r="H2539" s="23">
        <v>20624188</v>
      </c>
      <c r="I2539" s="23">
        <v>20624188</v>
      </c>
      <c r="J2539" s="140">
        <v>45889</v>
      </c>
      <c r="K2539" s="23" t="s">
        <v>14615</v>
      </c>
      <c r="L2539" s="140">
        <v>45895</v>
      </c>
      <c r="O2539" s="23" t="s">
        <v>14584</v>
      </c>
      <c r="S2539" s="23" t="s">
        <v>300</v>
      </c>
      <c r="T2539" s="23" t="s">
        <v>305</v>
      </c>
      <c r="U2539" s="23" t="s">
        <v>305</v>
      </c>
      <c r="V2539" s="23" t="s">
        <v>299</v>
      </c>
      <c r="W2539" s="23" t="s">
        <v>12524</v>
      </c>
      <c r="X2539" s="37"/>
      <c r="Y2539" s="37">
        <v>59310</v>
      </c>
      <c r="Z2539" s="203">
        <v>3055050</v>
      </c>
      <c r="AB2539" s="23" t="s">
        <v>14585</v>
      </c>
      <c r="AC2539" s="23">
        <v>45</v>
      </c>
      <c r="AD2539" s="23">
        <v>0</v>
      </c>
      <c r="AE2539" s="23">
        <v>15</v>
      </c>
      <c r="AF2539" s="23" t="s">
        <v>9622</v>
      </c>
      <c r="AG2539" s="23" t="s">
        <v>659</v>
      </c>
      <c r="AH2539" s="39">
        <v>45895</v>
      </c>
      <c r="AI2539" s="53" t="s">
        <v>5851</v>
      </c>
    </row>
    <row r="2540" spans="1:36">
      <c r="A2540" s="75" t="s">
        <v>14581</v>
      </c>
      <c r="B2540" s="23" t="s">
        <v>14586</v>
      </c>
      <c r="C2540" s="140">
        <v>45890</v>
      </c>
      <c r="D2540" s="23" t="s">
        <v>729</v>
      </c>
      <c r="E2540" s="23" t="s">
        <v>752</v>
      </c>
      <c r="F2540" s="23" t="s">
        <v>2200</v>
      </c>
      <c r="G2540" s="23" t="s">
        <v>301</v>
      </c>
      <c r="H2540" s="23">
        <v>20624585</v>
      </c>
      <c r="I2540" s="23">
        <v>20624585</v>
      </c>
      <c r="J2540" s="140">
        <v>45889</v>
      </c>
      <c r="K2540" s="23" t="s">
        <v>14616</v>
      </c>
      <c r="L2540" s="140">
        <v>45895</v>
      </c>
      <c r="O2540" s="23" t="s">
        <v>14584</v>
      </c>
      <c r="S2540" s="23" t="s">
        <v>300</v>
      </c>
      <c r="T2540" s="23" t="s">
        <v>305</v>
      </c>
      <c r="U2540" s="23" t="s">
        <v>305</v>
      </c>
      <c r="V2540" s="23" t="s">
        <v>299</v>
      </c>
      <c r="W2540" s="23" t="s">
        <v>14587</v>
      </c>
      <c r="Y2540" s="37">
        <v>18160</v>
      </c>
      <c r="Z2540" s="23">
        <v>110800</v>
      </c>
      <c r="AB2540" s="23" t="s">
        <v>14588</v>
      </c>
      <c r="AC2540" s="23">
        <v>8</v>
      </c>
      <c r="AD2540" s="23">
        <v>0</v>
      </c>
      <c r="AE2540" s="23">
        <v>4</v>
      </c>
      <c r="AF2540" s="23" t="s">
        <v>9622</v>
      </c>
      <c r="AG2540" s="23" t="s">
        <v>659</v>
      </c>
      <c r="AH2540" s="39">
        <v>45895</v>
      </c>
      <c r="AI2540" s="53" t="s">
        <v>5851</v>
      </c>
    </row>
    <row r="2541" spans="1:36">
      <c r="A2541" s="75" t="s">
        <v>14582</v>
      </c>
      <c r="B2541" s="23" t="s">
        <v>14589</v>
      </c>
      <c r="C2541" s="140">
        <v>45890</v>
      </c>
      <c r="D2541" s="23" t="s">
        <v>729</v>
      </c>
      <c r="E2541" s="23" t="s">
        <v>752</v>
      </c>
      <c r="F2541" s="23" t="s">
        <v>2200</v>
      </c>
      <c r="G2541" s="23" t="s">
        <v>301</v>
      </c>
      <c r="H2541" s="23">
        <v>20624187</v>
      </c>
      <c r="I2541" s="23">
        <v>20624187</v>
      </c>
      <c r="J2541" s="140">
        <v>45889</v>
      </c>
      <c r="K2541" s="23" t="s">
        <v>14617</v>
      </c>
      <c r="L2541" s="140">
        <v>45895</v>
      </c>
      <c r="O2541" s="23" t="s">
        <v>14584</v>
      </c>
      <c r="S2541" s="23" t="s">
        <v>300</v>
      </c>
      <c r="T2541" s="23" t="s">
        <v>305</v>
      </c>
      <c r="U2541" s="23" t="s">
        <v>305</v>
      </c>
      <c r="V2541" s="23" t="s">
        <v>299</v>
      </c>
      <c r="W2541" s="23" t="s">
        <v>12503</v>
      </c>
      <c r="Y2541" s="37">
        <v>9234</v>
      </c>
      <c r="Z2541" s="23">
        <v>78000</v>
      </c>
      <c r="AB2541" s="23" t="s">
        <v>14590</v>
      </c>
      <c r="AC2541" s="23">
        <v>6</v>
      </c>
      <c r="AD2541" s="23">
        <v>0</v>
      </c>
      <c r="AE2541" s="23">
        <v>2</v>
      </c>
      <c r="AF2541" s="23" t="s">
        <v>9622</v>
      </c>
      <c r="AG2541" s="23" t="s">
        <v>659</v>
      </c>
      <c r="AH2541" s="39">
        <v>45895</v>
      </c>
      <c r="AI2541" s="53" t="s">
        <v>5851</v>
      </c>
    </row>
    <row r="2542" spans="1:36">
      <c r="A2542" s="75" t="s">
        <v>14598</v>
      </c>
      <c r="B2542" s="23" t="s">
        <v>14597</v>
      </c>
      <c r="C2542" s="140">
        <v>45835</v>
      </c>
      <c r="D2542" s="23" t="s">
        <v>729</v>
      </c>
      <c r="E2542" s="23" t="s">
        <v>752</v>
      </c>
      <c r="F2542" s="23" t="s">
        <v>13558</v>
      </c>
      <c r="G2542" s="23" t="s">
        <v>13567</v>
      </c>
      <c r="H2542" s="23" t="s">
        <v>14599</v>
      </c>
      <c r="I2542" s="23" t="s">
        <v>14599</v>
      </c>
      <c r="J2542" s="140">
        <v>45831</v>
      </c>
      <c r="O2542" s="23" t="s">
        <v>14603</v>
      </c>
      <c r="P2542" s="23" t="s">
        <v>14618</v>
      </c>
      <c r="Q2542" s="140">
        <v>45900</v>
      </c>
      <c r="S2542" s="23" t="s">
        <v>3228</v>
      </c>
      <c r="T2542" s="23" t="s">
        <v>305</v>
      </c>
      <c r="U2542" s="23" t="s">
        <v>305</v>
      </c>
      <c r="V2542" s="23" t="s">
        <v>233</v>
      </c>
      <c r="W2542" s="23" t="s">
        <v>14600</v>
      </c>
      <c r="X2542" s="38">
        <v>14390</v>
      </c>
      <c r="Y2542" s="38">
        <v>17830</v>
      </c>
      <c r="Z2542" s="23" t="s">
        <v>14601</v>
      </c>
      <c r="AB2542" s="23" t="s">
        <v>14602</v>
      </c>
      <c r="AC2542" s="23" t="s">
        <v>1696</v>
      </c>
      <c r="AD2542" s="23">
        <v>1</v>
      </c>
      <c r="AE2542" s="23">
        <v>0</v>
      </c>
      <c r="AF2542" s="23" t="s">
        <v>9622</v>
      </c>
      <c r="AG2542" s="23" t="s">
        <v>14358</v>
      </c>
      <c r="AH2542" s="39">
        <v>45896</v>
      </c>
      <c r="AI2542" s="53" t="s">
        <v>14337</v>
      </c>
      <c r="AJ2542" s="75" t="s">
        <v>14604</v>
      </c>
    </row>
    <row r="2543" spans="1:36">
      <c r="A2543" s="207" t="s">
        <v>14612</v>
      </c>
      <c r="B2543" s="23" t="s">
        <v>14613</v>
      </c>
      <c r="C2543" s="140">
        <v>45835</v>
      </c>
      <c r="D2543" s="23" t="s">
        <v>729</v>
      </c>
      <c r="E2543" s="23" t="s">
        <v>752</v>
      </c>
      <c r="F2543" s="23" t="s">
        <v>13558</v>
      </c>
      <c r="G2543" s="23" t="s">
        <v>13567</v>
      </c>
      <c r="H2543" s="23" t="s">
        <v>14614</v>
      </c>
      <c r="I2543" s="23" t="s">
        <v>14614</v>
      </c>
      <c r="J2543" s="140">
        <v>45897</v>
      </c>
    </row>
    <row r="2544" spans="1:36">
      <c r="A2544" s="75" t="s">
        <v>14619</v>
      </c>
      <c r="B2544" s="23" t="s">
        <v>14620</v>
      </c>
      <c r="C2544" s="140">
        <v>45894</v>
      </c>
      <c r="D2544" s="23" t="s">
        <v>729</v>
      </c>
      <c r="E2544" s="23" t="s">
        <v>752</v>
      </c>
      <c r="F2544" s="23" t="s">
        <v>2200</v>
      </c>
      <c r="G2544" s="23" t="s">
        <v>301</v>
      </c>
      <c r="H2544" s="23" t="s">
        <v>14621</v>
      </c>
      <c r="I2544" s="23" t="s">
        <v>14621</v>
      </c>
      <c r="J2544" s="140">
        <v>45894</v>
      </c>
      <c r="K2544" s="23" t="s">
        <v>14622</v>
      </c>
      <c r="L2544" s="140">
        <v>45898</v>
      </c>
      <c r="T2544" s="23" t="s">
        <v>12031</v>
      </c>
      <c r="U2544" s="23" t="s">
        <v>12031</v>
      </c>
      <c r="V2544" s="23" t="s">
        <v>299</v>
      </c>
      <c r="W2544" s="23" t="s">
        <v>12859</v>
      </c>
      <c r="Y2544" s="23">
        <v>18840</v>
      </c>
      <c r="Z2544" s="23">
        <v>192000</v>
      </c>
      <c r="AB2544" s="23" t="s">
        <v>14623</v>
      </c>
      <c r="AC2544" s="23">
        <v>12</v>
      </c>
      <c r="AD2544" s="23">
        <v>0</v>
      </c>
      <c r="AE2544" s="23">
        <v>4</v>
      </c>
      <c r="AF2544" s="23" t="s">
        <v>9622</v>
      </c>
      <c r="AG2544" s="23" t="s">
        <v>659</v>
      </c>
      <c r="AH2544" s="39">
        <v>45901</v>
      </c>
      <c r="AI2544" s="53" t="s">
        <v>5851</v>
      </c>
    </row>
    <row r="2545" spans="1:35">
      <c r="A2545" s="75" t="s">
        <v>14624</v>
      </c>
      <c r="B2545" s="23" t="s">
        <v>14625</v>
      </c>
      <c r="C2545" s="140">
        <v>45894</v>
      </c>
      <c r="D2545" s="23" t="s">
        <v>729</v>
      </c>
      <c r="E2545" s="23" t="s">
        <v>752</v>
      </c>
      <c r="F2545" s="23" t="s">
        <v>2200</v>
      </c>
      <c r="G2545" s="23" t="s">
        <v>301</v>
      </c>
      <c r="H2545" s="23">
        <v>20624410</v>
      </c>
      <c r="I2545" s="23">
        <v>20624410</v>
      </c>
      <c r="J2545" s="140">
        <v>45893</v>
      </c>
      <c r="K2545" s="23" t="s">
        <v>14626</v>
      </c>
      <c r="L2545" s="140">
        <v>45898</v>
      </c>
      <c r="T2545" s="23" t="s">
        <v>12031</v>
      </c>
      <c r="U2545" s="23" t="s">
        <v>12031</v>
      </c>
      <c r="V2545" s="23" t="s">
        <v>299</v>
      </c>
      <c r="W2545" s="23" t="s">
        <v>14627</v>
      </c>
      <c r="Y2545" s="23">
        <v>3230</v>
      </c>
      <c r="Z2545" s="23">
        <v>28700</v>
      </c>
      <c r="AB2545" s="23" t="s">
        <v>14628</v>
      </c>
      <c r="AC2545" s="23">
        <v>2</v>
      </c>
      <c r="AD2545" s="23">
        <v>0</v>
      </c>
      <c r="AE2545" s="23">
        <v>1</v>
      </c>
      <c r="AF2545" s="23" t="s">
        <v>9622</v>
      </c>
      <c r="AG2545" s="23" t="s">
        <v>659</v>
      </c>
      <c r="AH2545" s="39">
        <v>45901</v>
      </c>
      <c r="AI2545" s="53" t="s">
        <v>5851</v>
      </c>
    </row>
    <row r="2546" spans="1:35">
      <c r="A2546" s="75" t="s">
        <v>14633</v>
      </c>
      <c r="B2546" s="23" t="s">
        <v>14632</v>
      </c>
      <c r="C2546" s="140">
        <v>45898</v>
      </c>
      <c r="D2546" s="23" t="s">
        <v>729</v>
      </c>
      <c r="E2546" s="23" t="s">
        <v>752</v>
      </c>
      <c r="F2546" s="23" t="s">
        <v>13464</v>
      </c>
      <c r="G2546" s="23" t="s">
        <v>13465</v>
      </c>
      <c r="H2546" s="23" t="s">
        <v>14637</v>
      </c>
      <c r="I2546" s="23" t="s">
        <v>14638</v>
      </c>
      <c r="J2546" s="140">
        <v>45894</v>
      </c>
      <c r="P2546" s="23" t="s">
        <v>14639</v>
      </c>
      <c r="Q2546" s="140">
        <v>45900</v>
      </c>
      <c r="S2546" s="23" t="s">
        <v>14640</v>
      </c>
      <c r="T2546" s="23" t="s">
        <v>12031</v>
      </c>
      <c r="U2546" s="23" t="s">
        <v>12031</v>
      </c>
      <c r="V2546" s="23" t="s">
        <v>233</v>
      </c>
      <c r="W2546" s="23" t="s">
        <v>14634</v>
      </c>
      <c r="X2546" s="38">
        <v>2914</v>
      </c>
      <c r="Y2546" s="23">
        <v>4525</v>
      </c>
      <c r="Z2546" s="37">
        <v>201763</v>
      </c>
      <c r="AB2546" s="23" t="s">
        <v>14635</v>
      </c>
      <c r="AC2546" s="23" t="s">
        <v>14636</v>
      </c>
      <c r="AD2546" s="23">
        <v>1</v>
      </c>
      <c r="AE2546" s="23">
        <v>0</v>
      </c>
      <c r="AF2546" s="23" t="s">
        <v>9622</v>
      </c>
      <c r="AG2546" s="23" t="s">
        <v>14169</v>
      </c>
      <c r="AH2546" s="39">
        <v>45902</v>
      </c>
      <c r="AI2546" s="53" t="s">
        <v>14178</v>
      </c>
    </row>
    <row r="2547" spans="1:35">
      <c r="A2547" s="75" t="s">
        <v>14641</v>
      </c>
      <c r="B2547" s="23" t="s">
        <v>14642</v>
      </c>
      <c r="C2547" s="140">
        <v>45884</v>
      </c>
      <c r="D2547" s="23" t="s">
        <v>729</v>
      </c>
      <c r="E2547" s="23" t="s">
        <v>3773</v>
      </c>
      <c r="F2547" s="23" t="s">
        <v>13558</v>
      </c>
      <c r="G2547" s="23" t="s">
        <v>13465</v>
      </c>
      <c r="P2547" s="23" t="s">
        <v>14639</v>
      </c>
      <c r="Q2547" s="140">
        <v>45900</v>
      </c>
      <c r="S2547" s="23" t="s">
        <v>14643</v>
      </c>
      <c r="T2547" s="23" t="s">
        <v>12031</v>
      </c>
      <c r="U2547" s="23" t="s">
        <v>12031</v>
      </c>
      <c r="V2547" s="23" t="s">
        <v>233</v>
      </c>
    </row>
    <row r="2548" spans="1:35">
      <c r="A2548" s="211" t="s">
        <v>14651</v>
      </c>
      <c r="B2548" s="23" t="s">
        <v>14613</v>
      </c>
      <c r="C2548" s="140">
        <v>45901</v>
      </c>
      <c r="D2548" s="23" t="s">
        <v>729</v>
      </c>
      <c r="E2548" s="23" t="s">
        <v>752</v>
      </c>
      <c r="F2548" s="23" t="s">
        <v>13558</v>
      </c>
      <c r="G2548" s="23" t="s">
        <v>13567</v>
      </c>
      <c r="H2548" s="209" t="s">
        <v>14614</v>
      </c>
      <c r="I2548" s="209" t="s">
        <v>14614</v>
      </c>
      <c r="J2548" s="140">
        <v>45897</v>
      </c>
      <c r="S2548" s="23" t="s">
        <v>14643</v>
      </c>
      <c r="T2548" s="23" t="s">
        <v>305</v>
      </c>
      <c r="U2548" s="23" t="s">
        <v>305</v>
      </c>
      <c r="V2548" s="23" t="s">
        <v>233</v>
      </c>
      <c r="W2548" s="210" t="s">
        <v>14652</v>
      </c>
      <c r="X2548" s="38">
        <v>7000</v>
      </c>
      <c r="Y2548" s="23">
        <v>8000</v>
      </c>
      <c r="Z2548" s="23" t="s">
        <v>14653</v>
      </c>
      <c r="AB2548" s="23" t="s">
        <v>14654</v>
      </c>
      <c r="AC2548" s="23" t="s">
        <v>14655</v>
      </c>
      <c r="AD2548" s="23">
        <v>0</v>
      </c>
      <c r="AE2548" s="23">
        <v>2</v>
      </c>
      <c r="AF2548" s="23" t="s">
        <v>9622</v>
      </c>
      <c r="AG2548" s="23" t="s">
        <v>14656</v>
      </c>
      <c r="AH2548" s="39">
        <v>45904</v>
      </c>
      <c r="AI2548" s="53" t="s">
        <v>14337</v>
      </c>
    </row>
    <row r="2549" spans="1:35">
      <c r="A2549" s="75" t="s">
        <v>14670</v>
      </c>
      <c r="B2549" s="23" t="s">
        <v>14659</v>
      </c>
      <c r="C2549" s="140">
        <v>45897</v>
      </c>
      <c r="D2549" s="23" t="s">
        <v>729</v>
      </c>
      <c r="E2549" s="23" t="s">
        <v>752</v>
      </c>
      <c r="F2549" s="23" t="s">
        <v>2200</v>
      </c>
      <c r="G2549" s="23" t="s">
        <v>301</v>
      </c>
      <c r="H2549" s="23">
        <v>20624944</v>
      </c>
      <c r="I2549" s="23">
        <v>20624944</v>
      </c>
      <c r="J2549" s="140">
        <v>45896</v>
      </c>
      <c r="K2549" s="23" t="s">
        <v>14660</v>
      </c>
      <c r="L2549" s="140">
        <v>45901</v>
      </c>
      <c r="T2549" s="23" t="s">
        <v>12031</v>
      </c>
      <c r="U2549" s="23" t="s">
        <v>12031</v>
      </c>
      <c r="V2549" s="23" t="s">
        <v>299</v>
      </c>
      <c r="W2549" s="23" t="s">
        <v>14661</v>
      </c>
      <c r="Y2549" s="23">
        <v>1615</v>
      </c>
      <c r="Z2549" s="23">
        <v>1865</v>
      </c>
      <c r="AB2549" s="23" t="s">
        <v>14662</v>
      </c>
      <c r="AC2549" s="23">
        <v>1</v>
      </c>
      <c r="AD2549" s="23">
        <v>1</v>
      </c>
      <c r="AE2549" s="23">
        <v>0</v>
      </c>
      <c r="AF2549" s="23" t="s">
        <v>9622</v>
      </c>
      <c r="AG2549" s="23" t="s">
        <v>659</v>
      </c>
      <c r="AH2549" s="39">
        <v>45904</v>
      </c>
      <c r="AI2549" s="53" t="s">
        <v>5851</v>
      </c>
    </row>
    <row r="2550" spans="1:35">
      <c r="A2550" s="75" t="s">
        <v>14671</v>
      </c>
      <c r="B2550" s="23" t="s">
        <v>14663</v>
      </c>
      <c r="C2550" s="140">
        <v>45897</v>
      </c>
      <c r="D2550" s="23" t="s">
        <v>729</v>
      </c>
      <c r="E2550" s="23" t="s">
        <v>752</v>
      </c>
      <c r="F2550" s="23" t="s">
        <v>2200</v>
      </c>
      <c r="G2550" s="23" t="s">
        <v>301</v>
      </c>
      <c r="H2550" s="23">
        <v>20624943</v>
      </c>
      <c r="I2550" s="23">
        <v>20624943</v>
      </c>
      <c r="J2550" s="140">
        <v>45896</v>
      </c>
      <c r="K2550" s="23" t="s">
        <v>14664</v>
      </c>
      <c r="L2550" s="140">
        <v>45901</v>
      </c>
      <c r="T2550" s="23" t="s">
        <v>12031</v>
      </c>
      <c r="U2550" s="23" t="s">
        <v>12031</v>
      </c>
      <c r="V2550" s="23" t="s">
        <v>299</v>
      </c>
      <c r="W2550" s="23" t="s">
        <v>14665</v>
      </c>
      <c r="Y2550" s="23">
        <v>7540</v>
      </c>
      <c r="Z2550" s="23">
        <v>183200</v>
      </c>
      <c r="AB2550" s="23" t="s">
        <v>14666</v>
      </c>
      <c r="AC2550" s="23">
        <v>4</v>
      </c>
      <c r="AD2550" s="23">
        <v>0</v>
      </c>
      <c r="AE2550" s="23">
        <v>2</v>
      </c>
      <c r="AF2550" s="23" t="s">
        <v>9622</v>
      </c>
      <c r="AG2550" s="23" t="s">
        <v>659</v>
      </c>
      <c r="AH2550" s="39">
        <v>45904</v>
      </c>
      <c r="AI2550" s="53" t="s">
        <v>5851</v>
      </c>
    </row>
    <row r="2551" spans="1:35">
      <c r="A2551" s="75" t="s">
        <v>14672</v>
      </c>
      <c r="B2551" s="23" t="s">
        <v>14667</v>
      </c>
      <c r="C2551" s="140">
        <v>45898</v>
      </c>
      <c r="D2551" s="23" t="s">
        <v>729</v>
      </c>
      <c r="E2551" s="23" t="s">
        <v>752</v>
      </c>
      <c r="F2551" s="23" t="s">
        <v>2200</v>
      </c>
      <c r="G2551" s="23" t="s">
        <v>301</v>
      </c>
      <c r="H2551" s="23">
        <v>20624942</v>
      </c>
      <c r="I2551" s="23">
        <v>20624942</v>
      </c>
      <c r="J2551" s="140">
        <v>45895</v>
      </c>
      <c r="K2551" s="23" t="s">
        <v>14668</v>
      </c>
      <c r="L2551" s="140">
        <v>45901</v>
      </c>
      <c r="T2551" s="23" t="s">
        <v>12031</v>
      </c>
      <c r="U2551" s="23" t="s">
        <v>12031</v>
      </c>
      <c r="V2551" s="23" t="s">
        <v>299</v>
      </c>
      <c r="W2551" s="23" t="s">
        <v>13500</v>
      </c>
      <c r="Y2551" s="23">
        <v>19770</v>
      </c>
      <c r="Z2551" s="23">
        <v>175500</v>
      </c>
      <c r="AB2551" s="23" t="s">
        <v>14669</v>
      </c>
      <c r="AC2551" s="23">
        <v>15</v>
      </c>
      <c r="AD2551" s="23">
        <v>0</v>
      </c>
      <c r="AE2551" s="23">
        <v>5</v>
      </c>
      <c r="AF2551" s="23" t="s">
        <v>9622</v>
      </c>
      <c r="AG2551" s="23" t="s">
        <v>659</v>
      </c>
      <c r="AH2551" s="39">
        <v>45904</v>
      </c>
      <c r="AI2551" s="53" t="s">
        <v>5851</v>
      </c>
    </row>
  </sheetData>
  <autoFilter ref="A2:BD2" xr:uid="{00000000-0001-0000-0100-000000000000}"/>
  <mergeCells count="7">
    <mergeCell ref="AJ1:BB1"/>
    <mergeCell ref="V144:V145"/>
    <mergeCell ref="Q144:Q145"/>
    <mergeCell ref="R144:R145"/>
    <mergeCell ref="S144:S145"/>
    <mergeCell ref="T144:T145"/>
    <mergeCell ref="U144:U145"/>
  </mergeCells>
  <phoneticPr fontId="1" type="noConversion"/>
  <conditionalFormatting sqref="AB2099:AB2100">
    <cfRule type="duplicateValues" dxfId="0" priority="1"/>
  </conditionalFormatting>
  <hyperlinks>
    <hyperlink ref="AI28" r:id="rId1" display="..\Case Advance\OFF SET\081 GLSW951006.xlsx" xr:uid="{00000000-0004-0000-0100-000000000000}"/>
    <hyperlink ref="AI29" r:id="rId2" display="..\Case Advance\OFF SET\082 GLSW951005.xlsx" xr:uid="{00000000-0004-0000-0100-000001000000}"/>
    <hyperlink ref="AI30" r:id="rId3" display="..\Case Advance\OFF SET\083 OMPLCHKHOMP004-20.xlsx" xr:uid="{00000000-0004-0000-0100-000002000000}"/>
    <hyperlink ref="AI31" r:id="rId4" display="..\Case Advance\OFF SET\084 GLSN004009.xlsx" xr:uid="{00000000-0004-0000-0100-000003000000}"/>
    <hyperlink ref="AI32" r:id="rId5" display="..\2 BJC\085​​ OMPLCHKHOMP018-20" xr:uid="{00000000-0004-0000-0100-000004000000}"/>
    <hyperlink ref="AI33" r:id="rId6" display="..\2 BJC\​086​ OMPLCHKHOMP019-20" xr:uid="{00000000-0004-0000-0100-000005000000}"/>
    <hyperlink ref="AI34" r:id="rId7" display="E:\Clearance\Sovanaphum\2 BJC\087 GMD20HPHPNH0011" xr:uid="{00000000-0004-0000-0100-000006000000}"/>
    <hyperlink ref="AJ28" r:id="rId8" tooltip="081" xr:uid="{00000000-0004-0000-0100-000007000000}"/>
    <hyperlink ref="AJ29" r:id="rId9" tooltip="082" xr:uid="{00000000-0004-0000-0100-000008000000}"/>
    <hyperlink ref="AJ30" r:id="rId10" tooltip="083" display="..\2 BJC\083 OMPLCHKHOMP004-20" xr:uid="{00000000-0004-0000-0100-000009000000}"/>
    <hyperlink ref="AJ31" r:id="rId11" tooltip="084" xr:uid="{00000000-0004-0000-0100-00000A000000}"/>
  </hyperlinks>
  <pageMargins left="0.35" right="0.35" top="1.5" bottom="0.75" header="0.3" footer="0.3"/>
  <pageSetup paperSize="9" scale="10" orientation="landscape" r:id="rId12"/>
  <drawing r:id="rId13"/>
  <legacyDrawing r:id="rId1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AQ2509"/>
  <sheetViews>
    <sheetView topLeftCell="A4" zoomScale="70" zoomScaleNormal="70" workbookViewId="0">
      <selection activeCell="D11" sqref="D11"/>
    </sheetView>
  </sheetViews>
  <sheetFormatPr baseColWidth="10" defaultColWidth="8.83203125" defaultRowHeight="15"/>
  <cols>
    <col min="1" max="1" width="10.5" customWidth="1"/>
    <col min="2" max="2" width="41.5" bestFit="1" customWidth="1"/>
    <col min="3" max="3" width="16.6640625" bestFit="1" customWidth="1"/>
    <col min="4" max="4" width="218.5" customWidth="1"/>
    <col min="5" max="5" width="52.5" customWidth="1"/>
    <col min="6" max="6" width="25.5" bestFit="1" customWidth="1"/>
    <col min="7" max="7" width="29.5" customWidth="1"/>
    <col min="8" max="8" width="46.5" bestFit="1" customWidth="1"/>
    <col min="9" max="9" width="29.5" customWidth="1"/>
    <col min="10" max="11" width="8.5"/>
    <col min="12" max="12" width="8.5" customWidth="1"/>
    <col min="13" max="13" width="21" customWidth="1"/>
    <col min="14" max="14" width="33.5" customWidth="1"/>
    <col min="15" max="15" width="37.5" customWidth="1"/>
    <col min="16" max="16" width="25.5" customWidth="1"/>
    <col min="17" max="17" width="30.5" style="129" customWidth="1"/>
    <col min="18" max="18" width="13" bestFit="1" customWidth="1"/>
    <col min="19" max="19" width="14.5" bestFit="1" customWidth="1"/>
    <col min="20" max="20" width="10.5" customWidth="1"/>
    <col min="21" max="21" width="40.5" customWidth="1"/>
    <col min="22" max="22" width="14.5" bestFit="1" customWidth="1"/>
    <col min="23" max="23" width="10.5" bestFit="1" customWidth="1"/>
    <col min="24" max="24" width="27" bestFit="1" customWidth="1"/>
    <col min="25" max="25" width="12.1640625" bestFit="1" customWidth="1"/>
    <col min="26" max="26" width="10.83203125" bestFit="1" customWidth="1"/>
    <col min="27" max="27" width="23.5" customWidth="1"/>
    <col min="28" max="28" width="10.5" bestFit="1" customWidth="1"/>
    <col min="29" max="29" width="54.5" bestFit="1" customWidth="1"/>
    <col min="30" max="33" width="30.5" customWidth="1"/>
    <col min="34" max="34" width="32.5" customWidth="1"/>
    <col min="37" max="37" width="15.5" bestFit="1" customWidth="1"/>
    <col min="38" max="38" width="7.5" bestFit="1" customWidth="1"/>
    <col min="39" max="39" width="9.5" bestFit="1" customWidth="1"/>
    <col min="40" max="40" width="8.5" bestFit="1" customWidth="1"/>
    <col min="43" max="43" width="16.5" customWidth="1"/>
  </cols>
  <sheetData>
    <row r="1" spans="1:43" ht="19">
      <c r="A1" s="93"/>
      <c r="O1" s="221" t="s">
        <v>11166</v>
      </c>
      <c r="P1" s="221"/>
      <c r="Q1" s="221"/>
      <c r="R1" s="164"/>
      <c r="S1" s="221" t="s">
        <v>11165</v>
      </c>
      <c r="T1" s="221"/>
      <c r="U1" s="221"/>
      <c r="V1" s="221"/>
      <c r="W1" s="221"/>
      <c r="AB1" s="128" t="s">
        <v>11725</v>
      </c>
      <c r="AC1" s="128" t="s">
        <v>13238</v>
      </c>
      <c r="AD1" t="s">
        <v>11800</v>
      </c>
      <c r="AE1" t="s">
        <v>11801</v>
      </c>
    </row>
    <row r="2" spans="1:43" ht="16">
      <c r="A2" s="93" t="s">
        <v>4799</v>
      </c>
      <c r="B2" s="94">
        <v>2</v>
      </c>
      <c r="C2" s="145" t="s">
        <v>4833</v>
      </c>
      <c r="D2" s="145" t="s">
        <v>4798</v>
      </c>
      <c r="E2" s="93" t="s">
        <v>4797</v>
      </c>
      <c r="F2" s="131" t="s">
        <v>4796</v>
      </c>
      <c r="G2" s="131"/>
      <c r="H2" s="132" t="s">
        <v>6039</v>
      </c>
      <c r="I2" s="132" t="s">
        <v>8009</v>
      </c>
      <c r="J2" s="157" t="s">
        <v>10586</v>
      </c>
      <c r="K2" s="157"/>
      <c r="L2" s="157"/>
      <c r="M2" s="93"/>
      <c r="N2" s="93"/>
      <c r="O2" s="166" t="s">
        <v>8008</v>
      </c>
      <c r="P2" s="166" t="s">
        <v>11167</v>
      </c>
      <c r="Q2" s="165" t="s">
        <v>11168</v>
      </c>
      <c r="R2" s="164"/>
      <c r="S2" s="165" t="s">
        <v>6042</v>
      </c>
      <c r="T2" s="165" t="s">
        <v>6038</v>
      </c>
      <c r="U2" s="165" t="s">
        <v>6039</v>
      </c>
      <c r="V2" s="165" t="s">
        <v>4795</v>
      </c>
      <c r="W2" s="165" t="s">
        <v>6040</v>
      </c>
      <c r="X2" s="93" t="s">
        <v>6041</v>
      </c>
      <c r="Y2" s="93" t="s">
        <v>6043</v>
      </c>
      <c r="Z2" s="93" t="s">
        <v>6040</v>
      </c>
      <c r="AB2" s="114" t="s">
        <v>6214</v>
      </c>
      <c r="AC2" s="114" t="s">
        <v>10394</v>
      </c>
      <c r="AD2" s="114" t="s">
        <v>11748</v>
      </c>
      <c r="AE2" s="114" t="s">
        <v>11749</v>
      </c>
      <c r="AF2" s="114" t="s">
        <v>11750</v>
      </c>
      <c r="AG2" s="114" t="s">
        <v>11751</v>
      </c>
      <c r="AH2" s="114" t="s">
        <v>11802</v>
      </c>
      <c r="AK2" s="173" t="s">
        <v>11752</v>
      </c>
      <c r="AL2" s="173" t="s">
        <v>11753</v>
      </c>
      <c r="AM2" s="173" t="s">
        <v>11754</v>
      </c>
      <c r="AN2" s="173" t="s">
        <v>11755</v>
      </c>
      <c r="AQ2" s="93"/>
    </row>
    <row r="3" spans="1:43" ht="16">
      <c r="A3" s="90" t="s">
        <v>3684</v>
      </c>
      <c r="B3" s="89" t="s">
        <v>4794</v>
      </c>
      <c r="C3" s="146" t="s">
        <v>3712</v>
      </c>
      <c r="D3" s="147" t="s">
        <v>4894</v>
      </c>
      <c r="E3" s="124"/>
      <c r="F3" s="82" t="s">
        <v>4793</v>
      </c>
      <c r="G3" s="82"/>
      <c r="H3" s="99" t="s">
        <v>2200</v>
      </c>
      <c r="I3" s="99" t="s">
        <v>4793</v>
      </c>
      <c r="J3" s="158" t="s">
        <v>305</v>
      </c>
      <c r="K3" s="156" t="s">
        <v>10585</v>
      </c>
      <c r="L3" s="156"/>
      <c r="M3" s="82" t="s">
        <v>4783</v>
      </c>
      <c r="N3" s="81" t="s">
        <v>11686</v>
      </c>
      <c r="O3" s="92" t="s">
        <v>2200</v>
      </c>
      <c r="P3" s="81" t="s">
        <v>13388</v>
      </c>
      <c r="Q3" s="155" t="s">
        <v>13387</v>
      </c>
      <c r="R3" s="159" t="s">
        <v>4792</v>
      </c>
      <c r="S3" s="81" t="s">
        <v>4778</v>
      </c>
      <c r="T3" s="81" t="s">
        <v>6044</v>
      </c>
      <c r="U3" s="81" t="s">
        <v>3702</v>
      </c>
      <c r="V3" s="81" t="s">
        <v>6045</v>
      </c>
      <c r="W3" s="81" t="s">
        <v>6046</v>
      </c>
      <c r="X3" s="82"/>
      <c r="Y3" s="81"/>
      <c r="Z3" s="81"/>
      <c r="AB3" s="115">
        <v>45658</v>
      </c>
      <c r="AC3" s="178" t="s">
        <v>12872</v>
      </c>
      <c r="AD3" s="172" t="s">
        <v>11803</v>
      </c>
      <c r="AE3" s="176" t="s">
        <v>11804</v>
      </c>
      <c r="AF3" s="176" t="s">
        <v>11805</v>
      </c>
      <c r="AG3" s="172" t="s">
        <v>11806</v>
      </c>
      <c r="AH3" s="171" t="s">
        <v>11807</v>
      </c>
      <c r="AK3" s="174">
        <v>1</v>
      </c>
      <c r="AL3" s="175" t="s">
        <v>11756</v>
      </c>
      <c r="AM3" s="175" t="s">
        <v>11768</v>
      </c>
      <c r="AN3" s="175" t="s">
        <v>11780</v>
      </c>
      <c r="AP3" s="179">
        <v>1</v>
      </c>
      <c r="AQ3" s="99"/>
    </row>
    <row r="4" spans="1:43" ht="16">
      <c r="A4" s="85" t="s">
        <v>3713</v>
      </c>
      <c r="B4" s="84" t="s">
        <v>4791</v>
      </c>
      <c r="C4" s="148" t="s">
        <v>5851</v>
      </c>
      <c r="D4" s="147" t="s">
        <v>13379</v>
      </c>
      <c r="E4" s="125" t="s">
        <v>4790</v>
      </c>
      <c r="F4" s="82" t="s">
        <v>4789</v>
      </c>
      <c r="G4" s="82" t="s">
        <v>5659</v>
      </c>
      <c r="H4" s="99" t="s">
        <v>2200</v>
      </c>
      <c r="I4" s="99" t="s">
        <v>4789</v>
      </c>
      <c r="J4" s="158" t="s">
        <v>12031</v>
      </c>
      <c r="K4" s="156" t="s">
        <v>10587</v>
      </c>
      <c r="M4" s="82" t="s">
        <v>4759</v>
      </c>
      <c r="N4" s="81" t="s">
        <v>13318</v>
      </c>
      <c r="O4" s="91" t="s">
        <v>2944</v>
      </c>
      <c r="P4" s="81" t="s">
        <v>4788</v>
      </c>
      <c r="Q4" s="155" t="s">
        <v>9032</v>
      </c>
      <c r="R4" s="159" t="s">
        <v>4787</v>
      </c>
      <c r="S4" s="81" t="s">
        <v>5703</v>
      </c>
      <c r="T4" s="113" t="s">
        <v>6096</v>
      </c>
      <c r="U4" s="81" t="s">
        <v>6078</v>
      </c>
      <c r="V4" s="81" t="s">
        <v>6079</v>
      </c>
      <c r="W4" s="81" t="s">
        <v>6080</v>
      </c>
      <c r="X4" s="82" t="s">
        <v>4759</v>
      </c>
      <c r="Y4" s="81" t="s">
        <v>10884</v>
      </c>
      <c r="Z4" s="81" t="s">
        <v>6048</v>
      </c>
      <c r="AB4" s="115">
        <v>45659</v>
      </c>
      <c r="AC4" s="178" t="s">
        <v>12873</v>
      </c>
      <c r="AD4" s="172" t="s">
        <v>11808</v>
      </c>
      <c r="AE4" s="176" t="s">
        <v>11809</v>
      </c>
      <c r="AF4" s="176" t="s">
        <v>11805</v>
      </c>
      <c r="AG4" s="172" t="s">
        <v>11806</v>
      </c>
      <c r="AH4" s="171" t="s">
        <v>11807</v>
      </c>
      <c r="AK4" s="174">
        <v>2</v>
      </c>
      <c r="AL4" s="175" t="s">
        <v>11757</v>
      </c>
      <c r="AM4" s="175" t="s">
        <v>11769</v>
      </c>
      <c r="AN4" s="175" t="s">
        <v>11781</v>
      </c>
      <c r="AP4" s="180">
        <v>1</v>
      </c>
      <c r="AQ4" s="99"/>
    </row>
    <row r="5" spans="1:43" ht="16">
      <c r="A5" s="90" t="s">
        <v>305</v>
      </c>
      <c r="B5" s="89" t="s">
        <v>4786</v>
      </c>
      <c r="C5" s="146" t="s">
        <v>4785</v>
      </c>
      <c r="D5" s="147" t="s">
        <v>4784</v>
      </c>
      <c r="E5" s="124"/>
      <c r="F5" s="82" t="s">
        <v>4783</v>
      </c>
      <c r="G5" s="82" t="s">
        <v>13240</v>
      </c>
      <c r="H5" s="99" t="s">
        <v>3702</v>
      </c>
      <c r="I5" s="99" t="s">
        <v>4778</v>
      </c>
      <c r="J5" s="158" t="s">
        <v>299</v>
      </c>
      <c r="K5" s="156" t="s">
        <v>10588</v>
      </c>
      <c r="M5" s="82" t="s">
        <v>5660</v>
      </c>
      <c r="N5" s="81" t="s">
        <v>13317</v>
      </c>
      <c r="O5" s="87" t="s">
        <v>1723</v>
      </c>
      <c r="P5" s="81" t="s">
        <v>4782</v>
      </c>
      <c r="Q5" s="155" t="s">
        <v>9033</v>
      </c>
      <c r="R5" s="159" t="s">
        <v>4781</v>
      </c>
      <c r="S5" s="81" t="s">
        <v>5151</v>
      </c>
      <c r="T5" s="81" t="s">
        <v>6081</v>
      </c>
      <c r="U5" s="81" t="s">
        <v>3456</v>
      </c>
      <c r="V5" s="81" t="s">
        <v>10281</v>
      </c>
      <c r="W5" s="81" t="s">
        <v>6082</v>
      </c>
      <c r="X5" s="82" t="s">
        <v>5660</v>
      </c>
      <c r="Y5" s="81" t="s">
        <v>6047</v>
      </c>
      <c r="Z5" s="81" t="s">
        <v>6049</v>
      </c>
      <c r="AB5" s="115">
        <v>45660</v>
      </c>
      <c r="AC5" s="178" t="s">
        <v>12874</v>
      </c>
      <c r="AD5" s="172" t="s">
        <v>11810</v>
      </c>
      <c r="AE5" s="176" t="s">
        <v>11811</v>
      </c>
      <c r="AF5" s="176" t="s">
        <v>11805</v>
      </c>
      <c r="AG5" s="172" t="s">
        <v>11806</v>
      </c>
      <c r="AH5" s="171" t="s">
        <v>11807</v>
      </c>
      <c r="AK5" s="174">
        <v>3</v>
      </c>
      <c r="AL5" s="175" t="s">
        <v>11758</v>
      </c>
      <c r="AM5" s="175" t="s">
        <v>11770</v>
      </c>
      <c r="AN5" s="175" t="s">
        <v>11782</v>
      </c>
    </row>
    <row r="6" spans="1:43" ht="16">
      <c r="A6" s="88" t="s">
        <v>12031</v>
      </c>
      <c r="B6" s="86" t="s">
        <v>4780</v>
      </c>
      <c r="C6" s="149" t="s">
        <v>3743</v>
      </c>
      <c r="D6" s="147" t="s">
        <v>4895</v>
      </c>
      <c r="E6" s="125" t="s">
        <v>4779</v>
      </c>
      <c r="F6" s="82" t="s">
        <v>4778</v>
      </c>
      <c r="G6" s="82" t="s">
        <v>5681</v>
      </c>
      <c r="H6" s="99" t="s">
        <v>958</v>
      </c>
      <c r="I6" s="99" t="s">
        <v>4773</v>
      </c>
      <c r="J6" s="158" t="s">
        <v>298</v>
      </c>
      <c r="K6" s="156" t="s">
        <v>10589</v>
      </c>
      <c r="M6" s="82" t="s">
        <v>11163</v>
      </c>
      <c r="N6" s="81" t="s">
        <v>13316</v>
      </c>
      <c r="O6" s="87" t="s">
        <v>2969</v>
      </c>
      <c r="P6" s="81" t="s">
        <v>4777</v>
      </c>
      <c r="Q6" s="155" t="s">
        <v>9034</v>
      </c>
      <c r="R6" s="159" t="s">
        <v>4776</v>
      </c>
      <c r="S6" s="81" t="s">
        <v>4754</v>
      </c>
      <c r="T6" s="113" t="s">
        <v>6097</v>
      </c>
      <c r="U6" s="81" t="s">
        <v>6091</v>
      </c>
      <c r="V6" s="81" t="s">
        <v>6092</v>
      </c>
      <c r="W6" s="81" t="s">
        <v>6093</v>
      </c>
      <c r="X6" s="82" t="s">
        <v>11163</v>
      </c>
      <c r="Y6" s="81" t="s">
        <v>11164</v>
      </c>
      <c r="Z6" s="81" t="s">
        <v>11180</v>
      </c>
      <c r="AB6" s="115">
        <v>45661</v>
      </c>
      <c r="AC6" s="178" t="s">
        <v>12875</v>
      </c>
      <c r="AD6" s="172" t="s">
        <v>11812</v>
      </c>
      <c r="AE6" s="176" t="s">
        <v>11813</v>
      </c>
      <c r="AF6" s="176" t="s">
        <v>11805</v>
      </c>
      <c r="AG6" s="172" t="s">
        <v>11806</v>
      </c>
      <c r="AH6" s="171" t="s">
        <v>11807</v>
      </c>
      <c r="AK6" s="174">
        <v>4</v>
      </c>
      <c r="AL6" s="175" t="s">
        <v>11759</v>
      </c>
      <c r="AM6" s="175" t="s">
        <v>11771</v>
      </c>
      <c r="AN6" s="175" t="s">
        <v>11783</v>
      </c>
    </row>
    <row r="7" spans="1:43" ht="16">
      <c r="A7" s="85" t="s">
        <v>3715</v>
      </c>
      <c r="B7" s="84" t="s">
        <v>4775</v>
      </c>
      <c r="C7" s="148" t="s">
        <v>3711</v>
      </c>
      <c r="D7" s="147" t="s">
        <v>6037</v>
      </c>
      <c r="E7" s="125" t="s">
        <v>4774</v>
      </c>
      <c r="F7" s="82" t="s">
        <v>4773</v>
      </c>
      <c r="G7" s="82"/>
      <c r="H7" s="99" t="s">
        <v>958</v>
      </c>
      <c r="I7" s="99" t="s">
        <v>6141</v>
      </c>
      <c r="J7" s="158" t="s">
        <v>233</v>
      </c>
      <c r="K7" s="156" t="s">
        <v>13409</v>
      </c>
      <c r="O7" s="82" t="s">
        <v>2926</v>
      </c>
      <c r="P7" s="81" t="s">
        <v>4772</v>
      </c>
      <c r="Q7" s="155" t="s">
        <v>9035</v>
      </c>
      <c r="R7" s="159" t="s">
        <v>363</v>
      </c>
      <c r="S7" s="81" t="s">
        <v>5660</v>
      </c>
      <c r="T7" s="81" t="s">
        <v>6047</v>
      </c>
      <c r="U7" s="81" t="s">
        <v>6094</v>
      </c>
      <c r="V7" s="81" t="s">
        <v>6095</v>
      </c>
      <c r="W7" s="81" t="s">
        <v>6049</v>
      </c>
      <c r="X7" s="99"/>
      <c r="Y7" s="99"/>
      <c r="Z7" s="99"/>
      <c r="AB7" s="115">
        <v>45662</v>
      </c>
      <c r="AC7" s="178" t="s">
        <v>12877</v>
      </c>
      <c r="AD7" s="172" t="s">
        <v>11814</v>
      </c>
      <c r="AE7" s="176" t="s">
        <v>11815</v>
      </c>
      <c r="AF7" s="176" t="s">
        <v>11805</v>
      </c>
      <c r="AG7" s="172" t="s">
        <v>11806</v>
      </c>
      <c r="AH7" s="171" t="s">
        <v>11807</v>
      </c>
      <c r="AK7" s="174">
        <v>5</v>
      </c>
      <c r="AL7" s="175" t="s">
        <v>11760</v>
      </c>
      <c r="AM7" s="175" t="s">
        <v>11772</v>
      </c>
      <c r="AN7" s="175" t="s">
        <v>11784</v>
      </c>
    </row>
    <row r="8" spans="1:43" ht="21" customHeight="1">
      <c r="A8" s="85" t="s">
        <v>6846</v>
      </c>
      <c r="B8" s="84" t="s">
        <v>6847</v>
      </c>
      <c r="C8" s="150" t="s">
        <v>4771</v>
      </c>
      <c r="D8" s="151" t="s">
        <v>12254</v>
      </c>
      <c r="E8" s="125" t="s">
        <v>5707</v>
      </c>
      <c r="F8" s="82" t="s">
        <v>4770</v>
      </c>
      <c r="G8" s="82" t="s">
        <v>5922</v>
      </c>
      <c r="H8" s="99" t="s">
        <v>3404</v>
      </c>
      <c r="I8" s="99" t="s">
        <v>4770</v>
      </c>
      <c r="J8" s="158" t="s">
        <v>303</v>
      </c>
      <c r="K8" s="156" t="s">
        <v>14452</v>
      </c>
      <c r="O8" s="82" t="s">
        <v>3702</v>
      </c>
      <c r="P8" s="81" t="s">
        <v>4769</v>
      </c>
      <c r="Q8" s="155" t="s">
        <v>9036</v>
      </c>
      <c r="R8" s="159" t="s">
        <v>6849</v>
      </c>
      <c r="S8" s="81" t="s">
        <v>4759</v>
      </c>
      <c r="T8" s="81" t="s">
        <v>10884</v>
      </c>
      <c r="U8" s="81" t="s">
        <v>6094</v>
      </c>
      <c r="V8" s="81" t="s">
        <v>6095</v>
      </c>
      <c r="W8" s="81" t="s">
        <v>6048</v>
      </c>
      <c r="X8" s="99"/>
      <c r="Y8" s="111"/>
      <c r="Z8" s="99"/>
      <c r="AB8" s="115">
        <v>45663</v>
      </c>
      <c r="AC8" s="178" t="s">
        <v>12878</v>
      </c>
      <c r="AD8" s="172" t="s">
        <v>11816</v>
      </c>
      <c r="AE8" s="176" t="s">
        <v>11817</v>
      </c>
      <c r="AF8" s="176" t="s">
        <v>11805</v>
      </c>
      <c r="AG8" s="172" t="s">
        <v>11806</v>
      </c>
      <c r="AH8" s="171" t="s">
        <v>11807</v>
      </c>
      <c r="AK8" s="174">
        <v>6</v>
      </c>
      <c r="AL8" s="175" t="s">
        <v>11761</v>
      </c>
      <c r="AM8" s="175" t="s">
        <v>11773</v>
      </c>
      <c r="AN8" s="175" t="s">
        <v>11785</v>
      </c>
    </row>
    <row r="9" spans="1:43" ht="21" customHeight="1">
      <c r="A9" s="90" t="s">
        <v>12326</v>
      </c>
      <c r="B9" s="89" t="s">
        <v>4794</v>
      </c>
      <c r="C9" s="148" t="s">
        <v>3051</v>
      </c>
      <c r="D9" s="147" t="s">
        <v>12253</v>
      </c>
      <c r="E9" s="125" t="s">
        <v>4768</v>
      </c>
      <c r="F9" s="126" t="s">
        <v>4767</v>
      </c>
      <c r="G9" s="82" t="s">
        <v>6215</v>
      </c>
      <c r="H9" s="99" t="s">
        <v>2314</v>
      </c>
      <c r="I9" s="99" t="s">
        <v>4767</v>
      </c>
      <c r="J9" s="158" t="s">
        <v>14605</v>
      </c>
      <c r="K9" s="156" t="s">
        <v>14607</v>
      </c>
      <c r="O9" s="82" t="s">
        <v>3707</v>
      </c>
      <c r="P9" s="81" t="s">
        <v>4766</v>
      </c>
      <c r="Q9" s="155" t="s">
        <v>9037</v>
      </c>
      <c r="R9" s="206" t="s">
        <v>14608</v>
      </c>
      <c r="S9" s="81" t="s">
        <v>4789</v>
      </c>
      <c r="T9" s="127" t="s">
        <v>6098</v>
      </c>
      <c r="U9" s="127" t="s">
        <v>2200</v>
      </c>
      <c r="V9" s="127" t="s">
        <v>6099</v>
      </c>
      <c r="W9" s="127" t="s">
        <v>10491</v>
      </c>
      <c r="X9" s="99"/>
      <c r="Y9" s="99"/>
      <c r="Z9" s="99"/>
      <c r="AB9" s="115">
        <v>45664</v>
      </c>
      <c r="AC9" s="178" t="s">
        <v>12879</v>
      </c>
      <c r="AD9" s="172" t="s">
        <v>11818</v>
      </c>
      <c r="AE9" s="176" t="s">
        <v>11819</v>
      </c>
      <c r="AF9" s="176" t="s">
        <v>11805</v>
      </c>
      <c r="AG9" s="172" t="s">
        <v>11806</v>
      </c>
      <c r="AH9" s="171" t="s">
        <v>11807</v>
      </c>
      <c r="AK9" s="174">
        <v>7</v>
      </c>
      <c r="AL9" s="175" t="s">
        <v>11762</v>
      </c>
      <c r="AM9" s="175" t="s">
        <v>11774</v>
      </c>
      <c r="AN9" s="175" t="s">
        <v>11786</v>
      </c>
    </row>
    <row r="10" spans="1:43" ht="16">
      <c r="A10" s="198" t="s">
        <v>13467</v>
      </c>
      <c r="B10" s="89" t="s">
        <v>13470</v>
      </c>
      <c r="C10" s="152" t="s">
        <v>3857</v>
      </c>
      <c r="D10" s="153" t="s">
        <v>12252</v>
      </c>
      <c r="E10" s="125" t="s">
        <v>4765</v>
      </c>
      <c r="F10" s="82" t="s">
        <v>4764</v>
      </c>
      <c r="G10" s="82" t="s">
        <v>5670</v>
      </c>
      <c r="H10" s="99" t="s">
        <v>8010</v>
      </c>
      <c r="I10" s="99" t="s">
        <v>4764</v>
      </c>
      <c r="O10" s="82" t="s">
        <v>3404</v>
      </c>
      <c r="P10" s="81" t="s">
        <v>4763</v>
      </c>
      <c r="Q10" s="155" t="s">
        <v>9038</v>
      </c>
      <c r="S10" s="80" t="s">
        <v>4928</v>
      </c>
      <c r="T10" s="80" t="s">
        <v>12159</v>
      </c>
      <c r="U10" s="81" t="s">
        <v>6113</v>
      </c>
      <c r="V10" s="81" t="s">
        <v>6114</v>
      </c>
      <c r="W10" s="113" t="s">
        <v>14541</v>
      </c>
      <c r="X10" s="99"/>
      <c r="Y10" s="99"/>
      <c r="Z10" s="99"/>
      <c r="AB10" s="115">
        <v>45665</v>
      </c>
      <c r="AC10" s="178" t="s">
        <v>12880</v>
      </c>
      <c r="AD10" s="172" t="s">
        <v>11803</v>
      </c>
      <c r="AE10" s="176" t="s">
        <v>11820</v>
      </c>
      <c r="AF10" s="176" t="s">
        <v>11805</v>
      </c>
      <c r="AG10" s="172" t="s">
        <v>11806</v>
      </c>
      <c r="AH10" s="171" t="s">
        <v>11807</v>
      </c>
      <c r="AK10" s="174">
        <v>8</v>
      </c>
      <c r="AL10" s="175" t="s">
        <v>11763</v>
      </c>
      <c r="AM10" s="175" t="s">
        <v>11775</v>
      </c>
      <c r="AN10" s="175" t="s">
        <v>11787</v>
      </c>
      <c r="AQ10" s="99"/>
    </row>
    <row r="11" spans="1:43" ht="16">
      <c r="A11" s="198" t="s">
        <v>303</v>
      </c>
      <c r="B11" s="86" t="s">
        <v>14451</v>
      </c>
      <c r="C11" s="152" t="s">
        <v>3943</v>
      </c>
      <c r="D11" s="153" t="s">
        <v>12251</v>
      </c>
      <c r="E11" s="125" t="s">
        <v>4762</v>
      </c>
      <c r="F11" s="82" t="s">
        <v>4761</v>
      </c>
      <c r="G11" s="82" t="s">
        <v>5671</v>
      </c>
      <c r="H11" s="99" t="s">
        <v>8011</v>
      </c>
      <c r="I11" s="99" t="s">
        <v>4761</v>
      </c>
      <c r="O11" s="82" t="s">
        <v>3456</v>
      </c>
      <c r="P11" s="81" t="s">
        <v>4760</v>
      </c>
      <c r="Q11" s="155" t="s">
        <v>9039</v>
      </c>
      <c r="S11" s="80" t="s">
        <v>4793</v>
      </c>
      <c r="T11" s="80" t="s">
        <v>6245</v>
      </c>
      <c r="U11" s="81" t="s">
        <v>2200</v>
      </c>
      <c r="V11" s="81" t="s">
        <v>6099</v>
      </c>
      <c r="W11" s="113" t="s">
        <v>6246</v>
      </c>
      <c r="X11" s="99"/>
      <c r="Y11" s="99"/>
      <c r="Z11" s="99"/>
      <c r="AB11" s="115">
        <v>45666</v>
      </c>
      <c r="AC11" s="178" t="s">
        <v>12881</v>
      </c>
      <c r="AD11" s="172" t="s">
        <v>11808</v>
      </c>
      <c r="AE11" s="176" t="s">
        <v>11821</v>
      </c>
      <c r="AF11" s="176" t="s">
        <v>11805</v>
      </c>
      <c r="AG11" s="172" t="s">
        <v>11806</v>
      </c>
      <c r="AH11" s="171" t="s">
        <v>11807</v>
      </c>
      <c r="AK11" s="174">
        <v>9</v>
      </c>
      <c r="AL11" s="175" t="s">
        <v>11764</v>
      </c>
      <c r="AM11" s="175" t="s">
        <v>11776</v>
      </c>
      <c r="AN11" s="175"/>
      <c r="AQ11" s="99"/>
    </row>
    <row r="12" spans="1:43" ht="16">
      <c r="A12" s="198" t="s">
        <v>14605</v>
      </c>
      <c r="B12" s="84" t="s">
        <v>14606</v>
      </c>
      <c r="C12" s="148" t="s">
        <v>3469</v>
      </c>
      <c r="D12" s="147" t="s">
        <v>12250</v>
      </c>
      <c r="E12" s="125" t="s">
        <v>5853</v>
      </c>
      <c r="F12" s="82" t="s">
        <v>4759</v>
      </c>
      <c r="G12" s="82" t="s">
        <v>10883</v>
      </c>
      <c r="H12" s="99" t="s">
        <v>4251</v>
      </c>
      <c r="I12" s="99" t="s">
        <v>4756</v>
      </c>
      <c r="O12" s="82" t="s">
        <v>2314</v>
      </c>
      <c r="P12" s="81" t="s">
        <v>4758</v>
      </c>
      <c r="Q12" s="155" t="s">
        <v>9040</v>
      </c>
      <c r="S12" s="80" t="s">
        <v>6253</v>
      </c>
      <c r="T12" s="80" t="s">
        <v>6254</v>
      </c>
      <c r="U12" s="81" t="s">
        <v>5934</v>
      </c>
      <c r="V12" s="81" t="s">
        <v>6255</v>
      </c>
      <c r="W12" s="113" t="s">
        <v>6256</v>
      </c>
      <c r="X12" s="99"/>
      <c r="Y12" s="99"/>
      <c r="Z12" s="99"/>
      <c r="AB12" s="115">
        <v>45667</v>
      </c>
      <c r="AC12" s="178" t="s">
        <v>12882</v>
      </c>
      <c r="AD12" s="172" t="s">
        <v>11810</v>
      </c>
      <c r="AE12" s="176" t="s">
        <v>11822</v>
      </c>
      <c r="AF12" s="176" t="s">
        <v>11805</v>
      </c>
      <c r="AG12" s="172" t="s">
        <v>11806</v>
      </c>
      <c r="AH12" s="171" t="s">
        <v>11807</v>
      </c>
      <c r="AK12" s="174">
        <v>10</v>
      </c>
      <c r="AL12" s="175" t="s">
        <v>11765</v>
      </c>
      <c r="AM12" s="175" t="s">
        <v>11777</v>
      </c>
      <c r="AN12" s="175"/>
    </row>
    <row r="13" spans="1:43" ht="16">
      <c r="C13" s="152" t="s">
        <v>6748</v>
      </c>
      <c r="D13" s="153" t="s">
        <v>12249</v>
      </c>
      <c r="E13" s="125" t="s">
        <v>4757</v>
      </c>
      <c r="F13" s="82" t="s">
        <v>4756</v>
      </c>
      <c r="G13" s="82"/>
      <c r="H13" s="99" t="s">
        <v>4674</v>
      </c>
      <c r="I13" s="99" t="s">
        <v>4754</v>
      </c>
      <c r="O13" s="82" t="s">
        <v>3969</v>
      </c>
      <c r="P13" s="81" t="s">
        <v>4755</v>
      </c>
      <c r="Q13" s="155" t="s">
        <v>9041</v>
      </c>
      <c r="S13" s="80" t="s">
        <v>5578</v>
      </c>
      <c r="T13" s="80" t="s">
        <v>6327</v>
      </c>
      <c r="U13" s="81" t="s">
        <v>5581</v>
      </c>
      <c r="V13" s="81" t="s">
        <v>6328</v>
      </c>
      <c r="W13" s="113" t="s">
        <v>6329</v>
      </c>
      <c r="X13" s="99"/>
      <c r="Y13" s="99"/>
      <c r="Z13" s="99"/>
      <c r="AB13" s="115">
        <v>45668</v>
      </c>
      <c r="AC13" s="178" t="s">
        <v>12883</v>
      </c>
      <c r="AD13" s="172" t="s">
        <v>11812</v>
      </c>
      <c r="AE13" s="116" t="s">
        <v>11823</v>
      </c>
      <c r="AF13" s="177" t="s">
        <v>11824</v>
      </c>
      <c r="AG13" s="172" t="s">
        <v>11806</v>
      </c>
      <c r="AH13" s="171" t="s">
        <v>11807</v>
      </c>
      <c r="AK13" s="174">
        <v>11</v>
      </c>
      <c r="AL13" s="175" t="s">
        <v>11766</v>
      </c>
      <c r="AM13" s="175" t="s">
        <v>11778</v>
      </c>
      <c r="AN13" s="175"/>
    </row>
    <row r="14" spans="1:43" ht="16">
      <c r="C14" s="152" t="s">
        <v>5928</v>
      </c>
      <c r="D14" s="153" t="s">
        <v>12248</v>
      </c>
      <c r="E14" s="125" t="s">
        <v>5772</v>
      </c>
      <c r="F14" s="82" t="s">
        <v>4754</v>
      </c>
      <c r="G14" s="82" t="s">
        <v>5589</v>
      </c>
      <c r="H14" s="99" t="s">
        <v>4691</v>
      </c>
      <c r="I14" s="99" t="s">
        <v>4752</v>
      </c>
      <c r="O14" s="82" t="s">
        <v>4028</v>
      </c>
      <c r="P14" s="81" t="s">
        <v>4753</v>
      </c>
      <c r="Q14" s="155" t="s">
        <v>9042</v>
      </c>
      <c r="S14" s="81" t="s">
        <v>4778</v>
      </c>
      <c r="T14" s="81" t="s">
        <v>6044</v>
      </c>
      <c r="U14" s="81" t="s">
        <v>3702</v>
      </c>
      <c r="V14" s="81" t="s">
        <v>6045</v>
      </c>
      <c r="W14" s="113" t="s">
        <v>6046</v>
      </c>
      <c r="X14" s="99"/>
      <c r="Y14" s="99"/>
      <c r="Z14" s="99"/>
      <c r="AB14" s="115">
        <v>45669</v>
      </c>
      <c r="AC14" s="178" t="s">
        <v>12884</v>
      </c>
      <c r="AD14" s="172" t="s">
        <v>11814</v>
      </c>
      <c r="AE14" s="116" t="s">
        <v>11825</v>
      </c>
      <c r="AF14" s="177" t="s">
        <v>11824</v>
      </c>
      <c r="AG14" s="172" t="s">
        <v>11806</v>
      </c>
      <c r="AH14" s="171" t="s">
        <v>11807</v>
      </c>
      <c r="AK14" s="174">
        <v>12</v>
      </c>
      <c r="AL14" s="175" t="s">
        <v>11767</v>
      </c>
      <c r="AM14" s="175" t="s">
        <v>11779</v>
      </c>
      <c r="AN14" s="175"/>
      <c r="AQ14" s="99"/>
    </row>
    <row r="15" spans="1:43" ht="16">
      <c r="C15" s="152" t="s">
        <v>5027</v>
      </c>
      <c r="D15" s="153" t="s">
        <v>12247</v>
      </c>
      <c r="E15" s="111" t="s">
        <v>5773</v>
      </c>
      <c r="F15" s="82" t="s">
        <v>4752</v>
      </c>
      <c r="G15" s="82"/>
      <c r="H15" s="99" t="s">
        <v>6113</v>
      </c>
      <c r="I15" s="99" t="s">
        <v>4928</v>
      </c>
      <c r="O15" s="82" t="s">
        <v>3400</v>
      </c>
      <c r="P15" s="81" t="s">
        <v>4751</v>
      </c>
      <c r="Q15" s="155" t="s">
        <v>9043</v>
      </c>
      <c r="S15" s="81" t="s">
        <v>5758</v>
      </c>
      <c r="T15" s="81" t="s">
        <v>6351</v>
      </c>
      <c r="U15" s="81" t="s">
        <v>5755</v>
      </c>
      <c r="V15" s="81" t="s">
        <v>6352</v>
      </c>
      <c r="W15" s="113" t="s">
        <v>6353</v>
      </c>
      <c r="Y15" s="99"/>
      <c r="Z15" s="99"/>
      <c r="AB15" s="115">
        <v>45670</v>
      </c>
      <c r="AC15" s="178" t="s">
        <v>12885</v>
      </c>
      <c r="AD15" s="172" t="s">
        <v>11816</v>
      </c>
      <c r="AE15" s="116" t="s">
        <v>11826</v>
      </c>
      <c r="AF15" s="177" t="s">
        <v>11824</v>
      </c>
      <c r="AG15" s="172" t="s">
        <v>11806</v>
      </c>
      <c r="AH15" s="171" t="s">
        <v>11807</v>
      </c>
      <c r="AQ15" s="99"/>
    </row>
    <row r="16" spans="1:43" ht="16">
      <c r="A16" s="99"/>
      <c r="B16" s="99"/>
      <c r="C16" s="154" t="s">
        <v>5706</v>
      </c>
      <c r="D16" s="153" t="s">
        <v>12246</v>
      </c>
      <c r="E16" s="125" t="s">
        <v>5707</v>
      </c>
      <c r="F16" s="82" t="s">
        <v>4882</v>
      </c>
      <c r="G16" s="82"/>
      <c r="H16" s="99" t="s">
        <v>5106</v>
      </c>
      <c r="I16" s="99" t="s">
        <v>5120</v>
      </c>
      <c r="O16" s="82" t="s">
        <v>4251</v>
      </c>
      <c r="P16" s="81" t="s">
        <v>4750</v>
      </c>
      <c r="Q16" s="155" t="s">
        <v>9044</v>
      </c>
      <c r="S16" s="81" t="s">
        <v>5827</v>
      </c>
      <c r="T16" s="81" t="s">
        <v>6581</v>
      </c>
      <c r="U16" s="81" t="s">
        <v>6576</v>
      </c>
      <c r="V16" s="81" t="s">
        <v>6582</v>
      </c>
      <c r="W16" s="113" t="s">
        <v>6585</v>
      </c>
      <c r="X16" s="99"/>
      <c r="Y16" s="99"/>
      <c r="Z16" s="99"/>
      <c r="AB16" s="115">
        <v>45671</v>
      </c>
      <c r="AC16" s="178" t="s">
        <v>12886</v>
      </c>
      <c r="AD16" s="172" t="s">
        <v>11818</v>
      </c>
      <c r="AE16" s="116" t="s">
        <v>11827</v>
      </c>
      <c r="AF16" s="177" t="s">
        <v>11824</v>
      </c>
      <c r="AG16" s="172" t="s">
        <v>11806</v>
      </c>
      <c r="AH16" s="171" t="s">
        <v>11807</v>
      </c>
      <c r="AK16" s="116" t="s">
        <v>11828</v>
      </c>
      <c r="AL16" s="116" t="s">
        <v>11829</v>
      </c>
      <c r="AQ16" s="99"/>
    </row>
    <row r="17" spans="1:43" ht="17" thickBot="1">
      <c r="A17" s="99"/>
      <c r="B17" s="99"/>
      <c r="C17" s="154" t="s">
        <v>5757</v>
      </c>
      <c r="D17" s="153" t="s">
        <v>12245</v>
      </c>
      <c r="E17" s="111" t="s">
        <v>5854</v>
      </c>
      <c r="F17" s="82" t="s">
        <v>4928</v>
      </c>
      <c r="G17" s="82" t="s">
        <v>14542</v>
      </c>
      <c r="H17" s="99" t="s">
        <v>5115</v>
      </c>
      <c r="I17" s="99" t="s">
        <v>5119</v>
      </c>
      <c r="O17" s="82" t="s">
        <v>4674</v>
      </c>
      <c r="P17" s="81" t="s">
        <v>4749</v>
      </c>
      <c r="Q17" s="155" t="s">
        <v>9045</v>
      </c>
      <c r="S17" s="81" t="s">
        <v>4756</v>
      </c>
      <c r="T17" s="81" t="s">
        <v>6710</v>
      </c>
      <c r="U17" s="81" t="s">
        <v>6711</v>
      </c>
      <c r="V17" s="81" t="s">
        <v>6963</v>
      </c>
      <c r="W17" s="81"/>
      <c r="X17" s="99"/>
      <c r="Y17" s="99"/>
      <c r="Z17" s="99"/>
      <c r="AB17" s="115">
        <v>45672</v>
      </c>
      <c r="AC17" s="178" t="s">
        <v>12887</v>
      </c>
      <c r="AD17" s="172" t="s">
        <v>11803</v>
      </c>
      <c r="AE17" s="116" t="s">
        <v>11830</v>
      </c>
      <c r="AF17" s="177" t="s">
        <v>11824</v>
      </c>
      <c r="AG17" s="172" t="s">
        <v>11806</v>
      </c>
      <c r="AH17" s="171" t="s">
        <v>11807</v>
      </c>
      <c r="AK17" s="116" t="s">
        <v>11831</v>
      </c>
      <c r="AL17" s="116" t="s">
        <v>11832</v>
      </c>
      <c r="AQ17" s="99"/>
    </row>
    <row r="18" spans="1:43" ht="17" thickBot="1">
      <c r="A18" s="99"/>
      <c r="B18" s="99"/>
      <c r="C18" s="154" t="s">
        <v>5852</v>
      </c>
      <c r="D18" s="153" t="s">
        <v>13380</v>
      </c>
      <c r="E18" s="125" t="s">
        <v>4790</v>
      </c>
      <c r="F18" s="82" t="s">
        <v>5120</v>
      </c>
      <c r="G18" s="82"/>
      <c r="H18" s="99" t="s">
        <v>3456</v>
      </c>
      <c r="I18" s="99" t="s">
        <v>5151</v>
      </c>
      <c r="O18" s="82" t="s">
        <v>4691</v>
      </c>
      <c r="P18" s="81" t="s">
        <v>4748</v>
      </c>
      <c r="Q18" s="155" t="s">
        <v>9046</v>
      </c>
      <c r="S18" s="81" t="s">
        <v>5479</v>
      </c>
      <c r="T18" s="81" t="s">
        <v>6741</v>
      </c>
      <c r="U18" s="81" t="s">
        <v>5472</v>
      </c>
      <c r="V18" s="81" t="s">
        <v>6742</v>
      </c>
      <c r="W18" s="113" t="s">
        <v>6115</v>
      </c>
      <c r="X18" s="99"/>
      <c r="Y18" s="99"/>
      <c r="Z18" s="99"/>
      <c r="AB18" s="115">
        <v>45673</v>
      </c>
      <c r="AC18" s="178" t="s">
        <v>12888</v>
      </c>
      <c r="AD18" s="172" t="s">
        <v>11808</v>
      </c>
      <c r="AE18" s="116" t="s">
        <v>11833</v>
      </c>
      <c r="AF18" s="177" t="s">
        <v>11824</v>
      </c>
      <c r="AG18" s="172" t="s">
        <v>11806</v>
      </c>
      <c r="AH18" s="171" t="s">
        <v>11807</v>
      </c>
      <c r="AK18" s="116" t="s">
        <v>11834</v>
      </c>
      <c r="AL18" s="116" t="s">
        <v>11835</v>
      </c>
      <c r="AQ18" s="181"/>
    </row>
    <row r="19" spans="1:43" ht="16">
      <c r="A19" s="99"/>
      <c r="B19" s="99"/>
      <c r="C19" s="152" t="s">
        <v>5929</v>
      </c>
      <c r="D19" s="153" t="s">
        <v>12244</v>
      </c>
      <c r="E19" s="111" t="s">
        <v>5772</v>
      </c>
      <c r="F19" s="82" t="s">
        <v>5119</v>
      </c>
      <c r="G19" s="82" t="s">
        <v>12414</v>
      </c>
      <c r="H19" s="99" t="s">
        <v>8012</v>
      </c>
      <c r="I19" s="99" t="s">
        <v>3470</v>
      </c>
      <c r="O19" s="82" t="s">
        <v>6113</v>
      </c>
      <c r="P19" s="81" t="s">
        <v>14543</v>
      </c>
      <c r="Q19" s="155" t="s">
        <v>14544</v>
      </c>
      <c r="S19" s="81" t="s">
        <v>6960</v>
      </c>
      <c r="T19" s="81" t="s">
        <v>6961</v>
      </c>
      <c r="U19" s="81" t="s">
        <v>6957</v>
      </c>
      <c r="V19" s="81" t="s">
        <v>6962</v>
      </c>
      <c r="W19" s="113" t="s">
        <v>6964</v>
      </c>
      <c r="X19" s="99"/>
      <c r="Y19" s="99"/>
      <c r="Z19" s="99"/>
      <c r="AB19" s="115">
        <v>45674</v>
      </c>
      <c r="AC19" s="178" t="s">
        <v>12889</v>
      </c>
      <c r="AD19" s="172" t="s">
        <v>11810</v>
      </c>
      <c r="AE19" s="116" t="s">
        <v>11836</v>
      </c>
      <c r="AF19" s="177" t="s">
        <v>11824</v>
      </c>
      <c r="AG19" s="172" t="s">
        <v>11806</v>
      </c>
      <c r="AH19" s="171" t="s">
        <v>11807</v>
      </c>
      <c r="AK19" s="116" t="s">
        <v>11837</v>
      </c>
      <c r="AL19" s="116" t="s">
        <v>11838</v>
      </c>
      <c r="AQ19" s="99"/>
    </row>
    <row r="20" spans="1:43" ht="16">
      <c r="A20" s="99"/>
      <c r="B20" s="99"/>
      <c r="C20" s="152" t="s">
        <v>6580</v>
      </c>
      <c r="D20" s="153" t="s">
        <v>12243</v>
      </c>
      <c r="E20" s="111" t="s">
        <v>6584</v>
      </c>
      <c r="F20" s="82" t="s">
        <v>5151</v>
      </c>
      <c r="G20" s="82" t="s">
        <v>5730</v>
      </c>
      <c r="H20" s="99" t="s">
        <v>2200</v>
      </c>
      <c r="I20" s="99" t="s">
        <v>5279</v>
      </c>
      <c r="O20" s="82" t="s">
        <v>5106</v>
      </c>
      <c r="P20" s="81" t="s">
        <v>5118</v>
      </c>
      <c r="Q20" s="155" t="s">
        <v>9047</v>
      </c>
      <c r="S20" s="81" t="s">
        <v>7163</v>
      </c>
      <c r="T20" s="81" t="s">
        <v>7164</v>
      </c>
      <c r="U20" s="81" t="s">
        <v>7162</v>
      </c>
      <c r="V20" s="81" t="s">
        <v>7165</v>
      </c>
      <c r="W20" s="81" t="s">
        <v>7166</v>
      </c>
      <c r="X20" s="99"/>
      <c r="Y20" s="99"/>
      <c r="Z20" s="99"/>
      <c r="AB20" s="115">
        <v>45675</v>
      </c>
      <c r="AC20" s="178" t="s">
        <v>12890</v>
      </c>
      <c r="AD20" s="172" t="s">
        <v>11812</v>
      </c>
      <c r="AE20" s="116" t="s">
        <v>11839</v>
      </c>
      <c r="AF20" s="177" t="s">
        <v>11824</v>
      </c>
      <c r="AG20" s="172" t="s">
        <v>11806</v>
      </c>
      <c r="AH20" s="171" t="s">
        <v>11807</v>
      </c>
      <c r="AK20" s="116" t="s">
        <v>11840</v>
      </c>
      <c r="AL20" s="116" t="s">
        <v>11841</v>
      </c>
      <c r="AQ20" s="99"/>
    </row>
    <row r="21" spans="1:43" ht="16">
      <c r="A21" s="99"/>
      <c r="B21" s="99"/>
      <c r="C21" s="148" t="s">
        <v>8387</v>
      </c>
      <c r="D21" s="153" t="s">
        <v>12242</v>
      </c>
      <c r="E21" s="111" t="s">
        <v>8430</v>
      </c>
      <c r="F21" s="82" t="s">
        <v>3470</v>
      </c>
      <c r="G21" s="82" t="s">
        <v>5242</v>
      </c>
      <c r="H21" s="99" t="s">
        <v>5472</v>
      </c>
      <c r="I21" s="99" t="s">
        <v>5479</v>
      </c>
      <c r="O21" s="82" t="s">
        <v>5115</v>
      </c>
      <c r="P21" s="81" t="s">
        <v>12412</v>
      </c>
      <c r="Q21" s="155" t="s">
        <v>12413</v>
      </c>
      <c r="S21" s="81" t="s">
        <v>7433</v>
      </c>
      <c r="T21" s="81" t="s">
        <v>7434</v>
      </c>
      <c r="U21" s="81" t="s">
        <v>6094</v>
      </c>
      <c r="V21" s="81" t="s">
        <v>6095</v>
      </c>
      <c r="W21" s="81" t="s">
        <v>7435</v>
      </c>
      <c r="X21" s="99"/>
      <c r="Y21" s="99"/>
      <c r="Z21" s="99"/>
      <c r="AB21" s="115">
        <v>45676</v>
      </c>
      <c r="AC21" s="178" t="s">
        <v>12891</v>
      </c>
      <c r="AD21" s="172" t="s">
        <v>11814</v>
      </c>
      <c r="AE21" s="116" t="s">
        <v>11842</v>
      </c>
      <c r="AF21" s="177" t="s">
        <v>11824</v>
      </c>
      <c r="AG21" s="172" t="s">
        <v>11806</v>
      </c>
      <c r="AH21" s="171" t="s">
        <v>11807</v>
      </c>
      <c r="AK21" s="116" t="s">
        <v>11843</v>
      </c>
      <c r="AL21" s="116" t="s">
        <v>11844</v>
      </c>
    </row>
    <row r="22" spans="1:43" s="99" customFormat="1" ht="16">
      <c r="C22" s="148" t="s">
        <v>11181</v>
      </c>
      <c r="D22" s="153" t="s">
        <v>12241</v>
      </c>
      <c r="E22" s="111" t="s">
        <v>8784</v>
      </c>
      <c r="F22" s="82" t="s">
        <v>5279</v>
      </c>
      <c r="G22" s="82" t="s">
        <v>5280</v>
      </c>
      <c r="H22" s="99" t="s">
        <v>8013</v>
      </c>
      <c r="I22" s="99" t="s">
        <v>5485</v>
      </c>
      <c r="O22" s="82" t="s">
        <v>5755</v>
      </c>
      <c r="P22" s="81" t="s">
        <v>5761</v>
      </c>
      <c r="Q22" s="155" t="s">
        <v>9048</v>
      </c>
      <c r="S22" s="81" t="s">
        <v>4770</v>
      </c>
      <c r="T22" s="81" t="s">
        <v>7436</v>
      </c>
      <c r="U22" s="81" t="s">
        <v>3404</v>
      </c>
      <c r="V22" s="81" t="s">
        <v>7437</v>
      </c>
      <c r="W22" s="81"/>
      <c r="AB22" s="115">
        <v>45677</v>
      </c>
      <c r="AC22" s="178" t="s">
        <v>12892</v>
      </c>
      <c r="AD22" s="172" t="s">
        <v>11816</v>
      </c>
      <c r="AE22" s="116" t="s">
        <v>11845</v>
      </c>
      <c r="AF22" s="177" t="s">
        <v>11824</v>
      </c>
      <c r="AG22" s="172" t="s">
        <v>11806</v>
      </c>
      <c r="AH22" s="171" t="s">
        <v>11807</v>
      </c>
      <c r="AK22" s="116" t="s">
        <v>11846</v>
      </c>
      <c r="AL22" s="116" t="s">
        <v>11847</v>
      </c>
      <c r="AO22"/>
      <c r="AP22"/>
    </row>
    <row r="23" spans="1:43" s="99" customFormat="1" ht="16">
      <c r="C23" s="148" t="s">
        <v>9962</v>
      </c>
      <c r="D23" s="188" t="s">
        <v>11117</v>
      </c>
      <c r="E23" s="111" t="s">
        <v>9967</v>
      </c>
      <c r="F23" s="82" t="s">
        <v>5479</v>
      </c>
      <c r="G23" s="82" t="s">
        <v>5704</v>
      </c>
      <c r="H23" s="99" t="s">
        <v>5698</v>
      </c>
      <c r="I23" s="99" t="s">
        <v>5578</v>
      </c>
      <c r="O23" s="82" t="s">
        <v>5472</v>
      </c>
      <c r="P23" s="81" t="s">
        <v>5480</v>
      </c>
      <c r="Q23" s="155" t="s">
        <v>9049</v>
      </c>
      <c r="S23" s="81" t="s">
        <v>4767</v>
      </c>
      <c r="T23" s="81" t="s">
        <v>6254</v>
      </c>
      <c r="U23" s="81" t="s">
        <v>2314</v>
      </c>
      <c r="V23" s="81" t="s">
        <v>7622</v>
      </c>
      <c r="W23" s="113" t="s">
        <v>7623</v>
      </c>
      <c r="AB23" s="115">
        <v>45678</v>
      </c>
      <c r="AC23" s="178" t="s">
        <v>12893</v>
      </c>
      <c r="AD23" s="172" t="s">
        <v>11818</v>
      </c>
      <c r="AE23" s="116" t="s">
        <v>11848</v>
      </c>
      <c r="AF23" s="177" t="s">
        <v>11824</v>
      </c>
      <c r="AG23" s="172" t="s">
        <v>11806</v>
      </c>
      <c r="AH23" s="171" t="s">
        <v>11807</v>
      </c>
      <c r="AK23" s="116" t="s">
        <v>11849</v>
      </c>
      <c r="AL23" s="116" t="s">
        <v>11850</v>
      </c>
      <c r="AO23"/>
      <c r="AP23"/>
    </row>
    <row r="24" spans="1:43" s="99" customFormat="1" ht="16">
      <c r="C24" s="148" t="s">
        <v>10412</v>
      </c>
      <c r="D24" s="153" t="s">
        <v>12240</v>
      </c>
      <c r="E24" s="111" t="s">
        <v>10413</v>
      </c>
      <c r="F24" s="82" t="s">
        <v>5485</v>
      </c>
      <c r="G24" s="82" t="s">
        <v>5705</v>
      </c>
      <c r="H24" s="99" t="s">
        <v>958</v>
      </c>
      <c r="I24" s="99" t="s">
        <v>4759</v>
      </c>
      <c r="O24" s="82" t="s">
        <v>5581</v>
      </c>
      <c r="P24" s="81" t="s">
        <v>5760</v>
      </c>
      <c r="Q24" s="155" t="s">
        <v>9050</v>
      </c>
      <c r="S24" s="81" t="s">
        <v>7663</v>
      </c>
      <c r="T24" s="81" t="s">
        <v>7676</v>
      </c>
      <c r="U24" s="81" t="s">
        <v>7664</v>
      </c>
      <c r="V24" s="81" t="s">
        <v>7665</v>
      </c>
      <c r="W24" s="113" t="s">
        <v>7666</v>
      </c>
      <c r="AB24" s="115">
        <v>45679</v>
      </c>
      <c r="AC24" s="178" t="s">
        <v>12894</v>
      </c>
      <c r="AD24" s="172" t="s">
        <v>11803</v>
      </c>
      <c r="AE24" s="116" t="s">
        <v>11851</v>
      </c>
      <c r="AF24" s="177" t="s">
        <v>11824</v>
      </c>
      <c r="AG24" s="172" t="s">
        <v>11806</v>
      </c>
      <c r="AH24" s="171" t="s">
        <v>11807</v>
      </c>
      <c r="AK24" s="116" t="s">
        <v>11852</v>
      </c>
      <c r="AL24" s="116" t="s">
        <v>11853</v>
      </c>
      <c r="AO24"/>
      <c r="AP24"/>
    </row>
    <row r="25" spans="1:43" s="99" customFormat="1" ht="16">
      <c r="C25" s="148" t="s">
        <v>10426</v>
      </c>
      <c r="D25" s="153" t="s">
        <v>12239</v>
      </c>
      <c r="E25" s="111" t="s">
        <v>10427</v>
      </c>
      <c r="F25" s="82" t="s">
        <v>5578</v>
      </c>
      <c r="G25" s="82"/>
      <c r="H25" s="99" t="s">
        <v>958</v>
      </c>
      <c r="I25" s="99" t="s">
        <v>4783</v>
      </c>
      <c r="O25" s="82" t="s">
        <v>5697</v>
      </c>
      <c r="P25" s="81" t="s">
        <v>6077</v>
      </c>
      <c r="Q25" s="155" t="s">
        <v>9051</v>
      </c>
      <c r="S25" s="81" t="s">
        <v>5661</v>
      </c>
      <c r="T25" s="81" t="s">
        <v>8379</v>
      </c>
      <c r="U25" s="81" t="s">
        <v>8377</v>
      </c>
      <c r="V25" s="81" t="s">
        <v>8380</v>
      </c>
      <c r="W25" s="81" t="s">
        <v>8381</v>
      </c>
      <c r="AB25" s="115">
        <v>45680</v>
      </c>
      <c r="AC25" s="178" t="s">
        <v>12895</v>
      </c>
      <c r="AD25" s="172" t="s">
        <v>11808</v>
      </c>
      <c r="AE25" s="116" t="s">
        <v>11854</v>
      </c>
      <c r="AF25" s="177" t="s">
        <v>11824</v>
      </c>
      <c r="AG25" s="172" t="s">
        <v>11806</v>
      </c>
      <c r="AH25" s="171" t="s">
        <v>11807</v>
      </c>
      <c r="AK25" s="116" t="s">
        <v>11855</v>
      </c>
      <c r="AL25" s="116" t="s">
        <v>11856</v>
      </c>
      <c r="AO25"/>
      <c r="AP25"/>
    </row>
    <row r="26" spans="1:43" s="99" customFormat="1" ht="16">
      <c r="C26" s="148" t="s">
        <v>10790</v>
      </c>
      <c r="D26" s="153" t="s">
        <v>12238</v>
      </c>
      <c r="E26" s="111" t="s">
        <v>10878</v>
      </c>
      <c r="F26" s="82" t="s">
        <v>5660</v>
      </c>
      <c r="G26" s="82" t="s">
        <v>7060</v>
      </c>
      <c r="H26" s="99" t="s">
        <v>958</v>
      </c>
      <c r="I26" s="99" t="s">
        <v>4759</v>
      </c>
      <c r="O26" s="82" t="s">
        <v>6250</v>
      </c>
      <c r="P26" s="81" t="s">
        <v>5936</v>
      </c>
      <c r="Q26" s="155" t="s">
        <v>9052</v>
      </c>
      <c r="S26" s="81" t="s">
        <v>8506</v>
      </c>
      <c r="T26" s="113" t="s">
        <v>8509</v>
      </c>
      <c r="U26" s="81" t="s">
        <v>8493</v>
      </c>
      <c r="V26" s="81" t="s">
        <v>8510</v>
      </c>
      <c r="W26" s="81" t="s">
        <v>8511</v>
      </c>
      <c r="AB26" s="115">
        <v>45681</v>
      </c>
      <c r="AC26" s="178" t="s">
        <v>12896</v>
      </c>
      <c r="AD26" s="172" t="s">
        <v>11810</v>
      </c>
      <c r="AE26" s="116" t="s">
        <v>11857</v>
      </c>
      <c r="AF26" s="177" t="s">
        <v>11824</v>
      </c>
      <c r="AG26" s="172" t="s">
        <v>11806</v>
      </c>
      <c r="AH26" s="171" t="s">
        <v>11807</v>
      </c>
      <c r="AK26" s="116" t="s">
        <v>11858</v>
      </c>
      <c r="AL26" s="116" t="s">
        <v>11859</v>
      </c>
      <c r="AO26"/>
      <c r="AP26"/>
    </row>
    <row r="27" spans="1:43" s="99" customFormat="1" ht="16">
      <c r="C27" s="148" t="s">
        <v>10791</v>
      </c>
      <c r="D27" s="153" t="s">
        <v>12237</v>
      </c>
      <c r="E27" s="111" t="s">
        <v>10877</v>
      </c>
      <c r="F27" s="82" t="s">
        <v>5661</v>
      </c>
      <c r="G27" s="82" t="s">
        <v>5662</v>
      </c>
      <c r="H27" s="99" t="s">
        <v>8377</v>
      </c>
      <c r="I27" s="99" t="s">
        <v>5661</v>
      </c>
      <c r="O27" s="82" t="s">
        <v>6576</v>
      </c>
      <c r="P27" s="81" t="s">
        <v>6583</v>
      </c>
      <c r="Q27" s="155" t="s">
        <v>9053</v>
      </c>
      <c r="S27" s="81" t="s">
        <v>8819</v>
      </c>
      <c r="T27" s="81" t="s">
        <v>8821</v>
      </c>
      <c r="U27" s="81" t="s">
        <v>4028</v>
      </c>
      <c r="V27" s="81" t="s">
        <v>8822</v>
      </c>
      <c r="W27" s="81" t="s">
        <v>8823</v>
      </c>
      <c r="AB27" s="115">
        <v>45682</v>
      </c>
      <c r="AC27" s="178" t="s">
        <v>12897</v>
      </c>
      <c r="AD27" s="172" t="s">
        <v>11812</v>
      </c>
      <c r="AE27" s="116" t="s">
        <v>11860</v>
      </c>
      <c r="AF27" s="177" t="s">
        <v>11824</v>
      </c>
      <c r="AG27" s="172" t="s">
        <v>11806</v>
      </c>
      <c r="AH27" s="171" t="s">
        <v>11807</v>
      </c>
      <c r="AK27" s="116" t="s">
        <v>11861</v>
      </c>
      <c r="AL27" s="116" t="s">
        <v>11862</v>
      </c>
      <c r="AO27"/>
      <c r="AP27"/>
    </row>
    <row r="28" spans="1:43" s="99" customFormat="1" ht="16">
      <c r="C28" s="148" t="s">
        <v>11456</v>
      </c>
      <c r="D28" s="153" t="s">
        <v>12236</v>
      </c>
      <c r="E28" s="111" t="s">
        <v>11457</v>
      </c>
      <c r="F28" s="82" t="s">
        <v>5703</v>
      </c>
      <c r="G28" s="82" t="s">
        <v>5800</v>
      </c>
      <c r="H28" s="99" t="s">
        <v>8014</v>
      </c>
      <c r="I28" s="99" t="s">
        <v>5737</v>
      </c>
      <c r="O28" s="82" t="s">
        <v>6957</v>
      </c>
      <c r="P28" s="81" t="s">
        <v>6966</v>
      </c>
      <c r="Q28" s="155" t="s">
        <v>9054</v>
      </c>
      <c r="S28" s="81" t="s">
        <v>5119</v>
      </c>
      <c r="T28" s="81" t="s">
        <v>12394</v>
      </c>
      <c r="U28" s="81" t="s">
        <v>5115</v>
      </c>
      <c r="V28" s="81" t="s">
        <v>12411</v>
      </c>
      <c r="W28" s="81" t="s">
        <v>10362</v>
      </c>
      <c r="AB28" s="115">
        <v>45683</v>
      </c>
      <c r="AC28" s="178" t="s">
        <v>12898</v>
      </c>
      <c r="AD28" s="172" t="s">
        <v>11814</v>
      </c>
      <c r="AE28" s="116" t="s">
        <v>11863</v>
      </c>
      <c r="AF28" s="177" t="s">
        <v>11824</v>
      </c>
      <c r="AG28" s="172" t="s">
        <v>11806</v>
      </c>
      <c r="AH28" s="171" t="s">
        <v>11807</v>
      </c>
      <c r="AK28" s="116" t="s">
        <v>11864</v>
      </c>
      <c r="AL28" s="116" t="s">
        <v>11865</v>
      </c>
      <c r="AO28"/>
      <c r="AP28"/>
    </row>
    <row r="29" spans="1:43" s="99" customFormat="1" ht="16">
      <c r="C29" s="148" t="s">
        <v>11488</v>
      </c>
      <c r="D29" s="153" t="s">
        <v>12235</v>
      </c>
      <c r="E29" s="111" t="s">
        <v>11487</v>
      </c>
      <c r="F29" s="82" t="s">
        <v>5737</v>
      </c>
      <c r="G29" s="82" t="s">
        <v>5738</v>
      </c>
      <c r="H29" s="99" t="s">
        <v>5755</v>
      </c>
      <c r="I29" s="99" t="s">
        <v>5758</v>
      </c>
      <c r="O29" s="82" t="s">
        <v>7286</v>
      </c>
      <c r="P29" s="81" t="s">
        <v>7287</v>
      </c>
      <c r="Q29" s="155" t="s">
        <v>9055</v>
      </c>
      <c r="S29" s="81" t="s">
        <v>10414</v>
      </c>
      <c r="T29" s="113" t="s">
        <v>10417</v>
      </c>
      <c r="U29" s="81" t="s">
        <v>10407</v>
      </c>
      <c r="V29" s="81" t="s">
        <v>10415</v>
      </c>
      <c r="W29" s="113" t="s">
        <v>10416</v>
      </c>
      <c r="AB29" s="115">
        <v>45684</v>
      </c>
      <c r="AC29" s="178" t="s">
        <v>12899</v>
      </c>
      <c r="AD29" s="172" t="s">
        <v>11816</v>
      </c>
      <c r="AE29" s="116" t="s">
        <v>11866</v>
      </c>
      <c r="AF29" s="177" t="s">
        <v>11824</v>
      </c>
      <c r="AG29" s="172" t="s">
        <v>11806</v>
      </c>
      <c r="AH29" s="171" t="s">
        <v>11807</v>
      </c>
      <c r="AK29" s="116" t="s">
        <v>11867</v>
      </c>
      <c r="AL29" s="116" t="s">
        <v>11868</v>
      </c>
      <c r="AO29"/>
      <c r="AP29"/>
    </row>
    <row r="30" spans="1:43" s="99" customFormat="1" ht="16">
      <c r="C30" s="148" t="s">
        <v>11494</v>
      </c>
      <c r="D30" s="153" t="s">
        <v>12233</v>
      </c>
      <c r="E30" s="111" t="s">
        <v>11497</v>
      </c>
      <c r="F30" s="82" t="s">
        <v>5758</v>
      </c>
      <c r="G30" s="82" t="s">
        <v>5759</v>
      </c>
      <c r="H30" s="99" t="s">
        <v>5697</v>
      </c>
      <c r="I30" s="99" t="s">
        <v>5703</v>
      </c>
      <c r="O30" s="82" t="s">
        <v>7668</v>
      </c>
      <c r="P30" s="81" t="s">
        <v>7677</v>
      </c>
      <c r="Q30" s="155" t="s">
        <v>9056</v>
      </c>
      <c r="S30" s="81" t="s">
        <v>10493</v>
      </c>
      <c r="T30" s="113" t="s">
        <v>10492</v>
      </c>
      <c r="U30" s="81" t="s">
        <v>10430</v>
      </c>
      <c r="V30" s="81" t="s">
        <v>10437</v>
      </c>
      <c r="W30" s="81" t="s">
        <v>10436</v>
      </c>
      <c r="AB30" s="115">
        <v>45685</v>
      </c>
      <c r="AC30" s="178" t="s">
        <v>12900</v>
      </c>
      <c r="AD30" s="172" t="s">
        <v>11818</v>
      </c>
      <c r="AE30" s="116" t="s">
        <v>11869</v>
      </c>
      <c r="AF30" s="177" t="s">
        <v>11824</v>
      </c>
      <c r="AG30" s="172" t="s">
        <v>11806</v>
      </c>
      <c r="AH30" s="171" t="s">
        <v>11807</v>
      </c>
      <c r="AK30" s="116" t="s">
        <v>11870</v>
      </c>
      <c r="AL30" s="116" t="s">
        <v>11871</v>
      </c>
      <c r="AO30"/>
      <c r="AP30"/>
    </row>
    <row r="31" spans="1:43" s="99" customFormat="1" ht="16">
      <c r="C31" s="148" t="s">
        <v>11495</v>
      </c>
      <c r="D31" s="153" t="s">
        <v>12234</v>
      </c>
      <c r="E31" s="111" t="s">
        <v>11496</v>
      </c>
      <c r="F31" s="82" t="s">
        <v>5768</v>
      </c>
      <c r="G31" s="82" t="s">
        <v>5769</v>
      </c>
      <c r="H31" s="99" t="s">
        <v>12533</v>
      </c>
      <c r="I31" s="99" t="s">
        <v>5660</v>
      </c>
      <c r="O31" s="82" t="s">
        <v>8377</v>
      </c>
      <c r="P31" s="81" t="s">
        <v>8378</v>
      </c>
      <c r="Q31" s="155" t="s">
        <v>9057</v>
      </c>
      <c r="S31" s="81" t="s">
        <v>10696</v>
      </c>
      <c r="T31" s="113" t="s">
        <v>10700</v>
      </c>
      <c r="U31" s="81" t="s">
        <v>10692</v>
      </c>
      <c r="V31" s="81" t="s">
        <v>10699</v>
      </c>
      <c r="W31" s="81" t="s">
        <v>10701</v>
      </c>
      <c r="AB31" s="115">
        <v>45686</v>
      </c>
      <c r="AC31" s="178" t="s">
        <v>12901</v>
      </c>
      <c r="AD31" s="172" t="s">
        <v>11803</v>
      </c>
      <c r="AE31" s="116" t="s">
        <v>11872</v>
      </c>
      <c r="AF31" s="177" t="s">
        <v>11824</v>
      </c>
      <c r="AG31" s="172" t="s">
        <v>11806</v>
      </c>
      <c r="AH31" s="171" t="s">
        <v>11807</v>
      </c>
      <c r="AO31"/>
      <c r="AP31"/>
    </row>
    <row r="32" spans="1:43" s="99" customFormat="1" ht="16">
      <c r="C32" s="148" t="s">
        <v>11609</v>
      </c>
      <c r="D32" s="153" t="s">
        <v>12230</v>
      </c>
      <c r="E32" s="111" t="s">
        <v>11610</v>
      </c>
      <c r="F32" s="82" t="s">
        <v>5791</v>
      </c>
      <c r="G32" s="82" t="s">
        <v>5792</v>
      </c>
      <c r="H32" s="99" t="s">
        <v>6576</v>
      </c>
      <c r="I32" s="99" t="s">
        <v>5827</v>
      </c>
      <c r="O32" s="82" t="s">
        <v>8493</v>
      </c>
      <c r="P32" s="81" t="s">
        <v>8508</v>
      </c>
      <c r="Q32" s="155" t="s">
        <v>9058</v>
      </c>
      <c r="S32" s="81" t="s">
        <v>10772</v>
      </c>
      <c r="T32" s="113" t="s">
        <v>10778</v>
      </c>
      <c r="U32" s="81" t="s">
        <v>10774</v>
      </c>
      <c r="V32" s="81" t="s">
        <v>10777</v>
      </c>
      <c r="W32" s="81" t="s">
        <v>10779</v>
      </c>
      <c r="AB32" s="115">
        <v>45687</v>
      </c>
      <c r="AC32" s="178" t="s">
        <v>12902</v>
      </c>
      <c r="AD32" s="172" t="s">
        <v>11808</v>
      </c>
      <c r="AE32" s="116" t="s">
        <v>11804</v>
      </c>
      <c r="AF32" s="177" t="s">
        <v>11824</v>
      </c>
      <c r="AG32" s="172" t="s">
        <v>11806</v>
      </c>
      <c r="AH32" s="171" t="s">
        <v>11807</v>
      </c>
      <c r="AO32"/>
      <c r="AP32"/>
    </row>
    <row r="33" spans="3:34" ht="16">
      <c r="C33" s="148" t="s">
        <v>11634</v>
      </c>
      <c r="D33" s="153" t="s">
        <v>12231</v>
      </c>
      <c r="E33" s="111" t="s">
        <v>10427</v>
      </c>
      <c r="F33" s="82" t="s">
        <v>5827</v>
      </c>
      <c r="G33" s="82" t="s">
        <v>5828</v>
      </c>
      <c r="H33" s="99" t="s">
        <v>958</v>
      </c>
      <c r="I33" s="99" t="s">
        <v>5920</v>
      </c>
      <c r="O33" s="82" t="s">
        <v>4028</v>
      </c>
      <c r="P33" s="81" t="s">
        <v>8820</v>
      </c>
      <c r="Q33" s="155" t="s">
        <v>9059</v>
      </c>
      <c r="S33" s="81" t="s">
        <v>10780</v>
      </c>
      <c r="T33" s="81" t="s">
        <v>10785</v>
      </c>
      <c r="U33" s="81" t="s">
        <v>10782</v>
      </c>
      <c r="V33" s="81" t="s">
        <v>10786</v>
      </c>
      <c r="W33" s="81" t="s">
        <v>10779</v>
      </c>
      <c r="X33" s="99"/>
      <c r="Y33" s="99"/>
      <c r="Z33" s="99"/>
      <c r="AB33" s="115">
        <v>45688</v>
      </c>
      <c r="AC33" s="178" t="s">
        <v>12903</v>
      </c>
      <c r="AD33" s="172" t="s">
        <v>11810</v>
      </c>
      <c r="AE33" s="116" t="s">
        <v>11809</v>
      </c>
      <c r="AF33" s="177" t="s">
        <v>11824</v>
      </c>
      <c r="AG33" s="172" t="s">
        <v>11806</v>
      </c>
      <c r="AH33" s="171" t="s">
        <v>11807</v>
      </c>
    </row>
    <row r="34" spans="3:34" ht="16">
      <c r="C34" s="183" t="s">
        <v>11965</v>
      </c>
      <c r="D34" s="184" t="s">
        <v>12232</v>
      </c>
      <c r="E34" s="111" t="s">
        <v>11966</v>
      </c>
      <c r="F34" s="82" t="s">
        <v>5920</v>
      </c>
      <c r="G34" s="82" t="s">
        <v>5921</v>
      </c>
      <c r="H34" s="99" t="s">
        <v>5698</v>
      </c>
      <c r="I34" s="99" t="s">
        <v>6141</v>
      </c>
      <c r="O34" s="82" t="s">
        <v>10407</v>
      </c>
      <c r="P34" s="81" t="s">
        <v>10425</v>
      </c>
      <c r="Q34" s="155" t="s">
        <v>10419</v>
      </c>
      <c r="S34" s="81" t="s">
        <v>10941</v>
      </c>
      <c r="T34" s="113" t="s">
        <v>10942</v>
      </c>
      <c r="U34" s="81" t="s">
        <v>10928</v>
      </c>
      <c r="V34" s="81" t="s">
        <v>11292</v>
      </c>
      <c r="W34" s="81" t="s">
        <v>10943</v>
      </c>
      <c r="X34" s="99"/>
      <c r="Y34" s="99"/>
      <c r="Z34" s="99"/>
      <c r="AB34" s="115">
        <v>45689</v>
      </c>
      <c r="AC34" s="178" t="s">
        <v>12904</v>
      </c>
      <c r="AD34" s="172" t="s">
        <v>11812</v>
      </c>
      <c r="AE34" s="116" t="s">
        <v>11811</v>
      </c>
      <c r="AF34" s="177" t="s">
        <v>11824</v>
      </c>
      <c r="AG34" s="172" t="s">
        <v>11806</v>
      </c>
      <c r="AH34" s="171" t="s">
        <v>11807</v>
      </c>
    </row>
    <row r="35" spans="3:34" ht="16">
      <c r="C35" s="183" t="s">
        <v>11984</v>
      </c>
      <c r="D35" s="184" t="s">
        <v>13967</v>
      </c>
      <c r="E35" s="111" t="s">
        <v>11985</v>
      </c>
      <c r="F35" s="82" t="s">
        <v>6253</v>
      </c>
      <c r="G35" s="82" t="s">
        <v>5935</v>
      </c>
      <c r="H35" s="99" t="s">
        <v>5698</v>
      </c>
      <c r="I35" s="99" t="s">
        <v>6141</v>
      </c>
      <c r="O35" s="82" t="s">
        <v>10430</v>
      </c>
      <c r="P35" s="81" t="s">
        <v>10438</v>
      </c>
      <c r="Q35" s="155"/>
      <c r="S35" s="81" t="s">
        <v>10956</v>
      </c>
      <c r="T35" s="163">
        <v>171011534</v>
      </c>
      <c r="U35" s="81" t="s">
        <v>10952</v>
      </c>
      <c r="V35" s="81" t="s">
        <v>10960</v>
      </c>
      <c r="W35" s="113" t="s">
        <v>10961</v>
      </c>
      <c r="X35" s="99"/>
      <c r="Y35" s="99"/>
      <c r="Z35" s="99"/>
      <c r="AB35" s="115">
        <v>45690</v>
      </c>
      <c r="AC35" s="178" t="s">
        <v>12905</v>
      </c>
      <c r="AD35" s="172" t="s">
        <v>11814</v>
      </c>
      <c r="AE35" s="116" t="s">
        <v>11813</v>
      </c>
      <c r="AF35" s="177" t="s">
        <v>11824</v>
      </c>
      <c r="AG35" s="172" t="s">
        <v>11806</v>
      </c>
      <c r="AH35" s="171" t="s">
        <v>11807</v>
      </c>
    </row>
    <row r="36" spans="3:34" ht="16">
      <c r="C36" s="148" t="s">
        <v>12102</v>
      </c>
      <c r="D36" s="153" t="s">
        <v>12105</v>
      </c>
      <c r="E36" s="111" t="s">
        <v>12104</v>
      </c>
      <c r="F36" s="82" t="s">
        <v>6141</v>
      </c>
      <c r="G36" s="82" t="s">
        <v>6142</v>
      </c>
      <c r="H36" s="99" t="s">
        <v>3702</v>
      </c>
      <c r="I36" s="99" t="s">
        <v>4778</v>
      </c>
      <c r="O36" s="82" t="s">
        <v>5765</v>
      </c>
      <c r="P36" s="81" t="s">
        <v>10654</v>
      </c>
      <c r="Q36" s="155"/>
      <c r="S36" s="81" t="s">
        <v>11012</v>
      </c>
      <c r="T36" s="163">
        <v>110571200</v>
      </c>
      <c r="U36" s="81" t="s">
        <v>11006</v>
      </c>
      <c r="V36" s="81" t="s">
        <v>11015</v>
      </c>
      <c r="W36" s="113" t="s">
        <v>11016</v>
      </c>
      <c r="X36" s="99"/>
      <c r="Y36" s="99"/>
      <c r="Z36" s="99"/>
      <c r="AB36" s="115">
        <v>45691</v>
      </c>
      <c r="AC36" s="178" t="s">
        <v>12906</v>
      </c>
      <c r="AD36" s="172" t="s">
        <v>11816</v>
      </c>
      <c r="AE36" s="116" t="s">
        <v>11815</v>
      </c>
      <c r="AF36" s="177" t="s">
        <v>11824</v>
      </c>
      <c r="AG36" s="172" t="s">
        <v>11806</v>
      </c>
      <c r="AH36" s="171" t="s">
        <v>11807</v>
      </c>
    </row>
    <row r="37" spans="3:34" ht="16">
      <c r="C37" s="183" t="s">
        <v>12199</v>
      </c>
      <c r="D37" s="153" t="s">
        <v>12208</v>
      </c>
      <c r="E37" s="111" t="s">
        <v>12200</v>
      </c>
      <c r="F37" s="82" t="s">
        <v>6960</v>
      </c>
      <c r="G37" s="82" t="s">
        <v>6965</v>
      </c>
      <c r="H37" s="99" t="s">
        <v>6957</v>
      </c>
      <c r="I37" s="99" t="s">
        <v>6960</v>
      </c>
      <c r="O37" s="82" t="s">
        <v>10692</v>
      </c>
      <c r="P37" s="81" t="s">
        <v>10697</v>
      </c>
      <c r="Q37" s="155" t="s">
        <v>10698</v>
      </c>
      <c r="S37" s="81" t="s">
        <v>11075</v>
      </c>
      <c r="T37" s="163" t="s">
        <v>11076</v>
      </c>
      <c r="U37" s="81" t="s">
        <v>11066</v>
      </c>
      <c r="V37" s="81" t="s">
        <v>11077</v>
      </c>
      <c r="W37" s="113" t="s">
        <v>11515</v>
      </c>
      <c r="X37" s="99"/>
      <c r="Y37" s="99"/>
      <c r="Z37" s="99"/>
      <c r="AB37" s="115">
        <v>45692</v>
      </c>
      <c r="AC37" s="178" t="s">
        <v>12907</v>
      </c>
      <c r="AD37" s="172" t="s">
        <v>11818</v>
      </c>
      <c r="AE37" s="116" t="s">
        <v>11817</v>
      </c>
      <c r="AF37" s="177" t="s">
        <v>11824</v>
      </c>
      <c r="AG37" s="172" t="s">
        <v>11806</v>
      </c>
      <c r="AH37" s="171" t="s">
        <v>11807</v>
      </c>
    </row>
    <row r="38" spans="3:34" ht="16">
      <c r="C38" s="183" t="s">
        <v>12228</v>
      </c>
      <c r="D38" s="153" t="s">
        <v>12336</v>
      </c>
      <c r="E38" s="111" t="s">
        <v>12229</v>
      </c>
      <c r="F38" s="82" t="s">
        <v>7163</v>
      </c>
      <c r="G38" s="82" t="s">
        <v>7167</v>
      </c>
      <c r="H38" s="99" t="s">
        <v>12533</v>
      </c>
      <c r="I38" s="99" t="s">
        <v>7433</v>
      </c>
      <c r="O38" s="82" t="s">
        <v>10774</v>
      </c>
      <c r="P38" s="81" t="s">
        <v>10775</v>
      </c>
      <c r="Q38" s="155" t="s">
        <v>10776</v>
      </c>
      <c r="S38" s="81" t="s">
        <v>11306</v>
      </c>
      <c r="T38" s="163" t="s">
        <v>11307</v>
      </c>
      <c r="U38" s="81" t="s">
        <v>11304</v>
      </c>
      <c r="V38" s="81" t="s">
        <v>11308</v>
      </c>
      <c r="W38" s="113" t="s">
        <v>11309</v>
      </c>
      <c r="AB38" s="115">
        <v>45693</v>
      </c>
      <c r="AC38" s="178" t="s">
        <v>12908</v>
      </c>
      <c r="AD38" s="172" t="s">
        <v>11803</v>
      </c>
      <c r="AE38" s="116" t="s">
        <v>11819</v>
      </c>
      <c r="AF38" s="177" t="s">
        <v>11824</v>
      </c>
      <c r="AG38" s="172" t="s">
        <v>11806</v>
      </c>
      <c r="AH38" s="171" t="s">
        <v>11807</v>
      </c>
    </row>
    <row r="39" spans="3:34" ht="16">
      <c r="C39" s="183" t="s">
        <v>13319</v>
      </c>
      <c r="D39" s="153" t="s">
        <v>13320</v>
      </c>
      <c r="E39" s="111" t="s">
        <v>13321</v>
      </c>
      <c r="F39" s="82" t="s">
        <v>7284</v>
      </c>
      <c r="G39" s="82" t="s">
        <v>7285</v>
      </c>
      <c r="H39" s="99" t="s">
        <v>12533</v>
      </c>
      <c r="I39" s="99" t="s">
        <v>4759</v>
      </c>
      <c r="O39" s="82" t="s">
        <v>10782</v>
      </c>
      <c r="P39" s="81" t="s">
        <v>10783</v>
      </c>
      <c r="Q39" s="155" t="s">
        <v>10784</v>
      </c>
      <c r="S39" s="81" t="s">
        <v>11381</v>
      </c>
      <c r="T39" s="163" t="s">
        <v>11383</v>
      </c>
      <c r="U39" s="81" t="s">
        <v>11371</v>
      </c>
      <c r="V39" s="81" t="s">
        <v>11384</v>
      </c>
      <c r="W39" s="113" t="s">
        <v>11385</v>
      </c>
      <c r="AB39" s="115">
        <v>45694</v>
      </c>
      <c r="AC39" s="178" t="s">
        <v>12909</v>
      </c>
      <c r="AD39" s="172" t="s">
        <v>11808</v>
      </c>
      <c r="AE39" s="116" t="s">
        <v>11820</v>
      </c>
      <c r="AF39" s="177" t="s">
        <v>11824</v>
      </c>
      <c r="AG39" s="172" t="s">
        <v>11806</v>
      </c>
      <c r="AH39" s="171" t="s">
        <v>11807</v>
      </c>
    </row>
    <row r="40" spans="3:34" ht="16">
      <c r="C40" s="183" t="s">
        <v>13396</v>
      </c>
      <c r="D40" s="153" t="s">
        <v>13397</v>
      </c>
      <c r="E40" t="s">
        <v>13398</v>
      </c>
      <c r="F40" s="82" t="s">
        <v>13473</v>
      </c>
      <c r="G40" s="82" t="s">
        <v>7458</v>
      </c>
      <c r="H40" s="99" t="s">
        <v>7286</v>
      </c>
      <c r="I40" s="99" t="s">
        <v>7284</v>
      </c>
      <c r="O40" s="82" t="s">
        <v>10928</v>
      </c>
      <c r="P40" s="81" t="s">
        <v>11290</v>
      </c>
      <c r="Q40" s="155" t="s">
        <v>11291</v>
      </c>
      <c r="S40" s="81" t="s">
        <v>11448</v>
      </c>
      <c r="T40" s="163" t="s">
        <v>11450</v>
      </c>
      <c r="U40" s="81" t="s">
        <v>11443</v>
      </c>
      <c r="V40" s="81" t="s">
        <v>11451</v>
      </c>
      <c r="W40" s="113" t="s">
        <v>11309</v>
      </c>
      <c r="AB40" s="115">
        <v>45695</v>
      </c>
      <c r="AC40" s="178" t="s">
        <v>12910</v>
      </c>
      <c r="AD40" s="172" t="s">
        <v>11810</v>
      </c>
      <c r="AE40" s="116" t="s">
        <v>11821</v>
      </c>
      <c r="AF40" s="177" t="s">
        <v>11824</v>
      </c>
      <c r="AG40" s="172" t="s">
        <v>11806</v>
      </c>
      <c r="AH40" s="171" t="s">
        <v>11807</v>
      </c>
    </row>
    <row r="41" spans="3:34" ht="16">
      <c r="C41" s="183" t="s">
        <v>13437</v>
      </c>
      <c r="D41" s="184" t="s">
        <v>13436</v>
      </c>
      <c r="E41" s="111" t="s">
        <v>13438</v>
      </c>
      <c r="F41" s="82" t="s">
        <v>8506</v>
      </c>
      <c r="G41" s="82" t="s">
        <v>8507</v>
      </c>
      <c r="H41" s="99" t="s">
        <v>7668</v>
      </c>
      <c r="I41" s="99" t="s">
        <v>7663</v>
      </c>
      <c r="O41" s="82" t="s">
        <v>10952</v>
      </c>
      <c r="P41" s="162" t="s">
        <v>10958</v>
      </c>
      <c r="Q41" s="155" t="s">
        <v>10959</v>
      </c>
      <c r="S41" s="81" t="s">
        <v>11602</v>
      </c>
      <c r="T41" s="163" t="s">
        <v>11605</v>
      </c>
      <c r="U41" s="81" t="s">
        <v>11597</v>
      </c>
      <c r="V41" s="81" t="s">
        <v>11606</v>
      </c>
      <c r="W41" s="113"/>
      <c r="AB41" s="115">
        <v>45696</v>
      </c>
      <c r="AC41" s="178" t="s">
        <v>12911</v>
      </c>
      <c r="AD41" s="172" t="s">
        <v>11812</v>
      </c>
      <c r="AE41" s="116" t="s">
        <v>11822</v>
      </c>
      <c r="AF41" s="177" t="s">
        <v>11824</v>
      </c>
      <c r="AG41" s="172" t="s">
        <v>11806</v>
      </c>
      <c r="AH41" s="171" t="s">
        <v>11807</v>
      </c>
    </row>
    <row r="42" spans="3:34" ht="16">
      <c r="C42" s="183" t="s">
        <v>13587</v>
      </c>
      <c r="D42" s="184" t="s">
        <v>13598</v>
      </c>
      <c r="E42" s="111" t="s">
        <v>13599</v>
      </c>
      <c r="F42" s="82" t="s">
        <v>8819</v>
      </c>
      <c r="G42" s="82" t="s">
        <v>8824</v>
      </c>
      <c r="H42" s="99" t="s">
        <v>8014</v>
      </c>
      <c r="I42" s="99" t="s">
        <v>8015</v>
      </c>
      <c r="O42" s="82" t="s">
        <v>11006</v>
      </c>
      <c r="P42" s="162" t="s">
        <v>11013</v>
      </c>
      <c r="Q42" s="155" t="s">
        <v>11014</v>
      </c>
      <c r="S42" s="81" t="s">
        <v>11621</v>
      </c>
      <c r="T42" s="163" t="s">
        <v>11624</v>
      </c>
      <c r="U42" s="81" t="s">
        <v>11612</v>
      </c>
      <c r="V42" s="81" t="s">
        <v>11625</v>
      </c>
      <c r="W42" s="113" t="s">
        <v>11626</v>
      </c>
      <c r="AB42" s="115">
        <v>45697</v>
      </c>
      <c r="AC42" s="178" t="s">
        <v>12912</v>
      </c>
      <c r="AD42" s="172" t="s">
        <v>11814</v>
      </c>
      <c r="AE42" s="116" t="s">
        <v>11873</v>
      </c>
      <c r="AF42" s="177" t="s">
        <v>11824</v>
      </c>
      <c r="AG42" s="172" t="s">
        <v>11806</v>
      </c>
      <c r="AH42" s="171" t="s">
        <v>11807</v>
      </c>
    </row>
    <row r="43" spans="3:34" ht="16">
      <c r="C43" s="183" t="s">
        <v>13973</v>
      </c>
      <c r="D43" s="184" t="s">
        <v>13976</v>
      </c>
      <c r="E43" s="111" t="s">
        <v>13974</v>
      </c>
      <c r="F43" s="82" t="s">
        <v>10278</v>
      </c>
      <c r="G43" s="82" t="s">
        <v>10279</v>
      </c>
      <c r="H43" s="99" t="s">
        <v>5934</v>
      </c>
      <c r="I43" s="99" t="s">
        <v>4767</v>
      </c>
      <c r="O43" s="82" t="s">
        <v>11066</v>
      </c>
      <c r="P43" s="162" t="s">
        <v>11513</v>
      </c>
      <c r="Q43" s="155" t="s">
        <v>11514</v>
      </c>
      <c r="S43" s="81" t="s">
        <v>12103</v>
      </c>
      <c r="T43" s="163" t="s">
        <v>13323</v>
      </c>
      <c r="U43" s="81" t="s">
        <v>12097</v>
      </c>
      <c r="V43" s="81" t="s">
        <v>12106</v>
      </c>
      <c r="W43" s="113" t="s">
        <v>12107</v>
      </c>
      <c r="AB43" s="115">
        <v>45698</v>
      </c>
      <c r="AC43" s="178" t="s">
        <v>12913</v>
      </c>
      <c r="AD43" s="172" t="s">
        <v>11816</v>
      </c>
      <c r="AE43" s="116" t="s">
        <v>11823</v>
      </c>
      <c r="AF43" s="177" t="s">
        <v>11874</v>
      </c>
      <c r="AG43" s="172" t="s">
        <v>11806</v>
      </c>
      <c r="AH43" s="171" t="s">
        <v>11807</v>
      </c>
    </row>
    <row r="44" spans="3:34">
      <c r="F44" s="82" t="s">
        <v>7433</v>
      </c>
      <c r="G44" s="82" t="s">
        <v>10377</v>
      </c>
      <c r="H44" s="99" t="s">
        <v>8493</v>
      </c>
      <c r="I44" s="99" t="s">
        <v>8506</v>
      </c>
      <c r="O44" s="82" t="s">
        <v>11304</v>
      </c>
      <c r="P44" s="162" t="s">
        <v>12108</v>
      </c>
      <c r="Q44" s="155" t="s">
        <v>11305</v>
      </c>
      <c r="S44" s="81" t="s">
        <v>12201</v>
      </c>
      <c r="T44" s="163" t="s">
        <v>12204</v>
      </c>
      <c r="U44" s="81" t="s">
        <v>2176</v>
      </c>
      <c r="V44" s="81" t="s">
        <v>12205</v>
      </c>
      <c r="W44" s="113" t="s">
        <v>12206</v>
      </c>
      <c r="AB44" s="115">
        <v>45699</v>
      </c>
      <c r="AC44" s="178" t="s">
        <v>12914</v>
      </c>
      <c r="AD44" s="172" t="s">
        <v>11818</v>
      </c>
      <c r="AE44" s="116" t="s">
        <v>11825</v>
      </c>
      <c r="AF44" s="177" t="s">
        <v>11874</v>
      </c>
      <c r="AG44" s="172" t="s">
        <v>11806</v>
      </c>
      <c r="AH44" s="171" t="s">
        <v>11807</v>
      </c>
    </row>
    <row r="45" spans="3:34">
      <c r="F45" s="82" t="s">
        <v>10414</v>
      </c>
      <c r="G45" s="82" t="s">
        <v>10418</v>
      </c>
      <c r="H45" s="99" t="s">
        <v>4028</v>
      </c>
      <c r="I45" s="99" t="s">
        <v>8819</v>
      </c>
      <c r="O45" s="82" t="s">
        <v>11371</v>
      </c>
      <c r="P45" s="162" t="s">
        <v>12109</v>
      </c>
      <c r="Q45" s="155" t="s">
        <v>11386</v>
      </c>
      <c r="S45" s="81" t="s">
        <v>12339</v>
      </c>
      <c r="T45" s="163" t="s">
        <v>12340</v>
      </c>
      <c r="U45" s="81" t="s">
        <v>12338</v>
      </c>
      <c r="V45" s="81" t="s">
        <v>12341</v>
      </c>
      <c r="W45" s="113" t="s">
        <v>12342</v>
      </c>
      <c r="AB45" s="115">
        <v>45700</v>
      </c>
      <c r="AC45" s="178" t="s">
        <v>12915</v>
      </c>
      <c r="AD45" s="172" t="s">
        <v>11803</v>
      </c>
      <c r="AE45" s="116" t="s">
        <v>11826</v>
      </c>
      <c r="AF45" s="177" t="s">
        <v>11874</v>
      </c>
      <c r="AG45" s="172" t="s">
        <v>11806</v>
      </c>
      <c r="AH45" s="171" t="s">
        <v>11807</v>
      </c>
    </row>
    <row r="46" spans="3:34">
      <c r="F46" s="82" t="s">
        <v>10493</v>
      </c>
      <c r="G46" s="82" t="s">
        <v>10494</v>
      </c>
      <c r="H46" s="99" t="s">
        <v>10271</v>
      </c>
      <c r="I46" s="99" t="s">
        <v>10278</v>
      </c>
      <c r="O46" s="82" t="s">
        <v>11443</v>
      </c>
      <c r="P46" s="162" t="s">
        <v>12110</v>
      </c>
      <c r="Q46" s="155" t="s">
        <v>11452</v>
      </c>
      <c r="S46" s="81" t="s">
        <v>12806</v>
      </c>
      <c r="T46" s="163">
        <v>11454872</v>
      </c>
      <c r="U46" s="81" t="s">
        <v>12790</v>
      </c>
      <c r="V46" s="81" t="s">
        <v>12809</v>
      </c>
      <c r="W46" s="113" t="s">
        <v>12810</v>
      </c>
      <c r="AB46" s="115">
        <v>45701</v>
      </c>
      <c r="AC46" s="178" t="s">
        <v>12916</v>
      </c>
      <c r="AD46" s="172" t="s">
        <v>11808</v>
      </c>
      <c r="AE46" s="116" t="s">
        <v>11827</v>
      </c>
      <c r="AF46" s="177" t="s">
        <v>11874</v>
      </c>
      <c r="AG46" s="172" t="s">
        <v>11806</v>
      </c>
      <c r="AH46" s="171" t="s">
        <v>11807</v>
      </c>
    </row>
    <row r="47" spans="3:34">
      <c r="F47" s="82" t="s">
        <v>10696</v>
      </c>
      <c r="G47" s="160" t="s">
        <v>10702</v>
      </c>
      <c r="H47" s="99" t="s">
        <v>10407</v>
      </c>
      <c r="I47" s="99" t="s">
        <v>10414</v>
      </c>
      <c r="O47" s="82" t="s">
        <v>11490</v>
      </c>
      <c r="P47" s="162" t="s">
        <v>12111</v>
      </c>
      <c r="Q47" s="155" t="s">
        <v>11492</v>
      </c>
      <c r="S47" s="81" t="s">
        <v>11163</v>
      </c>
      <c r="T47" s="163" t="s">
        <v>11164</v>
      </c>
      <c r="U47" s="81" t="s">
        <v>12847</v>
      </c>
      <c r="V47" s="81" t="s">
        <v>12838</v>
      </c>
      <c r="W47" s="113" t="s">
        <v>11180</v>
      </c>
      <c r="AB47" s="115">
        <v>45702</v>
      </c>
      <c r="AC47" s="178" t="s">
        <v>12917</v>
      </c>
      <c r="AD47" s="172" t="s">
        <v>11810</v>
      </c>
      <c r="AE47" s="116" t="s">
        <v>11830</v>
      </c>
      <c r="AF47" s="177" t="s">
        <v>11874</v>
      </c>
      <c r="AG47" s="172" t="s">
        <v>11806</v>
      </c>
      <c r="AH47" s="171" t="s">
        <v>11807</v>
      </c>
    </row>
    <row r="48" spans="3:34">
      <c r="F48" s="82" t="s">
        <v>10772</v>
      </c>
      <c r="G48" s="160" t="s">
        <v>10773</v>
      </c>
      <c r="H48" s="99" t="s">
        <v>10430</v>
      </c>
      <c r="I48" s="99" t="s">
        <v>10493</v>
      </c>
      <c r="O48" s="82" t="s">
        <v>11729</v>
      </c>
      <c r="P48" s="162" t="s">
        <v>12112</v>
      </c>
      <c r="Q48" s="155" t="s">
        <v>11604</v>
      </c>
      <c r="S48" s="81" t="s">
        <v>13336</v>
      </c>
      <c r="T48" s="163" t="s">
        <v>13339</v>
      </c>
      <c r="U48" s="81" t="s">
        <v>13348</v>
      </c>
      <c r="V48" s="81" t="s">
        <v>13340</v>
      </c>
      <c r="W48" s="113" t="s">
        <v>13341</v>
      </c>
      <c r="AB48" s="115">
        <v>45703</v>
      </c>
      <c r="AC48" s="178" t="s">
        <v>12918</v>
      </c>
      <c r="AD48" s="172" t="s">
        <v>11812</v>
      </c>
      <c r="AE48" s="116" t="s">
        <v>11833</v>
      </c>
      <c r="AF48" s="177" t="s">
        <v>11874</v>
      </c>
      <c r="AG48" s="172" t="s">
        <v>11806</v>
      </c>
      <c r="AH48" s="171" t="s">
        <v>11807</v>
      </c>
    </row>
    <row r="49" spans="6:34">
      <c r="F49" s="82" t="s">
        <v>10780</v>
      </c>
      <c r="G49" s="160" t="s">
        <v>10781</v>
      </c>
      <c r="H49" s="99" t="s">
        <v>5765</v>
      </c>
      <c r="I49" s="99" t="s">
        <v>5768</v>
      </c>
      <c r="O49" s="160" t="s">
        <v>11612</v>
      </c>
      <c r="P49" s="162" t="s">
        <v>12113</v>
      </c>
      <c r="Q49" s="155" t="s">
        <v>11623</v>
      </c>
      <c r="S49" s="81" t="s">
        <v>7457</v>
      </c>
      <c r="T49" s="163" t="s">
        <v>10884</v>
      </c>
      <c r="U49" s="81" t="s">
        <v>13464</v>
      </c>
      <c r="V49" s="81" t="s">
        <v>13472</v>
      </c>
      <c r="W49" s="113" t="s">
        <v>6048</v>
      </c>
      <c r="AB49" s="115">
        <v>45704</v>
      </c>
      <c r="AC49" s="178" t="s">
        <v>12919</v>
      </c>
      <c r="AD49" s="172" t="s">
        <v>11814</v>
      </c>
      <c r="AE49" s="116" t="s">
        <v>11836</v>
      </c>
      <c r="AF49" s="177" t="s">
        <v>11874</v>
      </c>
      <c r="AG49" s="172" t="s">
        <v>11806</v>
      </c>
      <c r="AH49" s="171" t="s">
        <v>11807</v>
      </c>
    </row>
    <row r="50" spans="6:34">
      <c r="F50" s="82" t="s">
        <v>10941</v>
      </c>
      <c r="G50" s="82" t="s">
        <v>11289</v>
      </c>
      <c r="H50" s="99" t="s">
        <v>10692</v>
      </c>
      <c r="I50" s="99" t="s">
        <v>10696</v>
      </c>
      <c r="O50" s="160" t="s">
        <v>12097</v>
      </c>
      <c r="P50" s="162" t="s">
        <v>14506</v>
      </c>
      <c r="Q50" s="155" t="s">
        <v>14507</v>
      </c>
      <c r="S50" s="81" t="s">
        <v>13559</v>
      </c>
      <c r="T50" s="163" t="s">
        <v>13562</v>
      </c>
      <c r="U50" s="81" t="s">
        <v>13558</v>
      </c>
      <c r="V50" s="81" t="s">
        <v>13563</v>
      </c>
      <c r="W50" s="113" t="s">
        <v>13564</v>
      </c>
      <c r="AB50" s="115">
        <v>45705</v>
      </c>
      <c r="AC50" s="178" t="s">
        <v>12920</v>
      </c>
      <c r="AD50" s="172" t="s">
        <v>11816</v>
      </c>
      <c r="AE50" s="116" t="s">
        <v>11839</v>
      </c>
      <c r="AF50" s="177" t="s">
        <v>11874</v>
      </c>
      <c r="AG50" s="172" t="s">
        <v>11806</v>
      </c>
      <c r="AH50" s="171" t="s">
        <v>11807</v>
      </c>
    </row>
    <row r="51" spans="6:34">
      <c r="F51" s="82" t="s">
        <v>10956</v>
      </c>
      <c r="G51" s="160" t="s">
        <v>10957</v>
      </c>
      <c r="H51" s="99" t="s">
        <v>10774</v>
      </c>
      <c r="I51" s="99" t="s">
        <v>10772</v>
      </c>
      <c r="O51" s="160" t="s">
        <v>2176</v>
      </c>
      <c r="P51" s="162" t="s">
        <v>12207</v>
      </c>
      <c r="Q51" s="155" t="s">
        <v>12203</v>
      </c>
      <c r="S51" s="81" t="s">
        <v>13592</v>
      </c>
      <c r="T51" s="163" t="s">
        <v>13596</v>
      </c>
      <c r="U51" s="81" t="s">
        <v>13586</v>
      </c>
      <c r="V51" s="81" t="s">
        <v>13597</v>
      </c>
      <c r="W51" s="113" t="s">
        <v>13341</v>
      </c>
      <c r="AB51" s="115">
        <v>45706</v>
      </c>
      <c r="AC51" s="178" t="s">
        <v>12921</v>
      </c>
      <c r="AD51" s="172" t="s">
        <v>11818</v>
      </c>
      <c r="AE51" s="116" t="s">
        <v>11842</v>
      </c>
      <c r="AF51" s="177" t="s">
        <v>11874</v>
      </c>
      <c r="AG51" s="172" t="s">
        <v>11806</v>
      </c>
      <c r="AH51" s="171" t="s">
        <v>11807</v>
      </c>
    </row>
    <row r="52" spans="6:34">
      <c r="F52" s="82" t="s">
        <v>11012</v>
      </c>
      <c r="G52" s="82" t="s">
        <v>11011</v>
      </c>
      <c r="H52" s="99" t="s">
        <v>10782</v>
      </c>
      <c r="I52" s="99" t="s">
        <v>10780</v>
      </c>
      <c r="O52" s="160" t="s">
        <v>12338</v>
      </c>
      <c r="P52" s="162" t="s">
        <v>12343</v>
      </c>
      <c r="Q52" s="155" t="s">
        <v>12343</v>
      </c>
      <c r="S52" s="81" t="s">
        <v>14115</v>
      </c>
      <c r="T52" s="163" t="s">
        <v>14120</v>
      </c>
      <c r="U52" s="81" t="s">
        <v>14117</v>
      </c>
      <c r="V52" s="81" t="s">
        <v>14121</v>
      </c>
      <c r="W52" s="113" t="s">
        <v>11385</v>
      </c>
      <c r="AB52" s="115">
        <v>45707</v>
      </c>
      <c r="AC52" s="178" t="s">
        <v>12922</v>
      </c>
      <c r="AD52" s="172" t="s">
        <v>11803</v>
      </c>
      <c r="AE52" s="116" t="s">
        <v>11845</v>
      </c>
      <c r="AF52" s="177" t="s">
        <v>11874</v>
      </c>
      <c r="AG52" s="172" t="s">
        <v>11806</v>
      </c>
      <c r="AH52" s="171" t="s">
        <v>11807</v>
      </c>
    </row>
    <row r="53" spans="6:34">
      <c r="F53" s="82" t="s">
        <v>11075</v>
      </c>
      <c r="G53" s="82" t="s">
        <v>11516</v>
      </c>
      <c r="H53" s="99" t="s">
        <v>10928</v>
      </c>
      <c r="I53" s="99" t="s">
        <v>10941</v>
      </c>
      <c r="O53" s="160" t="s">
        <v>12533</v>
      </c>
      <c r="P53" s="162" t="s">
        <v>12569</v>
      </c>
      <c r="Q53" s="155" t="s">
        <v>12569</v>
      </c>
      <c r="S53" s="81" t="s">
        <v>14122</v>
      </c>
      <c r="T53" s="163">
        <v>11204667</v>
      </c>
      <c r="U53" s="81" t="s">
        <v>14126</v>
      </c>
      <c r="V53" s="81" t="s">
        <v>14127</v>
      </c>
      <c r="W53" s="113" t="s">
        <v>14128</v>
      </c>
      <c r="AB53" s="115">
        <v>45708</v>
      </c>
      <c r="AC53" s="178" t="s">
        <v>12923</v>
      </c>
      <c r="AD53" s="172" t="s">
        <v>11808</v>
      </c>
      <c r="AE53" s="116" t="s">
        <v>11848</v>
      </c>
      <c r="AF53" s="177" t="s">
        <v>11874</v>
      </c>
      <c r="AG53" s="172" t="s">
        <v>11806</v>
      </c>
      <c r="AH53" s="171" t="s">
        <v>11807</v>
      </c>
    </row>
    <row r="54" spans="6:34">
      <c r="F54" s="82" t="s">
        <v>11306</v>
      </c>
      <c r="G54" s="82" t="s">
        <v>11310</v>
      </c>
      <c r="H54" s="99" t="s">
        <v>10952</v>
      </c>
      <c r="I54" s="99" t="s">
        <v>10956</v>
      </c>
      <c r="O54" s="160" t="s">
        <v>12790</v>
      </c>
      <c r="P54" s="162" t="s">
        <v>12808</v>
      </c>
      <c r="Q54" s="155" t="s">
        <v>12808</v>
      </c>
      <c r="S54" s="81" t="s">
        <v>14238</v>
      </c>
      <c r="T54" s="163" t="s">
        <v>13339</v>
      </c>
      <c r="U54" s="81" t="s">
        <v>12097</v>
      </c>
      <c r="V54" s="81" t="s">
        <v>12106</v>
      </c>
      <c r="W54" s="113" t="s">
        <v>12107</v>
      </c>
      <c r="AB54" s="115">
        <v>45709</v>
      </c>
      <c r="AC54" s="178" t="s">
        <v>12924</v>
      </c>
      <c r="AD54" s="172" t="s">
        <v>11810</v>
      </c>
      <c r="AE54" s="116" t="s">
        <v>11851</v>
      </c>
      <c r="AF54" s="177" t="s">
        <v>11874</v>
      </c>
      <c r="AG54" s="172" t="s">
        <v>11806</v>
      </c>
      <c r="AH54" s="171" t="s">
        <v>11807</v>
      </c>
    </row>
    <row r="55" spans="6:34">
      <c r="F55" s="82" t="s">
        <v>11381</v>
      </c>
      <c r="G55" s="82" t="s">
        <v>11382</v>
      </c>
      <c r="H55" s="99" t="s">
        <v>11006</v>
      </c>
      <c r="I55" s="99" t="s">
        <v>11012</v>
      </c>
      <c r="O55" s="160" t="s">
        <v>12847</v>
      </c>
      <c r="P55" s="162" t="s">
        <v>12836</v>
      </c>
      <c r="Q55" s="155" t="s">
        <v>12837</v>
      </c>
      <c r="S55" s="81" t="s">
        <v>14244</v>
      </c>
      <c r="T55" s="163" t="s">
        <v>14247</v>
      </c>
      <c r="U55" s="81" t="s">
        <v>14246</v>
      </c>
      <c r="V55" s="81" t="s">
        <v>14248</v>
      </c>
      <c r="W55" s="113" t="s">
        <v>14249</v>
      </c>
      <c r="AB55" s="115">
        <v>45710</v>
      </c>
      <c r="AC55" s="178" t="s">
        <v>12925</v>
      </c>
      <c r="AD55" s="172" t="s">
        <v>11812</v>
      </c>
      <c r="AE55" s="116" t="s">
        <v>11854</v>
      </c>
      <c r="AF55" s="177" t="s">
        <v>11874</v>
      </c>
      <c r="AG55" s="172" t="s">
        <v>11806</v>
      </c>
      <c r="AH55" s="171" t="s">
        <v>11807</v>
      </c>
    </row>
    <row r="56" spans="6:34">
      <c r="F56" s="82" t="s">
        <v>11448</v>
      </c>
      <c r="G56" s="82" t="s">
        <v>11449</v>
      </c>
      <c r="H56" s="99" t="s">
        <v>11066</v>
      </c>
      <c r="I56" s="99" t="s">
        <v>11075</v>
      </c>
      <c r="O56" s="160" t="s">
        <v>13348</v>
      </c>
      <c r="P56" s="162" t="s">
        <v>13337</v>
      </c>
      <c r="Q56" s="155" t="s">
        <v>13338</v>
      </c>
      <c r="S56" s="81" t="s">
        <v>14388</v>
      </c>
      <c r="T56" s="163" t="s">
        <v>14389</v>
      </c>
      <c r="U56" s="81" t="s">
        <v>11304</v>
      </c>
      <c r="V56" s="81" t="s">
        <v>14390</v>
      </c>
      <c r="W56" s="113" t="s">
        <v>14391</v>
      </c>
      <c r="AB56" s="115">
        <v>45711</v>
      </c>
      <c r="AC56" s="178" t="s">
        <v>12926</v>
      </c>
      <c r="AD56" s="172" t="s">
        <v>11814</v>
      </c>
      <c r="AE56" s="116" t="s">
        <v>11857</v>
      </c>
      <c r="AF56" s="177" t="s">
        <v>11874</v>
      </c>
      <c r="AG56" s="172" t="s">
        <v>11806</v>
      </c>
      <c r="AH56" s="171" t="s">
        <v>11807</v>
      </c>
    </row>
    <row r="57" spans="6:34">
      <c r="F57" s="82" t="s">
        <v>11602</v>
      </c>
      <c r="G57" s="82" t="s">
        <v>11603</v>
      </c>
      <c r="H57" s="99" t="s">
        <v>11304</v>
      </c>
      <c r="I57" s="99" t="s">
        <v>11306</v>
      </c>
      <c r="O57" s="160" t="s">
        <v>13464</v>
      </c>
      <c r="P57" s="162" t="s">
        <v>13471</v>
      </c>
      <c r="Q57" s="155" t="s">
        <v>13561</v>
      </c>
      <c r="AB57" s="115">
        <v>45712</v>
      </c>
      <c r="AC57" s="178" t="s">
        <v>12927</v>
      </c>
      <c r="AD57" s="172" t="s">
        <v>11816</v>
      </c>
      <c r="AE57" s="116" t="s">
        <v>11860</v>
      </c>
      <c r="AF57" s="177" t="s">
        <v>11874</v>
      </c>
      <c r="AG57" s="172" t="s">
        <v>11806</v>
      </c>
      <c r="AH57" s="171" t="s">
        <v>11807</v>
      </c>
    </row>
    <row r="58" spans="6:34">
      <c r="F58" s="82" t="s">
        <v>11621</v>
      </c>
      <c r="G58" s="82" t="s">
        <v>11622</v>
      </c>
      <c r="H58" s="99" t="s">
        <v>11371</v>
      </c>
      <c r="I58" s="99" t="s">
        <v>11381</v>
      </c>
      <c r="O58" s="160" t="s">
        <v>13558</v>
      </c>
      <c r="P58" s="162" t="s">
        <v>13577</v>
      </c>
      <c r="Q58" s="155" t="s">
        <v>13578</v>
      </c>
      <c r="AB58" s="115">
        <v>45713</v>
      </c>
      <c r="AC58" s="178" t="s">
        <v>12928</v>
      </c>
      <c r="AD58" s="172" t="s">
        <v>11818</v>
      </c>
      <c r="AE58" s="116" t="s">
        <v>11863</v>
      </c>
      <c r="AF58" s="177" t="s">
        <v>11874</v>
      </c>
      <c r="AG58" s="172" t="s">
        <v>11806</v>
      </c>
      <c r="AH58" s="171" t="s">
        <v>11807</v>
      </c>
    </row>
    <row r="59" spans="6:34">
      <c r="F59" s="82" t="s">
        <v>12103</v>
      </c>
      <c r="G59" s="82" t="s">
        <v>13322</v>
      </c>
      <c r="H59" s="99" t="s">
        <v>11443</v>
      </c>
      <c r="I59" s="99" t="s">
        <v>11448</v>
      </c>
      <c r="O59" s="160" t="s">
        <v>13586</v>
      </c>
      <c r="P59" s="200" t="s">
        <v>13594</v>
      </c>
      <c r="Q59" s="155" t="s">
        <v>13595</v>
      </c>
      <c r="U59" s="99"/>
      <c r="V59" s="99"/>
      <c r="AB59" s="115">
        <v>45714</v>
      </c>
      <c r="AC59" s="178" t="s">
        <v>12929</v>
      </c>
      <c r="AD59" s="172" t="s">
        <v>11803</v>
      </c>
      <c r="AE59" s="116" t="s">
        <v>11866</v>
      </c>
      <c r="AF59" s="177" t="s">
        <v>11874</v>
      </c>
      <c r="AG59" s="172" t="s">
        <v>11806</v>
      </c>
      <c r="AH59" s="171" t="s">
        <v>11807</v>
      </c>
    </row>
    <row r="60" spans="6:34">
      <c r="F60" s="82" t="s">
        <v>12201</v>
      </c>
      <c r="G60" s="82" t="s">
        <v>12202</v>
      </c>
      <c r="H60" s="99" t="s">
        <v>11490</v>
      </c>
      <c r="I60" s="99" t="s">
        <v>11491</v>
      </c>
      <c r="O60" s="160" t="s">
        <v>14117</v>
      </c>
      <c r="P60" s="200" t="s">
        <v>14118</v>
      </c>
      <c r="Q60" s="155" t="s">
        <v>14119</v>
      </c>
      <c r="AB60" s="115">
        <v>45715</v>
      </c>
      <c r="AC60" s="178" t="s">
        <v>12930</v>
      </c>
      <c r="AD60" s="172" t="s">
        <v>11808</v>
      </c>
      <c r="AE60" s="116" t="s">
        <v>11869</v>
      </c>
      <c r="AF60" s="177" t="s">
        <v>11874</v>
      </c>
      <c r="AG60" s="172" t="s">
        <v>11806</v>
      </c>
      <c r="AH60" s="171" t="s">
        <v>11807</v>
      </c>
    </row>
    <row r="61" spans="6:34">
      <c r="F61" s="82" t="s">
        <v>12339</v>
      </c>
      <c r="G61" s="82" t="s">
        <v>12337</v>
      </c>
      <c r="H61" s="99" t="s">
        <v>11729</v>
      </c>
      <c r="I61" s="99" t="s">
        <v>11602</v>
      </c>
      <c r="O61" s="160" t="s">
        <v>14101</v>
      </c>
      <c r="P61" s="200" t="s">
        <v>14124</v>
      </c>
      <c r="Q61" s="155" t="s">
        <v>14125</v>
      </c>
      <c r="U61" s="99"/>
      <c r="AB61" s="115">
        <v>45716</v>
      </c>
      <c r="AC61" s="178" t="s">
        <v>12931</v>
      </c>
      <c r="AD61" s="172" t="s">
        <v>11810</v>
      </c>
      <c r="AE61" s="116" t="s">
        <v>11872</v>
      </c>
      <c r="AF61" s="177" t="s">
        <v>11874</v>
      </c>
      <c r="AG61" s="172" t="s">
        <v>11806</v>
      </c>
      <c r="AH61" s="171" t="s">
        <v>11807</v>
      </c>
    </row>
    <row r="62" spans="6:34">
      <c r="F62" s="82" t="s">
        <v>12806</v>
      </c>
      <c r="G62" s="82" t="s">
        <v>12807</v>
      </c>
      <c r="H62" s="99" t="s">
        <v>11612</v>
      </c>
      <c r="I62" s="99" t="s">
        <v>11621</v>
      </c>
      <c r="O62" s="160" t="s">
        <v>14246</v>
      </c>
      <c r="P62" s="200" t="s">
        <v>14250</v>
      </c>
      <c r="Q62" s="155" t="s">
        <v>14251</v>
      </c>
      <c r="U62" s="99"/>
      <c r="AB62" s="115">
        <v>45717</v>
      </c>
      <c r="AC62" s="178" t="s">
        <v>12932</v>
      </c>
      <c r="AD62" s="172" t="s">
        <v>11812</v>
      </c>
      <c r="AE62" s="116" t="s">
        <v>11804</v>
      </c>
      <c r="AF62" s="177" t="s">
        <v>11874</v>
      </c>
      <c r="AG62" s="172" t="s">
        <v>11806</v>
      </c>
      <c r="AH62" s="171" t="s">
        <v>11807</v>
      </c>
    </row>
    <row r="63" spans="6:34">
      <c r="F63" s="82" t="s">
        <v>11163</v>
      </c>
      <c r="G63" s="82" t="s">
        <v>13239</v>
      </c>
      <c r="H63" s="99" t="s">
        <v>12097</v>
      </c>
      <c r="I63" s="99" t="s">
        <v>12103</v>
      </c>
      <c r="O63" s="160" t="s">
        <v>11304</v>
      </c>
      <c r="P63" s="200" t="s">
        <v>14392</v>
      </c>
      <c r="Q63" s="155" t="s">
        <v>14393</v>
      </c>
      <c r="U63" s="99"/>
      <c r="AB63" s="115">
        <v>45718</v>
      </c>
      <c r="AC63" s="178" t="s">
        <v>12933</v>
      </c>
      <c r="AD63" s="172" t="s">
        <v>11814</v>
      </c>
      <c r="AE63" s="116" t="s">
        <v>11809</v>
      </c>
      <c r="AF63" s="177" t="s">
        <v>11874</v>
      </c>
      <c r="AG63" s="172" t="s">
        <v>11806</v>
      </c>
      <c r="AH63" s="171" t="s">
        <v>11807</v>
      </c>
    </row>
    <row r="64" spans="6:34">
      <c r="F64" s="82" t="s">
        <v>13336</v>
      </c>
      <c r="G64" s="82" t="s">
        <v>13347</v>
      </c>
      <c r="H64" s="99" t="s">
        <v>2176</v>
      </c>
      <c r="I64" s="99" t="s">
        <v>12201</v>
      </c>
      <c r="U64" s="99"/>
      <c r="AB64" s="115">
        <v>45719</v>
      </c>
      <c r="AC64" s="178" t="s">
        <v>12934</v>
      </c>
      <c r="AD64" s="172" t="s">
        <v>11816</v>
      </c>
      <c r="AE64" s="116" t="s">
        <v>11811</v>
      </c>
      <c r="AF64" s="177" t="s">
        <v>11874</v>
      </c>
      <c r="AG64" s="172" t="s">
        <v>11806</v>
      </c>
      <c r="AH64" s="171" t="s">
        <v>11807</v>
      </c>
    </row>
    <row r="65" spans="6:34">
      <c r="F65" s="82" t="s">
        <v>7457</v>
      </c>
      <c r="G65" s="82" t="s">
        <v>13474</v>
      </c>
      <c r="H65" s="99" t="s">
        <v>12338</v>
      </c>
      <c r="I65" s="99" t="s">
        <v>12339</v>
      </c>
      <c r="AB65" s="115">
        <v>45720</v>
      </c>
      <c r="AC65" s="178" t="s">
        <v>12935</v>
      </c>
      <c r="AD65" s="172" t="s">
        <v>11818</v>
      </c>
      <c r="AE65" s="116" t="s">
        <v>11813</v>
      </c>
      <c r="AF65" s="177" t="s">
        <v>11874</v>
      </c>
      <c r="AG65" s="172" t="s">
        <v>11806</v>
      </c>
      <c r="AH65" s="171" t="s">
        <v>11807</v>
      </c>
    </row>
    <row r="66" spans="6:34">
      <c r="F66" s="82" t="s">
        <v>13559</v>
      </c>
      <c r="G66" s="160" t="s">
        <v>13560</v>
      </c>
      <c r="H66" s="99" t="s">
        <v>12790</v>
      </c>
      <c r="I66" s="99" t="s">
        <v>12806</v>
      </c>
      <c r="AB66" s="115">
        <v>45721</v>
      </c>
      <c r="AC66" s="178" t="s">
        <v>12936</v>
      </c>
      <c r="AD66" s="172" t="s">
        <v>11803</v>
      </c>
      <c r="AE66" s="116" t="s">
        <v>11815</v>
      </c>
      <c r="AF66" s="177" t="s">
        <v>11874</v>
      </c>
      <c r="AG66" s="172" t="s">
        <v>11806</v>
      </c>
      <c r="AH66" s="171" t="s">
        <v>11807</v>
      </c>
    </row>
    <row r="67" spans="6:34">
      <c r="F67" s="82" t="s">
        <v>13592</v>
      </c>
      <c r="G67" s="82" t="s">
        <v>13593</v>
      </c>
      <c r="H67" s="99" t="s">
        <v>12847</v>
      </c>
      <c r="I67" s="99" t="s">
        <v>11163</v>
      </c>
      <c r="AB67" s="115">
        <v>45722</v>
      </c>
      <c r="AC67" s="178" t="s">
        <v>12937</v>
      </c>
      <c r="AD67" s="172" t="s">
        <v>11808</v>
      </c>
      <c r="AE67" s="116" t="s">
        <v>11817</v>
      </c>
      <c r="AF67" s="177" t="s">
        <v>11874</v>
      </c>
      <c r="AG67" s="172" t="s">
        <v>11806</v>
      </c>
      <c r="AH67" s="171" t="s">
        <v>11807</v>
      </c>
    </row>
    <row r="68" spans="6:34">
      <c r="F68" s="82" t="s">
        <v>14115</v>
      </c>
      <c r="G68" s="82" t="s">
        <v>14116</v>
      </c>
      <c r="H68" s="99" t="s">
        <v>13348</v>
      </c>
      <c r="I68" s="99" t="s">
        <v>13336</v>
      </c>
      <c r="AB68" s="115">
        <v>45723</v>
      </c>
      <c r="AC68" s="178" t="s">
        <v>12938</v>
      </c>
      <c r="AD68" s="172" t="s">
        <v>11810</v>
      </c>
      <c r="AE68" s="116" t="s">
        <v>11819</v>
      </c>
      <c r="AF68" s="177" t="s">
        <v>11874</v>
      </c>
      <c r="AG68" s="172" t="s">
        <v>11806</v>
      </c>
      <c r="AH68" s="171" t="s">
        <v>11807</v>
      </c>
    </row>
    <row r="69" spans="6:34">
      <c r="F69" s="82" t="s">
        <v>14122</v>
      </c>
      <c r="G69" s="82" t="s">
        <v>14123</v>
      </c>
      <c r="H69" t="s">
        <v>13464</v>
      </c>
      <c r="I69" s="99" t="s">
        <v>7457</v>
      </c>
      <c r="AB69" s="115">
        <v>45724</v>
      </c>
      <c r="AC69" s="178" t="s">
        <v>12939</v>
      </c>
      <c r="AD69" s="172" t="s">
        <v>11812</v>
      </c>
      <c r="AE69" s="116" t="s">
        <v>11820</v>
      </c>
      <c r="AF69" s="177" t="s">
        <v>11874</v>
      </c>
      <c r="AG69" s="172" t="s">
        <v>11806</v>
      </c>
      <c r="AH69" s="171" t="s">
        <v>11807</v>
      </c>
    </row>
    <row r="70" spans="6:34">
      <c r="F70" s="82" t="s">
        <v>14238</v>
      </c>
      <c r="G70" s="82" t="s">
        <v>14231</v>
      </c>
      <c r="H70" s="99" t="s">
        <v>13558</v>
      </c>
      <c r="I70" s="99" t="s">
        <v>13559</v>
      </c>
      <c r="AB70" s="115">
        <v>45725</v>
      </c>
      <c r="AC70" s="178" t="s">
        <v>12940</v>
      </c>
      <c r="AD70" s="172" t="s">
        <v>11814</v>
      </c>
      <c r="AE70" s="116" t="s">
        <v>11821</v>
      </c>
      <c r="AF70" s="177" t="s">
        <v>11874</v>
      </c>
      <c r="AG70" s="172" t="s">
        <v>11806</v>
      </c>
      <c r="AH70" s="171" t="s">
        <v>11807</v>
      </c>
    </row>
    <row r="71" spans="6:34">
      <c r="F71" s="82" t="s">
        <v>14244</v>
      </c>
      <c r="G71" s="82" t="s">
        <v>14245</v>
      </c>
      <c r="H71" s="99" t="s">
        <v>13586</v>
      </c>
      <c r="I71" s="199" t="s">
        <v>13592</v>
      </c>
      <c r="AB71" s="115">
        <v>45726</v>
      </c>
      <c r="AC71" s="178" t="s">
        <v>12941</v>
      </c>
      <c r="AD71" s="172" t="s">
        <v>11816</v>
      </c>
      <c r="AE71" s="116" t="s">
        <v>11822</v>
      </c>
      <c r="AF71" s="177" t="s">
        <v>11874</v>
      </c>
      <c r="AG71" s="172" t="s">
        <v>11806</v>
      </c>
      <c r="AH71" s="171" t="s">
        <v>11807</v>
      </c>
    </row>
    <row r="72" spans="6:34">
      <c r="F72" s="82" t="s">
        <v>14388</v>
      </c>
      <c r="G72" s="82" t="s">
        <v>14387</v>
      </c>
      <c r="H72" s="99" t="s">
        <v>14117</v>
      </c>
      <c r="I72" s="99" t="s">
        <v>14115</v>
      </c>
      <c r="AB72" s="115">
        <v>45727</v>
      </c>
      <c r="AC72" s="178" t="s">
        <v>12942</v>
      </c>
      <c r="AD72" s="172" t="s">
        <v>11818</v>
      </c>
      <c r="AE72" s="116" t="s">
        <v>11823</v>
      </c>
      <c r="AF72" s="177" t="s">
        <v>11875</v>
      </c>
      <c r="AG72" s="172" t="s">
        <v>11806</v>
      </c>
      <c r="AH72" s="171" t="s">
        <v>11807</v>
      </c>
    </row>
    <row r="73" spans="6:34">
      <c r="H73" s="99" t="s">
        <v>14101</v>
      </c>
      <c r="I73" s="99" t="s">
        <v>14122</v>
      </c>
      <c r="AB73" s="115">
        <v>45728</v>
      </c>
      <c r="AC73" s="178" t="s">
        <v>12943</v>
      </c>
      <c r="AD73" s="172" t="s">
        <v>11803</v>
      </c>
      <c r="AE73" s="116" t="s">
        <v>11825</v>
      </c>
      <c r="AF73" s="177" t="s">
        <v>11875</v>
      </c>
      <c r="AG73" s="172" t="s">
        <v>11806</v>
      </c>
      <c r="AH73" s="171" t="s">
        <v>11807</v>
      </c>
    </row>
    <row r="74" spans="6:34">
      <c r="H74" s="99" t="s">
        <v>12097</v>
      </c>
      <c r="I74" s="99" t="s">
        <v>14238</v>
      </c>
      <c r="AB74" s="115">
        <v>45729</v>
      </c>
      <c r="AC74" s="178" t="s">
        <v>12944</v>
      </c>
      <c r="AD74" s="172" t="s">
        <v>11808</v>
      </c>
      <c r="AE74" s="116" t="s">
        <v>11826</v>
      </c>
      <c r="AF74" s="177" t="s">
        <v>11875</v>
      </c>
      <c r="AG74" s="172" t="s">
        <v>11806</v>
      </c>
      <c r="AH74" s="171" t="s">
        <v>11807</v>
      </c>
    </row>
    <row r="75" spans="6:34">
      <c r="H75" s="99" t="s">
        <v>14246</v>
      </c>
      <c r="I75" s="99" t="s">
        <v>14244</v>
      </c>
      <c r="AB75" s="115">
        <v>45730</v>
      </c>
      <c r="AC75" s="178" t="s">
        <v>12945</v>
      </c>
      <c r="AD75" s="172" t="s">
        <v>11810</v>
      </c>
      <c r="AE75" s="116" t="s">
        <v>11827</v>
      </c>
      <c r="AF75" s="177" t="s">
        <v>11875</v>
      </c>
      <c r="AG75" s="172" t="s">
        <v>11806</v>
      </c>
      <c r="AH75" s="171" t="s">
        <v>11807</v>
      </c>
    </row>
    <row r="76" spans="6:34">
      <c r="H76" s="99" t="s">
        <v>11304</v>
      </c>
      <c r="I76" s="99" t="s">
        <v>14388</v>
      </c>
      <c r="AB76" s="115">
        <v>45731</v>
      </c>
      <c r="AC76" s="178" t="s">
        <v>12946</v>
      </c>
      <c r="AD76" s="172" t="s">
        <v>11812</v>
      </c>
      <c r="AE76" s="116" t="s">
        <v>11830</v>
      </c>
      <c r="AF76" s="177" t="s">
        <v>11875</v>
      </c>
      <c r="AG76" s="172" t="s">
        <v>11806</v>
      </c>
      <c r="AH76" s="171" t="s">
        <v>11807</v>
      </c>
    </row>
    <row r="77" spans="6:34">
      <c r="I77" s="99"/>
      <c r="AB77" s="115">
        <v>45732</v>
      </c>
      <c r="AC77" s="178" t="s">
        <v>12947</v>
      </c>
      <c r="AD77" s="172" t="s">
        <v>11814</v>
      </c>
      <c r="AE77" s="116" t="s">
        <v>11833</v>
      </c>
      <c r="AF77" s="177" t="s">
        <v>11875</v>
      </c>
      <c r="AG77" s="172" t="s">
        <v>11806</v>
      </c>
      <c r="AH77" s="171" t="s">
        <v>11807</v>
      </c>
    </row>
    <row r="78" spans="6:34">
      <c r="I78" s="99"/>
      <c r="AB78" s="115">
        <v>45733</v>
      </c>
      <c r="AC78" s="178" t="s">
        <v>12948</v>
      </c>
      <c r="AD78" s="172" t="s">
        <v>11816</v>
      </c>
      <c r="AE78" s="116" t="s">
        <v>11836</v>
      </c>
      <c r="AF78" s="177" t="s">
        <v>11875</v>
      </c>
      <c r="AG78" s="172" t="s">
        <v>11806</v>
      </c>
      <c r="AH78" s="171" t="s">
        <v>11807</v>
      </c>
    </row>
    <row r="79" spans="6:34">
      <c r="AB79" s="115">
        <v>45734</v>
      </c>
      <c r="AC79" s="178" t="s">
        <v>12949</v>
      </c>
      <c r="AD79" s="172" t="s">
        <v>11818</v>
      </c>
      <c r="AE79" s="116" t="s">
        <v>11839</v>
      </c>
      <c r="AF79" s="177" t="s">
        <v>11875</v>
      </c>
      <c r="AG79" s="172" t="s">
        <v>11806</v>
      </c>
      <c r="AH79" s="171" t="s">
        <v>11807</v>
      </c>
    </row>
    <row r="80" spans="6:34">
      <c r="I80" s="99"/>
      <c r="AB80" s="115">
        <v>45735</v>
      </c>
      <c r="AC80" s="178" t="s">
        <v>12950</v>
      </c>
      <c r="AD80" s="172" t="s">
        <v>11803</v>
      </c>
      <c r="AE80" s="116" t="s">
        <v>11842</v>
      </c>
      <c r="AF80" s="177" t="s">
        <v>11875</v>
      </c>
      <c r="AG80" s="172" t="s">
        <v>11806</v>
      </c>
      <c r="AH80" s="171" t="s">
        <v>11807</v>
      </c>
    </row>
    <row r="81" spans="9:34">
      <c r="I81" s="99"/>
      <c r="AB81" s="115">
        <v>45736</v>
      </c>
      <c r="AC81" s="178" t="s">
        <v>12951</v>
      </c>
      <c r="AD81" s="172" t="s">
        <v>11808</v>
      </c>
      <c r="AE81" s="116" t="s">
        <v>11845</v>
      </c>
      <c r="AF81" s="177" t="s">
        <v>11875</v>
      </c>
      <c r="AG81" s="172" t="s">
        <v>11806</v>
      </c>
      <c r="AH81" s="171" t="s">
        <v>11807</v>
      </c>
    </row>
    <row r="82" spans="9:34">
      <c r="I82" s="99"/>
      <c r="AB82" s="115">
        <v>45737</v>
      </c>
      <c r="AC82" s="178" t="s">
        <v>12952</v>
      </c>
      <c r="AD82" s="172" t="s">
        <v>11810</v>
      </c>
      <c r="AE82" s="116" t="s">
        <v>11848</v>
      </c>
      <c r="AF82" s="177" t="s">
        <v>11875</v>
      </c>
      <c r="AG82" s="172" t="s">
        <v>11806</v>
      </c>
      <c r="AH82" s="171" t="s">
        <v>11807</v>
      </c>
    </row>
    <row r="83" spans="9:34">
      <c r="I83" s="99"/>
      <c r="AB83" s="115">
        <v>45738</v>
      </c>
      <c r="AC83" s="178" t="s">
        <v>12953</v>
      </c>
      <c r="AD83" s="172" t="s">
        <v>11812</v>
      </c>
      <c r="AE83" s="116" t="s">
        <v>11851</v>
      </c>
      <c r="AF83" s="177" t="s">
        <v>11875</v>
      </c>
      <c r="AG83" s="172" t="s">
        <v>11806</v>
      </c>
      <c r="AH83" s="171" t="s">
        <v>11807</v>
      </c>
    </row>
    <row r="84" spans="9:34">
      <c r="I84" s="99"/>
      <c r="AB84" s="115">
        <v>45739</v>
      </c>
      <c r="AC84" s="178" t="s">
        <v>12954</v>
      </c>
      <c r="AD84" s="172" t="s">
        <v>11814</v>
      </c>
      <c r="AE84" s="116" t="s">
        <v>11854</v>
      </c>
      <c r="AF84" s="177" t="s">
        <v>11875</v>
      </c>
      <c r="AG84" s="172" t="s">
        <v>11806</v>
      </c>
      <c r="AH84" s="171" t="s">
        <v>11807</v>
      </c>
    </row>
    <row r="85" spans="9:34">
      <c r="I85" s="99"/>
      <c r="AB85" s="115">
        <v>45740</v>
      </c>
      <c r="AC85" s="178" t="s">
        <v>12955</v>
      </c>
      <c r="AD85" s="172" t="s">
        <v>11816</v>
      </c>
      <c r="AE85" s="116" t="s">
        <v>11857</v>
      </c>
      <c r="AF85" s="177" t="s">
        <v>11875</v>
      </c>
      <c r="AG85" s="172" t="s">
        <v>11806</v>
      </c>
      <c r="AH85" s="171" t="s">
        <v>11807</v>
      </c>
    </row>
    <row r="86" spans="9:34">
      <c r="I86" s="99"/>
      <c r="AB86" s="115">
        <v>45741</v>
      </c>
      <c r="AC86" s="178" t="s">
        <v>12956</v>
      </c>
      <c r="AD86" s="172" t="s">
        <v>11818</v>
      </c>
      <c r="AE86" s="116" t="s">
        <v>11860</v>
      </c>
      <c r="AF86" s="177" t="s">
        <v>11875</v>
      </c>
      <c r="AG86" s="172" t="s">
        <v>11806</v>
      </c>
      <c r="AH86" s="171" t="s">
        <v>11807</v>
      </c>
    </row>
    <row r="87" spans="9:34">
      <c r="I87" s="99"/>
      <c r="AB87" s="115">
        <v>45742</v>
      </c>
      <c r="AC87" s="178" t="s">
        <v>12957</v>
      </c>
      <c r="AD87" s="172" t="s">
        <v>11803</v>
      </c>
      <c r="AE87" s="116" t="s">
        <v>11863</v>
      </c>
      <c r="AF87" s="177" t="s">
        <v>11875</v>
      </c>
      <c r="AG87" s="172" t="s">
        <v>11806</v>
      </c>
      <c r="AH87" s="171" t="s">
        <v>11807</v>
      </c>
    </row>
    <row r="88" spans="9:34">
      <c r="I88" s="99"/>
      <c r="AB88" s="115">
        <v>45743</v>
      </c>
      <c r="AC88" s="178" t="s">
        <v>12958</v>
      </c>
      <c r="AD88" s="172" t="s">
        <v>11808</v>
      </c>
      <c r="AE88" s="116" t="s">
        <v>11866</v>
      </c>
      <c r="AF88" s="177" t="s">
        <v>11875</v>
      </c>
      <c r="AG88" s="172" t="s">
        <v>11806</v>
      </c>
      <c r="AH88" s="171" t="s">
        <v>11807</v>
      </c>
    </row>
    <row r="89" spans="9:34">
      <c r="I89" s="99"/>
      <c r="AB89" s="115">
        <v>45744</v>
      </c>
      <c r="AC89" s="178" t="s">
        <v>12959</v>
      </c>
      <c r="AD89" s="172" t="s">
        <v>11810</v>
      </c>
      <c r="AE89" s="116" t="s">
        <v>11869</v>
      </c>
      <c r="AF89" s="177" t="s">
        <v>11875</v>
      </c>
      <c r="AG89" s="172" t="s">
        <v>11806</v>
      </c>
      <c r="AH89" s="171" t="s">
        <v>11807</v>
      </c>
    </row>
    <row r="90" spans="9:34">
      <c r="I90" s="99"/>
      <c r="AB90" s="115">
        <v>45745</v>
      </c>
      <c r="AC90" s="178" t="s">
        <v>12960</v>
      </c>
      <c r="AD90" s="172" t="s">
        <v>11812</v>
      </c>
      <c r="AE90" s="116" t="s">
        <v>11872</v>
      </c>
      <c r="AF90" s="177" t="s">
        <v>11875</v>
      </c>
      <c r="AG90" s="172" t="s">
        <v>11806</v>
      </c>
      <c r="AH90" s="171" t="s">
        <v>11807</v>
      </c>
    </row>
    <row r="91" spans="9:34">
      <c r="I91" s="99"/>
      <c r="AB91" s="115">
        <v>45746</v>
      </c>
      <c r="AC91" s="178" t="s">
        <v>12961</v>
      </c>
      <c r="AD91" s="172" t="s">
        <v>11814</v>
      </c>
      <c r="AE91" s="116" t="s">
        <v>11804</v>
      </c>
      <c r="AF91" s="177" t="s">
        <v>11875</v>
      </c>
      <c r="AG91" s="172" t="s">
        <v>11806</v>
      </c>
      <c r="AH91" s="171" t="s">
        <v>11807</v>
      </c>
    </row>
    <row r="92" spans="9:34">
      <c r="I92" s="99"/>
      <c r="AB92" s="115">
        <v>45747</v>
      </c>
      <c r="AC92" s="178" t="s">
        <v>12962</v>
      </c>
      <c r="AD92" s="172" t="s">
        <v>11816</v>
      </c>
      <c r="AE92" s="116" t="s">
        <v>11809</v>
      </c>
      <c r="AF92" s="177" t="s">
        <v>11875</v>
      </c>
      <c r="AG92" s="172" t="s">
        <v>11806</v>
      </c>
      <c r="AH92" s="171" t="s">
        <v>11807</v>
      </c>
    </row>
    <row r="93" spans="9:34">
      <c r="I93" s="99"/>
      <c r="AB93" s="115">
        <v>45748</v>
      </c>
      <c r="AC93" s="178" t="s">
        <v>12963</v>
      </c>
      <c r="AD93" s="172" t="s">
        <v>11818</v>
      </c>
      <c r="AE93" s="116" t="s">
        <v>11811</v>
      </c>
      <c r="AF93" s="177" t="s">
        <v>11875</v>
      </c>
      <c r="AG93" s="172" t="s">
        <v>11806</v>
      </c>
      <c r="AH93" s="171" t="s">
        <v>11807</v>
      </c>
    </row>
    <row r="94" spans="9:34">
      <c r="I94" s="99"/>
      <c r="AB94" s="115">
        <v>45749</v>
      </c>
      <c r="AC94" s="178" t="s">
        <v>12964</v>
      </c>
      <c r="AD94" s="172" t="s">
        <v>11803</v>
      </c>
      <c r="AE94" s="116" t="s">
        <v>11813</v>
      </c>
      <c r="AF94" s="177" t="s">
        <v>11875</v>
      </c>
      <c r="AG94" s="172" t="s">
        <v>11806</v>
      </c>
      <c r="AH94" s="171" t="s">
        <v>11807</v>
      </c>
    </row>
    <row r="95" spans="9:34">
      <c r="I95" s="99"/>
      <c r="AB95" s="115">
        <v>45750</v>
      </c>
      <c r="AC95" s="178" t="s">
        <v>12965</v>
      </c>
      <c r="AD95" s="172" t="s">
        <v>11808</v>
      </c>
      <c r="AE95" s="116" t="s">
        <v>11815</v>
      </c>
      <c r="AF95" s="177" t="s">
        <v>11875</v>
      </c>
      <c r="AG95" s="172" t="s">
        <v>11806</v>
      </c>
      <c r="AH95" s="171" t="s">
        <v>11807</v>
      </c>
    </row>
    <row r="96" spans="9:34">
      <c r="I96" s="99"/>
      <c r="AB96" s="115">
        <v>45751</v>
      </c>
      <c r="AC96" s="178" t="s">
        <v>12966</v>
      </c>
      <c r="AD96" s="172" t="s">
        <v>11810</v>
      </c>
      <c r="AE96" s="116" t="s">
        <v>11817</v>
      </c>
      <c r="AF96" s="177" t="s">
        <v>11875</v>
      </c>
      <c r="AG96" s="172" t="s">
        <v>11806</v>
      </c>
      <c r="AH96" s="171" t="s">
        <v>11807</v>
      </c>
    </row>
    <row r="97" spans="9:34">
      <c r="I97" s="99"/>
      <c r="AB97" s="115">
        <v>45752</v>
      </c>
      <c r="AC97" s="178" t="s">
        <v>12967</v>
      </c>
      <c r="AD97" s="172" t="s">
        <v>11812</v>
      </c>
      <c r="AE97" s="116" t="s">
        <v>11819</v>
      </c>
      <c r="AF97" s="177" t="s">
        <v>11875</v>
      </c>
      <c r="AG97" s="172" t="s">
        <v>11806</v>
      </c>
      <c r="AH97" s="171" t="s">
        <v>11807</v>
      </c>
    </row>
    <row r="98" spans="9:34">
      <c r="I98" s="99"/>
      <c r="AB98" s="115">
        <v>45753</v>
      </c>
      <c r="AC98" s="178" t="s">
        <v>12968</v>
      </c>
      <c r="AD98" s="172" t="s">
        <v>11814</v>
      </c>
      <c r="AE98" s="116" t="s">
        <v>11820</v>
      </c>
      <c r="AF98" s="177" t="s">
        <v>11875</v>
      </c>
      <c r="AG98" s="172" t="s">
        <v>11806</v>
      </c>
      <c r="AH98" s="171" t="s">
        <v>11807</v>
      </c>
    </row>
    <row r="99" spans="9:34">
      <c r="I99" s="99"/>
      <c r="AB99" s="115">
        <v>45754</v>
      </c>
      <c r="AC99" s="178" t="s">
        <v>12969</v>
      </c>
      <c r="AD99" s="172" t="s">
        <v>11816</v>
      </c>
      <c r="AE99" s="116" t="s">
        <v>11821</v>
      </c>
      <c r="AF99" s="177" t="s">
        <v>11875</v>
      </c>
      <c r="AG99" s="172" t="s">
        <v>11806</v>
      </c>
      <c r="AH99" s="171" t="s">
        <v>11807</v>
      </c>
    </row>
    <row r="100" spans="9:34">
      <c r="I100" s="99"/>
      <c r="AB100" s="115">
        <v>45755</v>
      </c>
      <c r="AC100" s="178" t="s">
        <v>12970</v>
      </c>
      <c r="AD100" s="172" t="s">
        <v>11818</v>
      </c>
      <c r="AE100" s="116" t="s">
        <v>11822</v>
      </c>
      <c r="AF100" s="177" t="s">
        <v>11875</v>
      </c>
      <c r="AG100" s="172" t="s">
        <v>11806</v>
      </c>
      <c r="AH100" s="171" t="s">
        <v>11807</v>
      </c>
    </row>
    <row r="101" spans="9:34">
      <c r="I101" s="99"/>
      <c r="AB101" s="115">
        <v>45756</v>
      </c>
      <c r="AC101" s="178" t="s">
        <v>12971</v>
      </c>
      <c r="AD101" s="172" t="s">
        <v>11803</v>
      </c>
      <c r="AE101" s="116" t="s">
        <v>11873</v>
      </c>
      <c r="AF101" s="177" t="s">
        <v>11875</v>
      </c>
      <c r="AG101" s="172" t="s">
        <v>11806</v>
      </c>
      <c r="AH101" s="171" t="s">
        <v>11807</v>
      </c>
    </row>
    <row r="102" spans="9:34">
      <c r="I102" s="99"/>
      <c r="AB102" s="115">
        <v>45757</v>
      </c>
      <c r="AC102" s="178" t="s">
        <v>12972</v>
      </c>
      <c r="AD102" s="172" t="s">
        <v>11808</v>
      </c>
      <c r="AE102" s="116" t="s">
        <v>11823</v>
      </c>
      <c r="AF102" s="177" t="s">
        <v>11876</v>
      </c>
      <c r="AG102" s="172" t="s">
        <v>11806</v>
      </c>
      <c r="AH102" s="171" t="s">
        <v>11807</v>
      </c>
    </row>
    <row r="103" spans="9:34">
      <c r="I103" s="99"/>
      <c r="AB103" s="115">
        <v>45758</v>
      </c>
      <c r="AC103" s="178" t="s">
        <v>12973</v>
      </c>
      <c r="AD103" s="172" t="s">
        <v>11810</v>
      </c>
      <c r="AE103" s="116" t="s">
        <v>11825</v>
      </c>
      <c r="AF103" s="177" t="s">
        <v>11876</v>
      </c>
      <c r="AG103" s="172" t="s">
        <v>11806</v>
      </c>
      <c r="AH103" s="171" t="s">
        <v>11807</v>
      </c>
    </row>
    <row r="104" spans="9:34">
      <c r="I104" s="99"/>
      <c r="AB104" s="115">
        <v>45759</v>
      </c>
      <c r="AC104" s="178" t="s">
        <v>12974</v>
      </c>
      <c r="AD104" s="172" t="s">
        <v>11812</v>
      </c>
      <c r="AE104" s="116" t="s">
        <v>11826</v>
      </c>
      <c r="AF104" s="177" t="s">
        <v>11876</v>
      </c>
      <c r="AG104" s="172" t="s">
        <v>11806</v>
      </c>
      <c r="AH104" s="171" t="s">
        <v>11807</v>
      </c>
    </row>
    <row r="105" spans="9:34">
      <c r="I105" s="99"/>
      <c r="AB105" s="115">
        <v>45760</v>
      </c>
      <c r="AC105" s="178" t="s">
        <v>12975</v>
      </c>
      <c r="AD105" s="172" t="s">
        <v>11814</v>
      </c>
      <c r="AE105" s="116" t="s">
        <v>11827</v>
      </c>
      <c r="AF105" s="177" t="s">
        <v>11876</v>
      </c>
      <c r="AG105" s="172" t="s">
        <v>11806</v>
      </c>
      <c r="AH105" s="171" t="s">
        <v>11807</v>
      </c>
    </row>
    <row r="106" spans="9:34">
      <c r="I106" s="99"/>
      <c r="AB106" s="115">
        <v>45761</v>
      </c>
      <c r="AC106" s="178" t="s">
        <v>12976</v>
      </c>
      <c r="AD106" s="172" t="s">
        <v>11816</v>
      </c>
      <c r="AE106" s="116" t="s">
        <v>11830</v>
      </c>
      <c r="AF106" s="177" t="s">
        <v>11876</v>
      </c>
      <c r="AG106" s="172" t="s">
        <v>11877</v>
      </c>
      <c r="AH106" s="171" t="s">
        <v>11878</v>
      </c>
    </row>
    <row r="107" spans="9:34">
      <c r="I107" s="99"/>
      <c r="AB107" s="115">
        <v>45762</v>
      </c>
      <c r="AC107" s="178" t="s">
        <v>12977</v>
      </c>
      <c r="AD107" s="172" t="s">
        <v>11818</v>
      </c>
      <c r="AE107" s="116" t="s">
        <v>11833</v>
      </c>
      <c r="AF107" s="177" t="s">
        <v>11876</v>
      </c>
      <c r="AG107" s="172" t="s">
        <v>11877</v>
      </c>
      <c r="AH107" s="171" t="s">
        <v>11878</v>
      </c>
    </row>
    <row r="108" spans="9:34">
      <c r="I108" s="99"/>
      <c r="AB108" s="115">
        <v>45763</v>
      </c>
      <c r="AC108" s="178" t="s">
        <v>12978</v>
      </c>
      <c r="AD108" s="172" t="s">
        <v>11803</v>
      </c>
      <c r="AE108" s="116" t="s">
        <v>11836</v>
      </c>
      <c r="AF108" s="177" t="s">
        <v>11876</v>
      </c>
      <c r="AG108" s="172" t="s">
        <v>11877</v>
      </c>
      <c r="AH108" s="171" t="s">
        <v>11878</v>
      </c>
    </row>
    <row r="109" spans="9:34">
      <c r="I109" s="99"/>
      <c r="AB109" s="115">
        <v>45764</v>
      </c>
      <c r="AC109" s="178" t="s">
        <v>12979</v>
      </c>
      <c r="AD109" s="172" t="s">
        <v>11808</v>
      </c>
      <c r="AE109" s="116" t="s">
        <v>11839</v>
      </c>
      <c r="AF109" s="177" t="s">
        <v>11876</v>
      </c>
      <c r="AG109" s="172" t="s">
        <v>11877</v>
      </c>
      <c r="AH109" s="171" t="s">
        <v>11878</v>
      </c>
    </row>
    <row r="110" spans="9:34">
      <c r="I110" s="99"/>
      <c r="AB110" s="115">
        <v>45765</v>
      </c>
      <c r="AC110" s="178" t="s">
        <v>12980</v>
      </c>
      <c r="AD110" s="172" t="s">
        <v>11810</v>
      </c>
      <c r="AE110" s="116" t="s">
        <v>11842</v>
      </c>
      <c r="AF110" s="177" t="s">
        <v>11876</v>
      </c>
      <c r="AG110" s="172" t="s">
        <v>11877</v>
      </c>
      <c r="AH110" s="171" t="s">
        <v>11878</v>
      </c>
    </row>
    <row r="111" spans="9:34">
      <c r="I111" s="99"/>
      <c r="AB111" s="115">
        <v>45766</v>
      </c>
      <c r="AC111" s="178" t="s">
        <v>12981</v>
      </c>
      <c r="AD111" s="172" t="s">
        <v>11812</v>
      </c>
      <c r="AE111" s="116" t="s">
        <v>11845</v>
      </c>
      <c r="AF111" s="177" t="s">
        <v>11876</v>
      </c>
      <c r="AG111" s="172" t="s">
        <v>11877</v>
      </c>
      <c r="AH111" s="171" t="s">
        <v>11878</v>
      </c>
    </row>
    <row r="112" spans="9:34">
      <c r="I112" s="99"/>
      <c r="AB112" s="115">
        <v>45767</v>
      </c>
      <c r="AC112" s="178" t="s">
        <v>12982</v>
      </c>
      <c r="AD112" s="172" t="s">
        <v>11814</v>
      </c>
      <c r="AE112" s="116" t="s">
        <v>11848</v>
      </c>
      <c r="AF112" s="177" t="s">
        <v>11876</v>
      </c>
      <c r="AG112" s="172" t="s">
        <v>11877</v>
      </c>
      <c r="AH112" s="171" t="s">
        <v>11878</v>
      </c>
    </row>
    <row r="113" spans="9:34">
      <c r="I113" s="99"/>
      <c r="AB113" s="115">
        <v>45768</v>
      </c>
      <c r="AC113" s="178" t="s">
        <v>12983</v>
      </c>
      <c r="AD113" s="172" t="s">
        <v>11816</v>
      </c>
      <c r="AE113" s="116" t="s">
        <v>11851</v>
      </c>
      <c r="AF113" s="177" t="s">
        <v>11876</v>
      </c>
      <c r="AG113" s="172" t="s">
        <v>11877</v>
      </c>
      <c r="AH113" s="171" t="s">
        <v>11878</v>
      </c>
    </row>
    <row r="114" spans="9:34">
      <c r="I114" s="99"/>
      <c r="AB114" s="115">
        <v>45769</v>
      </c>
      <c r="AC114" s="178" t="s">
        <v>12984</v>
      </c>
      <c r="AD114" s="172" t="s">
        <v>11818</v>
      </c>
      <c r="AE114" s="116" t="s">
        <v>11854</v>
      </c>
      <c r="AF114" s="177" t="s">
        <v>11876</v>
      </c>
      <c r="AG114" s="172" t="s">
        <v>11877</v>
      </c>
      <c r="AH114" s="171" t="s">
        <v>11878</v>
      </c>
    </row>
    <row r="115" spans="9:34">
      <c r="I115" s="99"/>
      <c r="AB115" s="115">
        <v>45770</v>
      </c>
      <c r="AC115" s="178" t="s">
        <v>12985</v>
      </c>
      <c r="AD115" s="172" t="s">
        <v>11803</v>
      </c>
      <c r="AE115" s="116" t="s">
        <v>11857</v>
      </c>
      <c r="AF115" s="177" t="s">
        <v>11876</v>
      </c>
      <c r="AG115" s="172" t="s">
        <v>11877</v>
      </c>
      <c r="AH115" s="171" t="s">
        <v>11878</v>
      </c>
    </row>
    <row r="116" spans="9:34">
      <c r="I116" s="99"/>
      <c r="AB116" s="115">
        <v>45771</v>
      </c>
      <c r="AC116" s="178" t="s">
        <v>12986</v>
      </c>
      <c r="AD116" s="172" t="s">
        <v>11808</v>
      </c>
      <c r="AE116" s="116" t="s">
        <v>11860</v>
      </c>
      <c r="AF116" s="177" t="s">
        <v>11876</v>
      </c>
      <c r="AG116" s="172" t="s">
        <v>11877</v>
      </c>
      <c r="AH116" s="171" t="s">
        <v>11878</v>
      </c>
    </row>
    <row r="117" spans="9:34">
      <c r="I117" s="99"/>
      <c r="AB117" s="115">
        <v>45772</v>
      </c>
      <c r="AC117" s="178" t="s">
        <v>12987</v>
      </c>
      <c r="AD117" s="172" t="s">
        <v>11810</v>
      </c>
      <c r="AE117" s="116" t="s">
        <v>11863</v>
      </c>
      <c r="AF117" s="177" t="s">
        <v>11876</v>
      </c>
      <c r="AG117" s="172" t="s">
        <v>11877</v>
      </c>
      <c r="AH117" s="171" t="s">
        <v>11878</v>
      </c>
    </row>
    <row r="118" spans="9:34">
      <c r="I118" s="99"/>
      <c r="AB118" s="115">
        <v>45773</v>
      </c>
      <c r="AC118" s="178" t="s">
        <v>12988</v>
      </c>
      <c r="AD118" s="172" t="s">
        <v>11812</v>
      </c>
      <c r="AE118" s="116" t="s">
        <v>11866</v>
      </c>
      <c r="AF118" s="177" t="s">
        <v>11876</v>
      </c>
      <c r="AG118" s="172" t="s">
        <v>11877</v>
      </c>
      <c r="AH118" s="171" t="s">
        <v>11878</v>
      </c>
    </row>
    <row r="119" spans="9:34">
      <c r="I119" s="99"/>
      <c r="AB119" s="115">
        <v>45774</v>
      </c>
      <c r="AC119" s="178" t="s">
        <v>12989</v>
      </c>
      <c r="AD119" s="172" t="s">
        <v>11814</v>
      </c>
      <c r="AE119" s="116" t="s">
        <v>11869</v>
      </c>
      <c r="AF119" s="177" t="s">
        <v>11876</v>
      </c>
      <c r="AG119" s="172" t="s">
        <v>11877</v>
      </c>
      <c r="AH119" s="171" t="s">
        <v>11878</v>
      </c>
    </row>
    <row r="120" spans="9:34">
      <c r="I120" s="99"/>
      <c r="AB120" s="115">
        <v>45775</v>
      </c>
      <c r="AC120" s="178" t="s">
        <v>12990</v>
      </c>
      <c r="AD120" s="172" t="s">
        <v>11816</v>
      </c>
      <c r="AE120" s="116" t="s">
        <v>11872</v>
      </c>
      <c r="AF120" s="177" t="s">
        <v>11876</v>
      </c>
      <c r="AG120" s="172" t="s">
        <v>11877</v>
      </c>
      <c r="AH120" s="171" t="s">
        <v>11878</v>
      </c>
    </row>
    <row r="121" spans="9:34">
      <c r="AB121" s="115">
        <v>45776</v>
      </c>
      <c r="AC121" s="178" t="s">
        <v>12991</v>
      </c>
      <c r="AD121" s="172" t="s">
        <v>11818</v>
      </c>
      <c r="AE121" s="116" t="s">
        <v>11804</v>
      </c>
      <c r="AF121" s="177" t="s">
        <v>11876</v>
      </c>
      <c r="AG121" s="172" t="s">
        <v>11877</v>
      </c>
      <c r="AH121" s="171" t="s">
        <v>11878</v>
      </c>
    </row>
    <row r="122" spans="9:34">
      <c r="AB122" s="115">
        <v>45777</v>
      </c>
      <c r="AC122" s="178" t="s">
        <v>12992</v>
      </c>
      <c r="AD122" s="172" t="s">
        <v>11803</v>
      </c>
      <c r="AE122" s="116" t="s">
        <v>11809</v>
      </c>
      <c r="AF122" s="177" t="s">
        <v>11876</v>
      </c>
      <c r="AG122" s="172" t="s">
        <v>11877</v>
      </c>
      <c r="AH122" s="171" t="s">
        <v>11878</v>
      </c>
    </row>
    <row r="123" spans="9:34">
      <c r="AB123" s="115">
        <v>45778</v>
      </c>
      <c r="AC123" s="178" t="s">
        <v>12993</v>
      </c>
      <c r="AD123" s="172" t="s">
        <v>11808</v>
      </c>
      <c r="AE123" s="116" t="s">
        <v>11811</v>
      </c>
      <c r="AF123" s="177" t="s">
        <v>11876</v>
      </c>
      <c r="AG123" s="172" t="s">
        <v>11877</v>
      </c>
      <c r="AH123" s="171" t="s">
        <v>11878</v>
      </c>
    </row>
    <row r="124" spans="9:34">
      <c r="AB124" s="115">
        <v>45779</v>
      </c>
      <c r="AC124" s="178" t="s">
        <v>12994</v>
      </c>
      <c r="AD124" s="172" t="s">
        <v>11810</v>
      </c>
      <c r="AE124" s="116" t="s">
        <v>11813</v>
      </c>
      <c r="AF124" s="177" t="s">
        <v>11876</v>
      </c>
      <c r="AG124" s="172" t="s">
        <v>11877</v>
      </c>
      <c r="AH124" s="171" t="s">
        <v>11878</v>
      </c>
    </row>
    <row r="125" spans="9:34">
      <c r="AB125" s="115">
        <v>45780</v>
      </c>
      <c r="AC125" s="178" t="s">
        <v>12995</v>
      </c>
      <c r="AD125" s="172" t="s">
        <v>11812</v>
      </c>
      <c r="AE125" s="116" t="s">
        <v>11815</v>
      </c>
      <c r="AF125" s="177" t="s">
        <v>11876</v>
      </c>
      <c r="AG125" s="172" t="s">
        <v>11877</v>
      </c>
      <c r="AH125" s="171" t="s">
        <v>11878</v>
      </c>
    </row>
    <row r="126" spans="9:34">
      <c r="AB126" s="115">
        <v>45781</v>
      </c>
      <c r="AC126" s="178" t="s">
        <v>12996</v>
      </c>
      <c r="AD126" s="172" t="s">
        <v>11814</v>
      </c>
      <c r="AE126" s="116" t="s">
        <v>11817</v>
      </c>
      <c r="AF126" s="177" t="s">
        <v>11876</v>
      </c>
      <c r="AG126" s="172" t="s">
        <v>11877</v>
      </c>
      <c r="AH126" s="171" t="s">
        <v>11878</v>
      </c>
    </row>
    <row r="127" spans="9:34">
      <c r="AB127" s="115">
        <v>45782</v>
      </c>
      <c r="AC127" s="178" t="s">
        <v>12997</v>
      </c>
      <c r="AD127" s="172" t="s">
        <v>11816</v>
      </c>
      <c r="AE127" s="116" t="s">
        <v>11819</v>
      </c>
      <c r="AF127" s="177" t="s">
        <v>11876</v>
      </c>
      <c r="AG127" s="172" t="s">
        <v>11877</v>
      </c>
      <c r="AH127" s="171" t="s">
        <v>11878</v>
      </c>
    </row>
    <row r="128" spans="9:34">
      <c r="AB128" s="115">
        <v>45783</v>
      </c>
      <c r="AC128" s="178" t="s">
        <v>12998</v>
      </c>
      <c r="AD128" s="172" t="s">
        <v>11818</v>
      </c>
      <c r="AE128" s="116" t="s">
        <v>11820</v>
      </c>
      <c r="AF128" s="177" t="s">
        <v>11876</v>
      </c>
      <c r="AG128" s="172" t="s">
        <v>11877</v>
      </c>
      <c r="AH128" s="171" t="s">
        <v>11878</v>
      </c>
    </row>
    <row r="129" spans="28:34">
      <c r="AB129" s="115">
        <v>45784</v>
      </c>
      <c r="AC129" s="178" t="s">
        <v>12999</v>
      </c>
      <c r="AD129" s="172" t="s">
        <v>11803</v>
      </c>
      <c r="AE129" s="116" t="s">
        <v>11821</v>
      </c>
      <c r="AF129" s="177" t="s">
        <v>11876</v>
      </c>
      <c r="AG129" s="172" t="s">
        <v>11877</v>
      </c>
      <c r="AH129" s="171" t="s">
        <v>11878</v>
      </c>
    </row>
    <row r="130" spans="28:34">
      <c r="AB130" s="115">
        <v>45785</v>
      </c>
      <c r="AC130" s="178" t="s">
        <v>13000</v>
      </c>
      <c r="AD130" s="172" t="s">
        <v>11808</v>
      </c>
      <c r="AE130" s="116" t="s">
        <v>11822</v>
      </c>
      <c r="AF130" s="177" t="s">
        <v>11876</v>
      </c>
      <c r="AG130" s="172" t="s">
        <v>11877</v>
      </c>
      <c r="AH130" s="171" t="s">
        <v>11878</v>
      </c>
    </row>
    <row r="131" spans="28:34">
      <c r="AB131" s="115">
        <v>45786</v>
      </c>
      <c r="AC131" s="178" t="s">
        <v>13001</v>
      </c>
      <c r="AD131" s="172" t="s">
        <v>11810</v>
      </c>
      <c r="AE131" s="116" t="s">
        <v>11823</v>
      </c>
      <c r="AF131" s="177" t="s">
        <v>11879</v>
      </c>
      <c r="AG131" s="172" t="s">
        <v>11877</v>
      </c>
      <c r="AH131" s="171" t="s">
        <v>11878</v>
      </c>
    </row>
    <row r="132" spans="28:34">
      <c r="AB132" s="115">
        <v>45787</v>
      </c>
      <c r="AC132" s="178" t="s">
        <v>13002</v>
      </c>
      <c r="AD132" s="172" t="s">
        <v>11812</v>
      </c>
      <c r="AE132" s="116" t="s">
        <v>11825</v>
      </c>
      <c r="AF132" s="177" t="s">
        <v>11879</v>
      </c>
      <c r="AG132" s="172" t="s">
        <v>11877</v>
      </c>
      <c r="AH132" s="171" t="s">
        <v>11878</v>
      </c>
    </row>
    <row r="133" spans="28:34">
      <c r="AB133" s="115">
        <v>45788</v>
      </c>
      <c r="AC133" s="178" t="s">
        <v>13003</v>
      </c>
      <c r="AD133" s="172" t="s">
        <v>11814</v>
      </c>
      <c r="AE133" s="116" t="s">
        <v>11826</v>
      </c>
      <c r="AF133" s="177" t="s">
        <v>11879</v>
      </c>
      <c r="AG133" s="172" t="s">
        <v>11877</v>
      </c>
      <c r="AH133" s="171" t="s">
        <v>11878</v>
      </c>
    </row>
    <row r="134" spans="28:34">
      <c r="AB134" s="115">
        <v>45789</v>
      </c>
      <c r="AC134" s="178" t="s">
        <v>13004</v>
      </c>
      <c r="AD134" s="172" t="s">
        <v>11816</v>
      </c>
      <c r="AE134" s="116" t="s">
        <v>11827</v>
      </c>
      <c r="AF134" s="177" t="s">
        <v>11879</v>
      </c>
      <c r="AG134" s="172" t="s">
        <v>11877</v>
      </c>
      <c r="AH134" s="171" t="s">
        <v>11878</v>
      </c>
    </row>
    <row r="135" spans="28:34">
      <c r="AB135" s="115">
        <v>45790</v>
      </c>
      <c r="AC135" s="178" t="s">
        <v>13005</v>
      </c>
      <c r="AD135" s="172" t="s">
        <v>11818</v>
      </c>
      <c r="AE135" s="116" t="s">
        <v>11830</v>
      </c>
      <c r="AF135" s="177" t="s">
        <v>11879</v>
      </c>
      <c r="AG135" s="172" t="s">
        <v>11877</v>
      </c>
      <c r="AH135" s="171" t="s">
        <v>11878</v>
      </c>
    </row>
    <row r="136" spans="28:34">
      <c r="AB136" s="115">
        <v>45791</v>
      </c>
      <c r="AC136" s="178" t="s">
        <v>13006</v>
      </c>
      <c r="AD136" s="172" t="s">
        <v>11803</v>
      </c>
      <c r="AE136" s="116" t="s">
        <v>11833</v>
      </c>
      <c r="AF136" s="177" t="s">
        <v>11879</v>
      </c>
      <c r="AG136" s="172" t="s">
        <v>11877</v>
      </c>
      <c r="AH136" s="171" t="s">
        <v>11878</v>
      </c>
    </row>
    <row r="137" spans="28:34">
      <c r="AB137" s="115">
        <v>45792</v>
      </c>
      <c r="AC137" s="178" t="s">
        <v>13007</v>
      </c>
      <c r="AD137" s="172" t="s">
        <v>11808</v>
      </c>
      <c r="AE137" s="116" t="s">
        <v>11836</v>
      </c>
      <c r="AF137" s="177" t="s">
        <v>11879</v>
      </c>
      <c r="AG137" s="172" t="s">
        <v>11877</v>
      </c>
      <c r="AH137" s="171" t="s">
        <v>11878</v>
      </c>
    </row>
    <row r="138" spans="28:34">
      <c r="AB138" s="115">
        <v>45793</v>
      </c>
      <c r="AC138" s="178" t="s">
        <v>13008</v>
      </c>
      <c r="AD138" s="172" t="s">
        <v>11810</v>
      </c>
      <c r="AE138" s="116" t="s">
        <v>11839</v>
      </c>
      <c r="AF138" s="177" t="s">
        <v>11879</v>
      </c>
      <c r="AG138" s="172" t="s">
        <v>11877</v>
      </c>
      <c r="AH138" s="171" t="s">
        <v>11878</v>
      </c>
    </row>
    <row r="139" spans="28:34">
      <c r="AB139" s="115">
        <v>45794</v>
      </c>
      <c r="AC139" s="178" t="s">
        <v>13009</v>
      </c>
      <c r="AD139" s="172" t="s">
        <v>11812</v>
      </c>
      <c r="AE139" s="116" t="s">
        <v>11842</v>
      </c>
      <c r="AF139" s="177" t="s">
        <v>11879</v>
      </c>
      <c r="AG139" s="172" t="s">
        <v>11877</v>
      </c>
      <c r="AH139" s="171" t="s">
        <v>11878</v>
      </c>
    </row>
    <row r="140" spans="28:34">
      <c r="AB140" s="115">
        <v>45795</v>
      </c>
      <c r="AC140" s="178" t="s">
        <v>13010</v>
      </c>
      <c r="AD140" s="172" t="s">
        <v>11814</v>
      </c>
      <c r="AE140" s="116" t="s">
        <v>11845</v>
      </c>
      <c r="AF140" s="177" t="s">
        <v>11879</v>
      </c>
      <c r="AG140" s="172" t="s">
        <v>11877</v>
      </c>
      <c r="AH140" s="171" t="s">
        <v>11878</v>
      </c>
    </row>
    <row r="141" spans="28:34">
      <c r="AB141" s="115">
        <v>45796</v>
      </c>
      <c r="AC141" s="178" t="s">
        <v>13011</v>
      </c>
      <c r="AD141" s="172" t="s">
        <v>11816</v>
      </c>
      <c r="AE141" s="116" t="s">
        <v>11848</v>
      </c>
      <c r="AF141" s="177" t="s">
        <v>11879</v>
      </c>
      <c r="AG141" s="172" t="s">
        <v>11877</v>
      </c>
      <c r="AH141" s="171" t="s">
        <v>11878</v>
      </c>
    </row>
    <row r="142" spans="28:34">
      <c r="AB142" s="115">
        <v>45797</v>
      </c>
      <c r="AC142" s="178" t="s">
        <v>13012</v>
      </c>
      <c r="AD142" s="172" t="s">
        <v>11818</v>
      </c>
      <c r="AE142" s="116" t="s">
        <v>11851</v>
      </c>
      <c r="AF142" s="177" t="s">
        <v>11879</v>
      </c>
      <c r="AG142" s="172" t="s">
        <v>11877</v>
      </c>
      <c r="AH142" s="171" t="s">
        <v>11878</v>
      </c>
    </row>
    <row r="143" spans="28:34">
      <c r="AB143" s="115">
        <v>45798</v>
      </c>
      <c r="AC143" s="178" t="s">
        <v>13013</v>
      </c>
      <c r="AD143" s="172" t="s">
        <v>11803</v>
      </c>
      <c r="AE143" s="116" t="s">
        <v>11854</v>
      </c>
      <c r="AF143" s="177" t="s">
        <v>11879</v>
      </c>
      <c r="AG143" s="172" t="s">
        <v>11877</v>
      </c>
      <c r="AH143" s="171" t="s">
        <v>11878</v>
      </c>
    </row>
    <row r="144" spans="28:34">
      <c r="AB144" s="115">
        <v>45799</v>
      </c>
      <c r="AC144" s="178" t="s">
        <v>13014</v>
      </c>
      <c r="AD144" s="172" t="s">
        <v>11808</v>
      </c>
      <c r="AE144" s="116" t="s">
        <v>11857</v>
      </c>
      <c r="AF144" s="177" t="s">
        <v>11879</v>
      </c>
      <c r="AG144" s="172" t="s">
        <v>11877</v>
      </c>
      <c r="AH144" s="171" t="s">
        <v>11878</v>
      </c>
    </row>
    <row r="145" spans="28:34">
      <c r="AB145" s="115">
        <v>45800</v>
      </c>
      <c r="AC145" s="178" t="s">
        <v>13015</v>
      </c>
      <c r="AD145" s="172" t="s">
        <v>11810</v>
      </c>
      <c r="AE145" s="116" t="s">
        <v>11860</v>
      </c>
      <c r="AF145" s="177" t="s">
        <v>11879</v>
      </c>
      <c r="AG145" s="172" t="s">
        <v>11877</v>
      </c>
      <c r="AH145" s="171" t="s">
        <v>11878</v>
      </c>
    </row>
    <row r="146" spans="28:34">
      <c r="AB146" s="115">
        <v>45801</v>
      </c>
      <c r="AC146" s="178" t="s">
        <v>13016</v>
      </c>
      <c r="AD146" s="172" t="s">
        <v>11812</v>
      </c>
      <c r="AE146" s="116" t="s">
        <v>11863</v>
      </c>
      <c r="AF146" s="177" t="s">
        <v>11879</v>
      </c>
      <c r="AG146" s="172" t="s">
        <v>11877</v>
      </c>
      <c r="AH146" s="171" t="s">
        <v>11880</v>
      </c>
    </row>
    <row r="147" spans="28:34">
      <c r="AB147" s="115">
        <v>45802</v>
      </c>
      <c r="AC147" s="178" t="s">
        <v>13017</v>
      </c>
      <c r="AD147" s="172" t="s">
        <v>11814</v>
      </c>
      <c r="AE147" s="116" t="s">
        <v>11866</v>
      </c>
      <c r="AF147" s="177" t="s">
        <v>11879</v>
      </c>
      <c r="AG147" s="172" t="s">
        <v>11877</v>
      </c>
      <c r="AH147" s="171" t="s">
        <v>11880</v>
      </c>
    </row>
    <row r="148" spans="28:34">
      <c r="AB148" s="115">
        <v>45803</v>
      </c>
      <c r="AC148" s="178" t="s">
        <v>13018</v>
      </c>
      <c r="AD148" s="172" t="s">
        <v>11816</v>
      </c>
      <c r="AE148" s="116" t="s">
        <v>11869</v>
      </c>
      <c r="AF148" s="177" t="s">
        <v>11879</v>
      </c>
      <c r="AG148" s="172" t="s">
        <v>11877</v>
      </c>
      <c r="AH148" s="171" t="s">
        <v>11880</v>
      </c>
    </row>
    <row r="149" spans="28:34">
      <c r="AB149" s="115">
        <v>45804</v>
      </c>
      <c r="AC149" s="178" t="s">
        <v>13019</v>
      </c>
      <c r="AD149" s="172" t="s">
        <v>11818</v>
      </c>
      <c r="AE149" s="116" t="s">
        <v>11872</v>
      </c>
      <c r="AF149" s="177" t="s">
        <v>11879</v>
      </c>
      <c r="AG149" s="172" t="s">
        <v>11877</v>
      </c>
      <c r="AH149" s="171" t="s">
        <v>11880</v>
      </c>
    </row>
    <row r="150" spans="28:34">
      <c r="AB150" s="115">
        <v>45805</v>
      </c>
      <c r="AC150" s="178" t="s">
        <v>13020</v>
      </c>
      <c r="AD150" s="172" t="s">
        <v>11803</v>
      </c>
      <c r="AE150" s="116" t="s">
        <v>11804</v>
      </c>
      <c r="AF150" s="177" t="s">
        <v>11879</v>
      </c>
      <c r="AG150" s="172" t="s">
        <v>11877</v>
      </c>
      <c r="AH150" s="171" t="s">
        <v>11880</v>
      </c>
    </row>
    <row r="151" spans="28:34">
      <c r="AB151" s="115">
        <v>45806</v>
      </c>
      <c r="AC151" s="178" t="s">
        <v>13021</v>
      </c>
      <c r="AD151" s="172" t="s">
        <v>11808</v>
      </c>
      <c r="AE151" s="116" t="s">
        <v>11809</v>
      </c>
      <c r="AF151" s="177" t="s">
        <v>11879</v>
      </c>
      <c r="AG151" s="172" t="s">
        <v>11877</v>
      </c>
      <c r="AH151" s="171" t="s">
        <v>11880</v>
      </c>
    </row>
    <row r="152" spans="28:34">
      <c r="AB152" s="115">
        <v>45807</v>
      </c>
      <c r="AC152" s="178" t="s">
        <v>13022</v>
      </c>
      <c r="AD152" s="172" t="s">
        <v>11810</v>
      </c>
      <c r="AE152" s="116" t="s">
        <v>11811</v>
      </c>
      <c r="AF152" s="177" t="s">
        <v>11879</v>
      </c>
      <c r="AG152" s="172" t="s">
        <v>11877</v>
      </c>
      <c r="AH152" s="171" t="s">
        <v>11880</v>
      </c>
    </row>
    <row r="153" spans="28:34">
      <c r="AB153" s="115">
        <v>45808</v>
      </c>
      <c r="AC153" s="178" t="s">
        <v>13023</v>
      </c>
      <c r="AD153" s="172" t="s">
        <v>11812</v>
      </c>
      <c r="AE153" s="116" t="s">
        <v>11813</v>
      </c>
      <c r="AF153" s="177" t="s">
        <v>11879</v>
      </c>
      <c r="AG153" s="172" t="s">
        <v>11877</v>
      </c>
      <c r="AH153" s="171" t="s">
        <v>11880</v>
      </c>
    </row>
    <row r="154" spans="28:34">
      <c r="AB154" s="115">
        <v>45809</v>
      </c>
      <c r="AC154" s="178" t="s">
        <v>13024</v>
      </c>
      <c r="AD154" s="172" t="s">
        <v>11814</v>
      </c>
      <c r="AE154" s="116" t="s">
        <v>11815</v>
      </c>
      <c r="AF154" s="177" t="s">
        <v>11879</v>
      </c>
      <c r="AG154" s="172" t="s">
        <v>11877</v>
      </c>
      <c r="AH154" s="171" t="s">
        <v>11880</v>
      </c>
    </row>
    <row r="155" spans="28:34">
      <c r="AB155" s="115">
        <v>45810</v>
      </c>
      <c r="AC155" s="178" t="s">
        <v>13025</v>
      </c>
      <c r="AD155" s="172" t="s">
        <v>11816</v>
      </c>
      <c r="AE155" s="116" t="s">
        <v>11817</v>
      </c>
      <c r="AF155" s="177" t="s">
        <v>11879</v>
      </c>
      <c r="AG155" s="172" t="s">
        <v>11877</v>
      </c>
      <c r="AH155" s="171" t="s">
        <v>11880</v>
      </c>
    </row>
    <row r="156" spans="28:34">
      <c r="AB156" s="115">
        <v>45811</v>
      </c>
      <c r="AC156" s="178" t="s">
        <v>13026</v>
      </c>
      <c r="AD156" s="172" t="s">
        <v>11818</v>
      </c>
      <c r="AE156" s="116" t="s">
        <v>11819</v>
      </c>
      <c r="AF156" s="177" t="s">
        <v>11879</v>
      </c>
      <c r="AG156" s="172" t="s">
        <v>11877</v>
      </c>
      <c r="AH156" s="171" t="s">
        <v>11880</v>
      </c>
    </row>
    <row r="157" spans="28:34">
      <c r="AB157" s="115">
        <v>45812</v>
      </c>
      <c r="AC157" s="178" t="s">
        <v>13027</v>
      </c>
      <c r="AD157" s="172" t="s">
        <v>11803</v>
      </c>
      <c r="AE157" s="116" t="s">
        <v>11820</v>
      </c>
      <c r="AF157" s="177" t="s">
        <v>11879</v>
      </c>
      <c r="AG157" s="172" t="s">
        <v>11877</v>
      </c>
      <c r="AH157" s="171" t="s">
        <v>11880</v>
      </c>
    </row>
    <row r="158" spans="28:34">
      <c r="AB158" s="115">
        <v>45813</v>
      </c>
      <c r="AC158" s="178" t="s">
        <v>13028</v>
      </c>
      <c r="AD158" s="172" t="s">
        <v>11808</v>
      </c>
      <c r="AE158" s="116" t="s">
        <v>11821</v>
      </c>
      <c r="AF158" s="177" t="s">
        <v>11879</v>
      </c>
      <c r="AG158" s="172" t="s">
        <v>11877</v>
      </c>
      <c r="AH158" s="171" t="s">
        <v>11880</v>
      </c>
    </row>
    <row r="159" spans="28:34">
      <c r="AB159" s="115">
        <v>45814</v>
      </c>
      <c r="AC159" s="178" t="s">
        <v>13029</v>
      </c>
      <c r="AD159" s="172" t="s">
        <v>11810</v>
      </c>
      <c r="AE159" s="116" t="s">
        <v>11822</v>
      </c>
      <c r="AF159" s="177" t="s">
        <v>11879</v>
      </c>
      <c r="AG159" s="172" t="s">
        <v>11877</v>
      </c>
      <c r="AH159" s="171" t="s">
        <v>11880</v>
      </c>
    </row>
    <row r="160" spans="28:34">
      <c r="AB160" s="115">
        <v>45815</v>
      </c>
      <c r="AC160" s="178" t="s">
        <v>13030</v>
      </c>
      <c r="AD160" s="172" t="s">
        <v>11812</v>
      </c>
      <c r="AE160" s="116" t="s">
        <v>11873</v>
      </c>
      <c r="AF160" s="177" t="s">
        <v>11879</v>
      </c>
      <c r="AG160" s="172" t="s">
        <v>11877</v>
      </c>
      <c r="AH160" s="171" t="s">
        <v>11880</v>
      </c>
    </row>
    <row r="161" spans="28:34">
      <c r="AB161" s="115">
        <v>45816</v>
      </c>
      <c r="AC161" s="178" t="s">
        <v>13031</v>
      </c>
      <c r="AD161" s="172" t="s">
        <v>11814</v>
      </c>
      <c r="AE161" s="116" t="s">
        <v>11823</v>
      </c>
      <c r="AF161" s="177" t="s">
        <v>11881</v>
      </c>
      <c r="AG161" s="172" t="s">
        <v>11877</v>
      </c>
      <c r="AH161" s="171" t="s">
        <v>11880</v>
      </c>
    </row>
    <row r="162" spans="28:34">
      <c r="AB162" s="115">
        <v>45817</v>
      </c>
      <c r="AC162" s="178" t="s">
        <v>13032</v>
      </c>
      <c r="AD162" s="172" t="s">
        <v>11816</v>
      </c>
      <c r="AE162" s="116" t="s">
        <v>11825</v>
      </c>
      <c r="AF162" s="177" t="s">
        <v>11881</v>
      </c>
      <c r="AG162" s="172" t="s">
        <v>11877</v>
      </c>
      <c r="AH162" s="171" t="s">
        <v>11880</v>
      </c>
    </row>
    <row r="163" spans="28:34">
      <c r="AB163" s="115">
        <v>45818</v>
      </c>
      <c r="AC163" s="178" t="s">
        <v>13033</v>
      </c>
      <c r="AD163" s="172" t="s">
        <v>11818</v>
      </c>
      <c r="AE163" s="116" t="s">
        <v>11826</v>
      </c>
      <c r="AF163" s="177" t="s">
        <v>11881</v>
      </c>
      <c r="AG163" s="172" t="s">
        <v>11877</v>
      </c>
      <c r="AH163" s="171" t="s">
        <v>11880</v>
      </c>
    </row>
    <row r="164" spans="28:34">
      <c r="AB164" s="115">
        <v>45819</v>
      </c>
      <c r="AC164" s="178" t="s">
        <v>13034</v>
      </c>
      <c r="AD164" s="172" t="s">
        <v>11803</v>
      </c>
      <c r="AE164" s="116" t="s">
        <v>11827</v>
      </c>
      <c r="AF164" s="177" t="s">
        <v>11881</v>
      </c>
      <c r="AG164" s="172" t="s">
        <v>11877</v>
      </c>
      <c r="AH164" s="171" t="s">
        <v>11880</v>
      </c>
    </row>
    <row r="165" spans="28:34">
      <c r="AB165" s="115">
        <v>45820</v>
      </c>
      <c r="AC165" s="178" t="s">
        <v>13035</v>
      </c>
      <c r="AD165" s="172" t="s">
        <v>11808</v>
      </c>
      <c r="AE165" s="116" t="s">
        <v>11830</v>
      </c>
      <c r="AF165" s="177" t="s">
        <v>11881</v>
      </c>
      <c r="AG165" s="172" t="s">
        <v>11877</v>
      </c>
      <c r="AH165" s="171" t="s">
        <v>11880</v>
      </c>
    </row>
    <row r="166" spans="28:34">
      <c r="AB166" s="115">
        <v>45821</v>
      </c>
      <c r="AC166" s="178" t="s">
        <v>13036</v>
      </c>
      <c r="AD166" s="172" t="s">
        <v>11810</v>
      </c>
      <c r="AE166" s="116" t="s">
        <v>11833</v>
      </c>
      <c r="AF166" s="177" t="s">
        <v>11881</v>
      </c>
      <c r="AG166" s="172" t="s">
        <v>11877</v>
      </c>
      <c r="AH166" s="171" t="s">
        <v>11880</v>
      </c>
    </row>
    <row r="167" spans="28:34">
      <c r="AB167" s="115">
        <v>45822</v>
      </c>
      <c r="AC167" s="178" t="s">
        <v>13037</v>
      </c>
      <c r="AD167" s="172" t="s">
        <v>11812</v>
      </c>
      <c r="AE167" s="116" t="s">
        <v>11836</v>
      </c>
      <c r="AF167" s="177" t="s">
        <v>11881</v>
      </c>
      <c r="AG167" s="172" t="s">
        <v>11877</v>
      </c>
      <c r="AH167" s="171" t="s">
        <v>11880</v>
      </c>
    </row>
    <row r="168" spans="28:34">
      <c r="AB168" s="115">
        <v>45823</v>
      </c>
      <c r="AC168" s="178" t="s">
        <v>13038</v>
      </c>
      <c r="AD168" s="172" t="s">
        <v>11814</v>
      </c>
      <c r="AE168" s="116" t="s">
        <v>11839</v>
      </c>
      <c r="AF168" s="177" t="s">
        <v>11881</v>
      </c>
      <c r="AG168" s="172" t="s">
        <v>11877</v>
      </c>
      <c r="AH168" s="171" t="s">
        <v>11880</v>
      </c>
    </row>
    <row r="169" spans="28:34">
      <c r="AB169" s="115">
        <v>45824</v>
      </c>
      <c r="AC169" s="178" t="s">
        <v>13039</v>
      </c>
      <c r="AD169" s="172" t="s">
        <v>11816</v>
      </c>
      <c r="AE169" s="116" t="s">
        <v>11842</v>
      </c>
      <c r="AF169" s="177" t="s">
        <v>11881</v>
      </c>
      <c r="AG169" s="172" t="s">
        <v>11877</v>
      </c>
      <c r="AH169" s="171" t="s">
        <v>11880</v>
      </c>
    </row>
    <row r="170" spans="28:34">
      <c r="AB170" s="115">
        <v>45825</v>
      </c>
      <c r="AC170" s="178" t="s">
        <v>13040</v>
      </c>
      <c r="AD170" s="172" t="s">
        <v>11818</v>
      </c>
      <c r="AE170" s="116" t="s">
        <v>11845</v>
      </c>
      <c r="AF170" s="177" t="s">
        <v>11881</v>
      </c>
      <c r="AG170" s="172" t="s">
        <v>11877</v>
      </c>
      <c r="AH170" s="171" t="s">
        <v>11880</v>
      </c>
    </row>
    <row r="171" spans="28:34">
      <c r="AB171" s="115">
        <v>45826</v>
      </c>
      <c r="AC171" s="178" t="s">
        <v>13041</v>
      </c>
      <c r="AD171" s="172" t="s">
        <v>11803</v>
      </c>
      <c r="AE171" s="116" t="s">
        <v>11848</v>
      </c>
      <c r="AF171" s="177" t="s">
        <v>11881</v>
      </c>
      <c r="AG171" s="172" t="s">
        <v>11877</v>
      </c>
      <c r="AH171" s="171" t="s">
        <v>11880</v>
      </c>
    </row>
    <row r="172" spans="28:34">
      <c r="AB172" s="115">
        <v>45827</v>
      </c>
      <c r="AC172" s="178" t="s">
        <v>13042</v>
      </c>
      <c r="AD172" s="172" t="s">
        <v>11808</v>
      </c>
      <c r="AE172" s="116" t="s">
        <v>11851</v>
      </c>
      <c r="AF172" s="177" t="s">
        <v>11881</v>
      </c>
      <c r="AG172" s="172" t="s">
        <v>11877</v>
      </c>
      <c r="AH172" s="171" t="s">
        <v>11880</v>
      </c>
    </row>
    <row r="173" spans="28:34">
      <c r="AB173" s="115">
        <v>45828</v>
      </c>
      <c r="AC173" s="178" t="s">
        <v>13043</v>
      </c>
      <c r="AD173" s="172" t="s">
        <v>11810</v>
      </c>
      <c r="AE173" s="116" t="s">
        <v>11854</v>
      </c>
      <c r="AF173" s="177" t="s">
        <v>11881</v>
      </c>
      <c r="AG173" s="172" t="s">
        <v>11877</v>
      </c>
      <c r="AH173" s="171" t="s">
        <v>11880</v>
      </c>
    </row>
    <row r="174" spans="28:34">
      <c r="AB174" s="115">
        <v>45829</v>
      </c>
      <c r="AC174" s="178" t="s">
        <v>13044</v>
      </c>
      <c r="AD174" s="172" t="s">
        <v>11812</v>
      </c>
      <c r="AE174" s="116" t="s">
        <v>11857</v>
      </c>
      <c r="AF174" s="177" t="s">
        <v>11881</v>
      </c>
      <c r="AG174" s="172" t="s">
        <v>11877</v>
      </c>
      <c r="AH174" s="171" t="s">
        <v>11880</v>
      </c>
    </row>
    <row r="175" spans="28:34">
      <c r="AB175" s="115">
        <v>45830</v>
      </c>
      <c r="AC175" s="178" t="s">
        <v>13045</v>
      </c>
      <c r="AD175" s="172" t="s">
        <v>11814</v>
      </c>
      <c r="AE175" s="116" t="s">
        <v>11860</v>
      </c>
      <c r="AF175" s="177" t="s">
        <v>11881</v>
      </c>
      <c r="AG175" s="172" t="s">
        <v>11877</v>
      </c>
      <c r="AH175" s="171" t="s">
        <v>11880</v>
      </c>
    </row>
    <row r="176" spans="28:34">
      <c r="AB176" s="115">
        <v>45831</v>
      </c>
      <c r="AC176" s="178" t="s">
        <v>13046</v>
      </c>
      <c r="AD176" s="172" t="s">
        <v>11816</v>
      </c>
      <c r="AE176" s="116" t="s">
        <v>11863</v>
      </c>
      <c r="AF176" s="177" t="s">
        <v>11881</v>
      </c>
      <c r="AG176" s="172" t="s">
        <v>11877</v>
      </c>
      <c r="AH176" s="171" t="s">
        <v>11880</v>
      </c>
    </row>
    <row r="177" spans="28:34">
      <c r="AB177" s="115">
        <v>45832</v>
      </c>
      <c r="AC177" s="178" t="s">
        <v>13047</v>
      </c>
      <c r="AD177" s="172" t="s">
        <v>11818</v>
      </c>
      <c r="AE177" s="116" t="s">
        <v>11866</v>
      </c>
      <c r="AF177" s="177" t="s">
        <v>11881</v>
      </c>
      <c r="AG177" s="172" t="s">
        <v>11877</v>
      </c>
      <c r="AH177" s="171" t="s">
        <v>11880</v>
      </c>
    </row>
    <row r="178" spans="28:34">
      <c r="AB178" s="115">
        <v>45833</v>
      </c>
      <c r="AC178" s="178" t="s">
        <v>13048</v>
      </c>
      <c r="AD178" s="172" t="s">
        <v>11803</v>
      </c>
      <c r="AE178" s="116" t="s">
        <v>11869</v>
      </c>
      <c r="AF178" s="177" t="s">
        <v>11881</v>
      </c>
      <c r="AG178" s="172" t="s">
        <v>11877</v>
      </c>
      <c r="AH178" s="171" t="s">
        <v>11880</v>
      </c>
    </row>
    <row r="179" spans="28:34">
      <c r="AB179" s="115">
        <v>45834</v>
      </c>
      <c r="AC179" s="178" t="s">
        <v>13049</v>
      </c>
      <c r="AD179" s="172" t="s">
        <v>11808</v>
      </c>
      <c r="AE179" s="116" t="s">
        <v>11872</v>
      </c>
      <c r="AF179" s="177" t="s">
        <v>11881</v>
      </c>
      <c r="AG179" s="172" t="s">
        <v>11877</v>
      </c>
      <c r="AH179" s="171" t="s">
        <v>11880</v>
      </c>
    </row>
    <row r="180" spans="28:34">
      <c r="AB180" s="115">
        <v>45835</v>
      </c>
      <c r="AC180" s="178" t="s">
        <v>13050</v>
      </c>
      <c r="AD180" s="172" t="s">
        <v>11810</v>
      </c>
      <c r="AE180" s="116" t="s">
        <v>11804</v>
      </c>
      <c r="AF180" s="177" t="s">
        <v>11881</v>
      </c>
      <c r="AG180" s="172" t="s">
        <v>11877</v>
      </c>
      <c r="AH180" s="171" t="s">
        <v>11880</v>
      </c>
    </row>
    <row r="181" spans="28:34">
      <c r="AB181" s="115">
        <v>45836</v>
      </c>
      <c r="AC181" s="178" t="s">
        <v>13051</v>
      </c>
      <c r="AD181" s="172" t="s">
        <v>11812</v>
      </c>
      <c r="AE181" s="116" t="s">
        <v>11809</v>
      </c>
      <c r="AF181" s="177" t="s">
        <v>11881</v>
      </c>
      <c r="AG181" s="172" t="s">
        <v>11877</v>
      </c>
      <c r="AH181" s="171" t="s">
        <v>11880</v>
      </c>
    </row>
    <row r="182" spans="28:34">
      <c r="AB182" s="115">
        <v>45837</v>
      </c>
      <c r="AC182" s="178" t="s">
        <v>13052</v>
      </c>
      <c r="AD182" s="172" t="s">
        <v>11814</v>
      </c>
      <c r="AE182" s="116" t="s">
        <v>11811</v>
      </c>
      <c r="AF182" s="177" t="s">
        <v>11881</v>
      </c>
      <c r="AG182" s="172" t="s">
        <v>11877</v>
      </c>
      <c r="AH182" s="171" t="s">
        <v>11880</v>
      </c>
    </row>
    <row r="183" spans="28:34">
      <c r="AB183" s="115">
        <v>45838</v>
      </c>
      <c r="AC183" s="178" t="s">
        <v>13053</v>
      </c>
      <c r="AD183" s="172" t="s">
        <v>11816</v>
      </c>
      <c r="AE183" s="116" t="s">
        <v>11813</v>
      </c>
      <c r="AF183" s="177" t="s">
        <v>11881</v>
      </c>
      <c r="AG183" s="172" t="s">
        <v>11877</v>
      </c>
      <c r="AH183" s="171" t="s">
        <v>11880</v>
      </c>
    </row>
    <row r="184" spans="28:34">
      <c r="AB184" s="115">
        <v>45839</v>
      </c>
      <c r="AC184" s="178" t="s">
        <v>13054</v>
      </c>
      <c r="AD184" s="172" t="s">
        <v>11818</v>
      </c>
      <c r="AE184" s="116" t="s">
        <v>11815</v>
      </c>
      <c r="AF184" s="177" t="s">
        <v>11881</v>
      </c>
      <c r="AG184" s="172" t="s">
        <v>11877</v>
      </c>
      <c r="AH184" s="171" t="s">
        <v>11880</v>
      </c>
    </row>
    <row r="185" spans="28:34">
      <c r="AB185" s="115">
        <v>45840</v>
      </c>
      <c r="AC185" s="178" t="s">
        <v>13055</v>
      </c>
      <c r="AD185" s="172" t="s">
        <v>11803</v>
      </c>
      <c r="AE185" s="116" t="s">
        <v>11817</v>
      </c>
      <c r="AF185" s="177" t="s">
        <v>11881</v>
      </c>
      <c r="AG185" s="172" t="s">
        <v>11877</v>
      </c>
      <c r="AH185" s="171" t="s">
        <v>11880</v>
      </c>
    </row>
    <row r="186" spans="28:34">
      <c r="AB186" s="115">
        <v>45841</v>
      </c>
      <c r="AC186" s="178" t="s">
        <v>13056</v>
      </c>
      <c r="AD186" s="172" t="s">
        <v>11808</v>
      </c>
      <c r="AE186" s="116" t="s">
        <v>11819</v>
      </c>
      <c r="AF186" s="177" t="s">
        <v>11881</v>
      </c>
      <c r="AG186" s="172" t="s">
        <v>11877</v>
      </c>
      <c r="AH186" s="171" t="s">
        <v>11880</v>
      </c>
    </row>
    <row r="187" spans="28:34">
      <c r="AB187" s="115">
        <v>45842</v>
      </c>
      <c r="AC187" s="178" t="s">
        <v>13057</v>
      </c>
      <c r="AD187" s="172" t="s">
        <v>11810</v>
      </c>
      <c r="AE187" s="116" t="s">
        <v>11820</v>
      </c>
      <c r="AF187" s="177" t="s">
        <v>11881</v>
      </c>
      <c r="AG187" s="172" t="s">
        <v>11877</v>
      </c>
      <c r="AH187" s="171" t="s">
        <v>11880</v>
      </c>
    </row>
    <row r="188" spans="28:34">
      <c r="AB188" s="115">
        <v>45843</v>
      </c>
      <c r="AC188" s="178" t="s">
        <v>13058</v>
      </c>
      <c r="AD188" s="172" t="s">
        <v>11812</v>
      </c>
      <c r="AE188" s="116" t="s">
        <v>11821</v>
      </c>
      <c r="AF188" s="177" t="s">
        <v>11881</v>
      </c>
      <c r="AG188" s="172" t="s">
        <v>11877</v>
      </c>
      <c r="AH188" s="171" t="s">
        <v>11880</v>
      </c>
    </row>
    <row r="189" spans="28:34">
      <c r="AB189" s="115">
        <v>45844</v>
      </c>
      <c r="AC189" s="178" t="s">
        <v>13059</v>
      </c>
      <c r="AD189" s="172" t="s">
        <v>11814</v>
      </c>
      <c r="AE189" s="116" t="s">
        <v>11822</v>
      </c>
      <c r="AF189" s="177" t="s">
        <v>11881</v>
      </c>
      <c r="AG189" s="172" t="s">
        <v>11877</v>
      </c>
      <c r="AH189" s="171" t="s">
        <v>11880</v>
      </c>
    </row>
    <row r="190" spans="28:34">
      <c r="AB190" s="115">
        <v>45845</v>
      </c>
      <c r="AC190" s="178" t="s">
        <v>13060</v>
      </c>
      <c r="AD190" s="172" t="s">
        <v>11816</v>
      </c>
      <c r="AE190" s="116" t="s">
        <v>11823</v>
      </c>
      <c r="AF190" s="177" t="s">
        <v>11882</v>
      </c>
      <c r="AG190" s="172" t="s">
        <v>11877</v>
      </c>
      <c r="AH190" s="171" t="s">
        <v>11880</v>
      </c>
    </row>
    <row r="191" spans="28:34">
      <c r="AB191" s="115">
        <v>45846</v>
      </c>
      <c r="AC191" s="178" t="s">
        <v>13061</v>
      </c>
      <c r="AD191" s="172" t="s">
        <v>11818</v>
      </c>
      <c r="AE191" s="116" t="s">
        <v>11825</v>
      </c>
      <c r="AF191" s="177" t="s">
        <v>11882</v>
      </c>
      <c r="AG191" s="172" t="s">
        <v>11877</v>
      </c>
      <c r="AH191" s="171" t="s">
        <v>11880</v>
      </c>
    </row>
    <row r="192" spans="28:34">
      <c r="AB192" s="115">
        <v>45847</v>
      </c>
      <c r="AC192" s="178" t="s">
        <v>13062</v>
      </c>
      <c r="AD192" s="172" t="s">
        <v>11803</v>
      </c>
      <c r="AE192" s="116" t="s">
        <v>11826</v>
      </c>
      <c r="AF192" s="177" t="s">
        <v>11882</v>
      </c>
      <c r="AG192" s="172" t="s">
        <v>11877</v>
      </c>
      <c r="AH192" s="171" t="s">
        <v>11880</v>
      </c>
    </row>
    <row r="193" spans="28:34">
      <c r="AB193" s="115">
        <v>45848</v>
      </c>
      <c r="AC193" s="178" t="s">
        <v>13063</v>
      </c>
      <c r="AD193" s="172" t="s">
        <v>11808</v>
      </c>
      <c r="AE193" s="116" t="s">
        <v>11827</v>
      </c>
      <c r="AF193" s="177" t="s">
        <v>11882</v>
      </c>
      <c r="AG193" s="172" t="s">
        <v>11877</v>
      </c>
      <c r="AH193" s="171" t="s">
        <v>11880</v>
      </c>
    </row>
    <row r="194" spans="28:34">
      <c r="AB194" s="115">
        <v>45849</v>
      </c>
      <c r="AC194" s="178" t="s">
        <v>13064</v>
      </c>
      <c r="AD194" s="172" t="s">
        <v>11810</v>
      </c>
      <c r="AE194" s="116" t="s">
        <v>11830</v>
      </c>
      <c r="AF194" s="177" t="s">
        <v>11882</v>
      </c>
      <c r="AG194" s="172" t="s">
        <v>11877</v>
      </c>
      <c r="AH194" s="171" t="s">
        <v>11880</v>
      </c>
    </row>
    <row r="195" spans="28:34">
      <c r="AB195" s="115">
        <v>45850</v>
      </c>
      <c r="AC195" s="178" t="s">
        <v>13065</v>
      </c>
      <c r="AD195" s="172" t="s">
        <v>11812</v>
      </c>
      <c r="AE195" s="116" t="s">
        <v>11833</v>
      </c>
      <c r="AF195" s="177" t="s">
        <v>11882</v>
      </c>
      <c r="AG195" s="172" t="s">
        <v>11877</v>
      </c>
      <c r="AH195" s="171" t="s">
        <v>11880</v>
      </c>
    </row>
    <row r="196" spans="28:34">
      <c r="AB196" s="115">
        <v>45851</v>
      </c>
      <c r="AC196" s="178" t="s">
        <v>13066</v>
      </c>
      <c r="AD196" s="172" t="s">
        <v>11814</v>
      </c>
      <c r="AE196" s="116" t="s">
        <v>11836</v>
      </c>
      <c r="AF196" s="177" t="s">
        <v>11882</v>
      </c>
      <c r="AG196" s="172" t="s">
        <v>11877</v>
      </c>
      <c r="AH196" s="171" t="s">
        <v>11880</v>
      </c>
    </row>
    <row r="197" spans="28:34">
      <c r="AB197" s="115">
        <v>45852</v>
      </c>
      <c r="AC197" s="178" t="s">
        <v>13067</v>
      </c>
      <c r="AD197" s="172" t="s">
        <v>11816</v>
      </c>
      <c r="AE197" s="116" t="s">
        <v>11839</v>
      </c>
      <c r="AF197" s="177" t="s">
        <v>11882</v>
      </c>
      <c r="AG197" s="172" t="s">
        <v>11877</v>
      </c>
      <c r="AH197" s="171" t="s">
        <v>11880</v>
      </c>
    </row>
    <row r="198" spans="28:34">
      <c r="AB198" s="115">
        <v>45853</v>
      </c>
      <c r="AC198" s="178" t="s">
        <v>13068</v>
      </c>
      <c r="AD198" s="172" t="s">
        <v>11818</v>
      </c>
      <c r="AE198" s="116" t="s">
        <v>11842</v>
      </c>
      <c r="AF198" s="177" t="s">
        <v>11882</v>
      </c>
      <c r="AG198" s="172" t="s">
        <v>11877</v>
      </c>
      <c r="AH198" s="171" t="s">
        <v>11880</v>
      </c>
    </row>
    <row r="199" spans="28:34">
      <c r="AB199" s="115">
        <v>45854</v>
      </c>
      <c r="AC199" s="178" t="s">
        <v>13069</v>
      </c>
      <c r="AD199" s="172" t="s">
        <v>11803</v>
      </c>
      <c r="AE199" s="116" t="s">
        <v>11845</v>
      </c>
      <c r="AF199" s="177" t="s">
        <v>11882</v>
      </c>
      <c r="AG199" s="172" t="s">
        <v>11877</v>
      </c>
      <c r="AH199" s="171" t="s">
        <v>11880</v>
      </c>
    </row>
    <row r="200" spans="28:34">
      <c r="AB200" s="115">
        <v>45855</v>
      </c>
      <c r="AC200" s="178" t="s">
        <v>13070</v>
      </c>
      <c r="AD200" s="172" t="s">
        <v>11808</v>
      </c>
      <c r="AE200" s="116" t="s">
        <v>11848</v>
      </c>
      <c r="AF200" s="177" t="s">
        <v>11882</v>
      </c>
      <c r="AG200" s="172" t="s">
        <v>11877</v>
      </c>
      <c r="AH200" s="171" t="s">
        <v>11880</v>
      </c>
    </row>
    <row r="201" spans="28:34">
      <c r="AB201" s="115">
        <v>45856</v>
      </c>
      <c r="AC201" s="178" t="s">
        <v>13071</v>
      </c>
      <c r="AD201" s="172" t="s">
        <v>11810</v>
      </c>
      <c r="AE201" s="116" t="s">
        <v>11851</v>
      </c>
      <c r="AF201" s="177" t="s">
        <v>11882</v>
      </c>
      <c r="AG201" s="172" t="s">
        <v>11877</v>
      </c>
      <c r="AH201" s="171" t="s">
        <v>11880</v>
      </c>
    </row>
    <row r="202" spans="28:34">
      <c r="AB202" s="115">
        <v>45857</v>
      </c>
      <c r="AC202" s="178" t="s">
        <v>13072</v>
      </c>
      <c r="AD202" s="172" t="s">
        <v>11812</v>
      </c>
      <c r="AE202" s="116" t="s">
        <v>11854</v>
      </c>
      <c r="AF202" s="177" t="s">
        <v>11882</v>
      </c>
      <c r="AG202" s="172" t="s">
        <v>11877</v>
      </c>
      <c r="AH202" s="171" t="s">
        <v>11880</v>
      </c>
    </row>
    <row r="203" spans="28:34">
      <c r="AB203" s="115">
        <v>45858</v>
      </c>
      <c r="AC203" s="178" t="s">
        <v>13073</v>
      </c>
      <c r="AD203" s="172" t="s">
        <v>11814</v>
      </c>
      <c r="AE203" s="116" t="s">
        <v>11857</v>
      </c>
      <c r="AF203" s="177" t="s">
        <v>11882</v>
      </c>
      <c r="AG203" s="172" t="s">
        <v>11877</v>
      </c>
      <c r="AH203" s="171" t="s">
        <v>11880</v>
      </c>
    </row>
    <row r="204" spans="28:34">
      <c r="AB204" s="115">
        <v>45859</v>
      </c>
      <c r="AC204" s="178" t="s">
        <v>13074</v>
      </c>
      <c r="AD204" s="172" t="s">
        <v>11816</v>
      </c>
      <c r="AE204" s="116" t="s">
        <v>11860</v>
      </c>
      <c r="AF204" s="177" t="s">
        <v>11882</v>
      </c>
      <c r="AG204" s="172" t="s">
        <v>11877</v>
      </c>
      <c r="AH204" s="171" t="s">
        <v>11880</v>
      </c>
    </row>
    <row r="205" spans="28:34">
      <c r="AB205" s="115">
        <v>45860</v>
      </c>
      <c r="AC205" s="178" t="s">
        <v>13075</v>
      </c>
      <c r="AD205" s="172" t="s">
        <v>11818</v>
      </c>
      <c r="AE205" s="116" t="s">
        <v>11863</v>
      </c>
      <c r="AF205" s="177" t="s">
        <v>11882</v>
      </c>
      <c r="AG205" s="172" t="s">
        <v>11877</v>
      </c>
      <c r="AH205" s="171" t="s">
        <v>11880</v>
      </c>
    </row>
    <row r="206" spans="28:34">
      <c r="AB206" s="115">
        <v>45861</v>
      </c>
      <c r="AC206" s="178" t="s">
        <v>13076</v>
      </c>
      <c r="AD206" s="172" t="s">
        <v>11803</v>
      </c>
      <c r="AE206" s="116" t="s">
        <v>11866</v>
      </c>
      <c r="AF206" s="177" t="s">
        <v>11882</v>
      </c>
      <c r="AG206" s="172" t="s">
        <v>11877</v>
      </c>
      <c r="AH206" s="171" t="s">
        <v>11880</v>
      </c>
    </row>
    <row r="207" spans="28:34">
      <c r="AB207" s="115">
        <v>45862</v>
      </c>
      <c r="AC207" s="178" t="s">
        <v>13077</v>
      </c>
      <c r="AD207" s="172" t="s">
        <v>11808</v>
      </c>
      <c r="AE207" s="116" t="s">
        <v>11869</v>
      </c>
      <c r="AF207" s="177" t="s">
        <v>11882</v>
      </c>
      <c r="AG207" s="172" t="s">
        <v>11877</v>
      </c>
      <c r="AH207" s="171" t="s">
        <v>11880</v>
      </c>
    </row>
    <row r="208" spans="28:34">
      <c r="AB208" s="115">
        <v>45863</v>
      </c>
      <c r="AC208" s="178" t="s">
        <v>13078</v>
      </c>
      <c r="AD208" s="172" t="s">
        <v>11810</v>
      </c>
      <c r="AE208" s="116" t="s">
        <v>11872</v>
      </c>
      <c r="AF208" s="177" t="s">
        <v>11882</v>
      </c>
      <c r="AG208" s="172" t="s">
        <v>11877</v>
      </c>
      <c r="AH208" s="171" t="s">
        <v>11880</v>
      </c>
    </row>
    <row r="209" spans="28:34">
      <c r="AB209" s="115">
        <v>45864</v>
      </c>
      <c r="AC209" s="178" t="s">
        <v>13079</v>
      </c>
      <c r="AD209" s="172" t="s">
        <v>11812</v>
      </c>
      <c r="AE209" s="116" t="s">
        <v>11804</v>
      </c>
      <c r="AF209" s="177" t="s">
        <v>11882</v>
      </c>
      <c r="AG209" s="172" t="s">
        <v>11877</v>
      </c>
      <c r="AH209" s="171" t="s">
        <v>11880</v>
      </c>
    </row>
    <row r="210" spans="28:34">
      <c r="AB210" s="115">
        <v>45865</v>
      </c>
      <c r="AC210" s="178" t="s">
        <v>13080</v>
      </c>
      <c r="AD210" s="172" t="s">
        <v>11814</v>
      </c>
      <c r="AE210" s="116" t="s">
        <v>11809</v>
      </c>
      <c r="AF210" s="177" t="s">
        <v>11882</v>
      </c>
      <c r="AG210" s="172" t="s">
        <v>11877</v>
      </c>
      <c r="AH210" s="171" t="s">
        <v>11880</v>
      </c>
    </row>
    <row r="211" spans="28:34">
      <c r="AB211" s="115">
        <v>45866</v>
      </c>
      <c r="AC211" s="178" t="s">
        <v>13081</v>
      </c>
      <c r="AD211" s="172" t="s">
        <v>11816</v>
      </c>
      <c r="AE211" s="116" t="s">
        <v>11811</v>
      </c>
      <c r="AF211" s="177" t="s">
        <v>11882</v>
      </c>
      <c r="AG211" s="172" t="s">
        <v>11877</v>
      </c>
      <c r="AH211" s="171" t="s">
        <v>11880</v>
      </c>
    </row>
    <row r="212" spans="28:34">
      <c r="AB212" s="115">
        <v>45867</v>
      </c>
      <c r="AC212" s="178" t="s">
        <v>13082</v>
      </c>
      <c r="AD212" s="172" t="s">
        <v>11818</v>
      </c>
      <c r="AE212" s="116" t="s">
        <v>11813</v>
      </c>
      <c r="AF212" s="177" t="s">
        <v>11882</v>
      </c>
      <c r="AG212" s="172" t="s">
        <v>11877</v>
      </c>
      <c r="AH212" s="171" t="s">
        <v>11880</v>
      </c>
    </row>
    <row r="213" spans="28:34">
      <c r="AB213" s="115">
        <v>45868</v>
      </c>
      <c r="AC213" s="178" t="s">
        <v>13083</v>
      </c>
      <c r="AD213" s="172" t="s">
        <v>11803</v>
      </c>
      <c r="AE213" s="116" t="s">
        <v>11815</v>
      </c>
      <c r="AF213" s="177" t="s">
        <v>11882</v>
      </c>
      <c r="AG213" s="172" t="s">
        <v>11877</v>
      </c>
      <c r="AH213" s="171" t="s">
        <v>11880</v>
      </c>
    </row>
    <row r="214" spans="28:34">
      <c r="AB214" s="115">
        <v>45869</v>
      </c>
      <c r="AC214" s="178" t="s">
        <v>13084</v>
      </c>
      <c r="AD214" s="172" t="s">
        <v>11808</v>
      </c>
      <c r="AE214" s="116" t="s">
        <v>11817</v>
      </c>
      <c r="AF214" s="177" t="s">
        <v>11882</v>
      </c>
      <c r="AG214" s="172" t="s">
        <v>11877</v>
      </c>
      <c r="AH214" s="171" t="s">
        <v>11880</v>
      </c>
    </row>
    <row r="215" spans="28:34">
      <c r="AB215" s="115">
        <v>45870</v>
      </c>
      <c r="AC215" s="178" t="s">
        <v>13085</v>
      </c>
      <c r="AD215" s="172" t="s">
        <v>11810</v>
      </c>
      <c r="AE215" s="116" t="s">
        <v>11819</v>
      </c>
      <c r="AF215" s="177" t="s">
        <v>11882</v>
      </c>
      <c r="AG215" s="172" t="s">
        <v>11877</v>
      </c>
      <c r="AH215" s="171" t="s">
        <v>11880</v>
      </c>
    </row>
    <row r="216" spans="28:34">
      <c r="AB216" s="115">
        <v>45871</v>
      </c>
      <c r="AC216" s="178" t="s">
        <v>13086</v>
      </c>
      <c r="AD216" s="172" t="s">
        <v>11812</v>
      </c>
      <c r="AE216" s="116" t="s">
        <v>11820</v>
      </c>
      <c r="AF216" s="177" t="s">
        <v>11882</v>
      </c>
      <c r="AG216" s="172" t="s">
        <v>11877</v>
      </c>
      <c r="AH216" s="171" t="s">
        <v>11880</v>
      </c>
    </row>
    <row r="217" spans="28:34">
      <c r="AB217" s="115">
        <v>45872</v>
      </c>
      <c r="AC217" s="178" t="s">
        <v>13087</v>
      </c>
      <c r="AD217" s="172" t="s">
        <v>11814</v>
      </c>
      <c r="AE217" s="116" t="s">
        <v>11821</v>
      </c>
      <c r="AF217" s="177" t="s">
        <v>11882</v>
      </c>
      <c r="AG217" s="172" t="s">
        <v>11877</v>
      </c>
      <c r="AH217" s="171" t="s">
        <v>11880</v>
      </c>
    </row>
    <row r="218" spans="28:34">
      <c r="AB218" s="115">
        <v>45873</v>
      </c>
      <c r="AC218" s="178" t="s">
        <v>13088</v>
      </c>
      <c r="AD218" s="172" t="s">
        <v>11816</v>
      </c>
      <c r="AE218" s="116" t="s">
        <v>11822</v>
      </c>
      <c r="AF218" s="177" t="s">
        <v>11882</v>
      </c>
      <c r="AG218" s="172" t="s">
        <v>11877</v>
      </c>
      <c r="AH218" s="171" t="s">
        <v>11880</v>
      </c>
    </row>
    <row r="219" spans="28:34">
      <c r="AB219" s="115">
        <v>45874</v>
      </c>
      <c r="AC219" s="178" t="s">
        <v>13089</v>
      </c>
      <c r="AD219" s="172" t="s">
        <v>11818</v>
      </c>
      <c r="AE219" s="116" t="s">
        <v>11873</v>
      </c>
      <c r="AF219" s="177" t="s">
        <v>11882</v>
      </c>
      <c r="AG219" s="172" t="s">
        <v>11877</v>
      </c>
      <c r="AH219" s="171" t="s">
        <v>11880</v>
      </c>
    </row>
    <row r="220" spans="28:34">
      <c r="AB220" s="115">
        <v>45875</v>
      </c>
      <c r="AC220" s="178" t="s">
        <v>13090</v>
      </c>
      <c r="AD220" s="172" t="s">
        <v>11803</v>
      </c>
      <c r="AE220" s="116" t="s">
        <v>11823</v>
      </c>
      <c r="AF220" s="177" t="s">
        <v>11883</v>
      </c>
      <c r="AG220" s="172" t="s">
        <v>11877</v>
      </c>
      <c r="AH220" s="171" t="s">
        <v>11880</v>
      </c>
    </row>
    <row r="221" spans="28:34">
      <c r="AB221" s="115">
        <v>45876</v>
      </c>
      <c r="AC221" s="178" t="s">
        <v>13091</v>
      </c>
      <c r="AD221" s="172" t="s">
        <v>11808</v>
      </c>
      <c r="AE221" s="116" t="s">
        <v>11825</v>
      </c>
      <c r="AF221" s="177" t="s">
        <v>11883</v>
      </c>
      <c r="AG221" s="172" t="s">
        <v>11877</v>
      </c>
      <c r="AH221" s="171" t="s">
        <v>11880</v>
      </c>
    </row>
    <row r="222" spans="28:34">
      <c r="AB222" s="115">
        <v>45877</v>
      </c>
      <c r="AC222" s="178" t="s">
        <v>13092</v>
      </c>
      <c r="AD222" s="172" t="s">
        <v>11810</v>
      </c>
      <c r="AE222" s="116" t="s">
        <v>11826</v>
      </c>
      <c r="AF222" s="177" t="s">
        <v>11883</v>
      </c>
      <c r="AG222" s="172" t="s">
        <v>11877</v>
      </c>
      <c r="AH222" s="171" t="s">
        <v>11880</v>
      </c>
    </row>
    <row r="223" spans="28:34">
      <c r="AB223" s="115">
        <v>45878</v>
      </c>
      <c r="AC223" s="178" t="s">
        <v>13093</v>
      </c>
      <c r="AD223" s="172" t="s">
        <v>11812</v>
      </c>
      <c r="AE223" s="116" t="s">
        <v>11827</v>
      </c>
      <c r="AF223" s="177" t="s">
        <v>11883</v>
      </c>
      <c r="AG223" s="172" t="s">
        <v>11877</v>
      </c>
      <c r="AH223" s="171" t="s">
        <v>11880</v>
      </c>
    </row>
    <row r="224" spans="28:34">
      <c r="AB224" s="115">
        <v>45879</v>
      </c>
      <c r="AC224" s="178" t="s">
        <v>13094</v>
      </c>
      <c r="AD224" s="172" t="s">
        <v>11814</v>
      </c>
      <c r="AE224" s="116" t="s">
        <v>11830</v>
      </c>
      <c r="AF224" s="177" t="s">
        <v>11883</v>
      </c>
      <c r="AG224" s="172" t="s">
        <v>11877</v>
      </c>
      <c r="AH224" s="171" t="s">
        <v>11880</v>
      </c>
    </row>
    <row r="225" spans="28:34">
      <c r="AB225" s="115">
        <v>45880</v>
      </c>
      <c r="AC225" s="178" t="s">
        <v>13095</v>
      </c>
      <c r="AD225" s="172" t="s">
        <v>11816</v>
      </c>
      <c r="AE225" s="116" t="s">
        <v>11833</v>
      </c>
      <c r="AF225" s="177" t="s">
        <v>11883</v>
      </c>
      <c r="AG225" s="172" t="s">
        <v>11877</v>
      </c>
      <c r="AH225" s="171" t="s">
        <v>11880</v>
      </c>
    </row>
    <row r="226" spans="28:34">
      <c r="AB226" s="115">
        <v>45881</v>
      </c>
      <c r="AC226" s="178" t="s">
        <v>13096</v>
      </c>
      <c r="AD226" s="172" t="s">
        <v>11818</v>
      </c>
      <c r="AE226" s="116" t="s">
        <v>11836</v>
      </c>
      <c r="AF226" s="177" t="s">
        <v>11883</v>
      </c>
      <c r="AG226" s="172" t="s">
        <v>11877</v>
      </c>
      <c r="AH226" s="171" t="s">
        <v>11880</v>
      </c>
    </row>
    <row r="227" spans="28:34">
      <c r="AB227" s="115">
        <v>45882</v>
      </c>
      <c r="AC227" s="178" t="s">
        <v>13097</v>
      </c>
      <c r="AD227" s="172" t="s">
        <v>11803</v>
      </c>
      <c r="AE227" s="116" t="s">
        <v>11839</v>
      </c>
      <c r="AF227" s="177" t="s">
        <v>11883</v>
      </c>
      <c r="AG227" s="172" t="s">
        <v>11877</v>
      </c>
      <c r="AH227" s="171" t="s">
        <v>11880</v>
      </c>
    </row>
    <row r="228" spans="28:34">
      <c r="AB228" s="115">
        <v>45883</v>
      </c>
      <c r="AC228" s="178" t="s">
        <v>13098</v>
      </c>
      <c r="AD228" s="172" t="s">
        <v>11808</v>
      </c>
      <c r="AE228" s="116" t="s">
        <v>11842</v>
      </c>
      <c r="AF228" s="177" t="s">
        <v>11883</v>
      </c>
      <c r="AG228" s="172" t="s">
        <v>11877</v>
      </c>
      <c r="AH228" s="171" t="s">
        <v>11880</v>
      </c>
    </row>
    <row r="229" spans="28:34">
      <c r="AB229" s="115">
        <v>45884</v>
      </c>
      <c r="AC229" s="178" t="s">
        <v>13099</v>
      </c>
      <c r="AD229" s="172" t="s">
        <v>11810</v>
      </c>
      <c r="AE229" s="116" t="s">
        <v>11845</v>
      </c>
      <c r="AF229" s="177" t="s">
        <v>11883</v>
      </c>
      <c r="AG229" s="172" t="s">
        <v>11877</v>
      </c>
      <c r="AH229" s="171" t="s">
        <v>11880</v>
      </c>
    </row>
    <row r="230" spans="28:34">
      <c r="AB230" s="115">
        <v>45885</v>
      </c>
      <c r="AC230" s="178" t="s">
        <v>13100</v>
      </c>
      <c r="AD230" s="172" t="s">
        <v>11812</v>
      </c>
      <c r="AE230" s="116" t="s">
        <v>11848</v>
      </c>
      <c r="AF230" s="177" t="s">
        <v>11883</v>
      </c>
      <c r="AG230" s="172" t="s">
        <v>11877</v>
      </c>
      <c r="AH230" s="171" t="s">
        <v>11880</v>
      </c>
    </row>
    <row r="231" spans="28:34">
      <c r="AB231" s="115">
        <v>45886</v>
      </c>
      <c r="AC231" s="178" t="s">
        <v>13101</v>
      </c>
      <c r="AD231" s="172" t="s">
        <v>11814</v>
      </c>
      <c r="AE231" s="116" t="s">
        <v>11851</v>
      </c>
      <c r="AF231" s="177" t="s">
        <v>11883</v>
      </c>
      <c r="AG231" s="172" t="s">
        <v>11877</v>
      </c>
      <c r="AH231" s="171" t="s">
        <v>11880</v>
      </c>
    </row>
    <row r="232" spans="28:34">
      <c r="AB232" s="115">
        <v>45887</v>
      </c>
      <c r="AC232" s="178" t="s">
        <v>13102</v>
      </c>
      <c r="AD232" s="172" t="s">
        <v>11816</v>
      </c>
      <c r="AE232" s="116" t="s">
        <v>11854</v>
      </c>
      <c r="AF232" s="177" t="s">
        <v>11883</v>
      </c>
      <c r="AG232" s="172" t="s">
        <v>11877</v>
      </c>
      <c r="AH232" s="171" t="s">
        <v>11880</v>
      </c>
    </row>
    <row r="233" spans="28:34">
      <c r="AB233" s="115">
        <v>45888</v>
      </c>
      <c r="AC233" s="178" t="s">
        <v>13103</v>
      </c>
      <c r="AD233" s="172" t="s">
        <v>11818</v>
      </c>
      <c r="AE233" s="116" t="s">
        <v>11857</v>
      </c>
      <c r="AF233" s="177" t="s">
        <v>11883</v>
      </c>
      <c r="AG233" s="172" t="s">
        <v>11877</v>
      </c>
      <c r="AH233" s="171" t="s">
        <v>11880</v>
      </c>
    </row>
    <row r="234" spans="28:34">
      <c r="AB234" s="115">
        <v>45889</v>
      </c>
      <c r="AC234" s="178" t="s">
        <v>13104</v>
      </c>
      <c r="AD234" s="172" t="s">
        <v>11803</v>
      </c>
      <c r="AE234" s="116" t="s">
        <v>11860</v>
      </c>
      <c r="AF234" s="177" t="s">
        <v>11883</v>
      </c>
      <c r="AG234" s="172" t="s">
        <v>11877</v>
      </c>
      <c r="AH234" s="171" t="s">
        <v>11880</v>
      </c>
    </row>
    <row r="235" spans="28:34">
      <c r="AB235" s="115">
        <v>45890</v>
      </c>
      <c r="AC235" s="178" t="s">
        <v>13105</v>
      </c>
      <c r="AD235" s="172" t="s">
        <v>11808</v>
      </c>
      <c r="AE235" s="116" t="s">
        <v>11863</v>
      </c>
      <c r="AF235" s="177" t="s">
        <v>11883</v>
      </c>
      <c r="AG235" s="172" t="s">
        <v>11877</v>
      </c>
      <c r="AH235" s="171" t="s">
        <v>11880</v>
      </c>
    </row>
    <row r="236" spans="28:34">
      <c r="AB236" s="115">
        <v>45891</v>
      </c>
      <c r="AC236" s="178" t="s">
        <v>13106</v>
      </c>
      <c r="AD236" s="172" t="s">
        <v>11810</v>
      </c>
      <c r="AE236" s="116" t="s">
        <v>11866</v>
      </c>
      <c r="AF236" s="177" t="s">
        <v>11883</v>
      </c>
      <c r="AG236" s="172" t="s">
        <v>11877</v>
      </c>
      <c r="AH236" s="171" t="s">
        <v>11880</v>
      </c>
    </row>
    <row r="237" spans="28:34">
      <c r="AB237" s="115">
        <v>45892</v>
      </c>
      <c r="AC237" s="178" t="s">
        <v>13107</v>
      </c>
      <c r="AD237" s="172" t="s">
        <v>11812</v>
      </c>
      <c r="AE237" s="116" t="s">
        <v>11869</v>
      </c>
      <c r="AF237" s="177" t="s">
        <v>11883</v>
      </c>
      <c r="AG237" s="172" t="s">
        <v>11877</v>
      </c>
      <c r="AH237" s="171" t="s">
        <v>11880</v>
      </c>
    </row>
    <row r="238" spans="28:34">
      <c r="AB238" s="115">
        <v>45893</v>
      </c>
      <c r="AC238" s="178" t="s">
        <v>13108</v>
      </c>
      <c r="AD238" s="172" t="s">
        <v>11814</v>
      </c>
      <c r="AE238" s="116" t="s">
        <v>11872</v>
      </c>
      <c r="AF238" s="177" t="s">
        <v>11883</v>
      </c>
      <c r="AG238" s="172" t="s">
        <v>11877</v>
      </c>
      <c r="AH238" s="171" t="s">
        <v>11880</v>
      </c>
    </row>
    <row r="239" spans="28:34">
      <c r="AB239" s="115">
        <v>45894</v>
      </c>
      <c r="AC239" s="178" t="s">
        <v>13109</v>
      </c>
      <c r="AD239" s="172" t="s">
        <v>11816</v>
      </c>
      <c r="AE239" s="116" t="s">
        <v>11804</v>
      </c>
      <c r="AF239" s="177" t="s">
        <v>11883</v>
      </c>
      <c r="AG239" s="172" t="s">
        <v>11877</v>
      </c>
      <c r="AH239" s="171" t="s">
        <v>11880</v>
      </c>
    </row>
    <row r="240" spans="28:34">
      <c r="AB240" s="115">
        <v>45895</v>
      </c>
      <c r="AC240" s="178" t="s">
        <v>13110</v>
      </c>
      <c r="AD240" s="172" t="s">
        <v>11818</v>
      </c>
      <c r="AE240" s="116" t="s">
        <v>11809</v>
      </c>
      <c r="AF240" s="177" t="s">
        <v>11883</v>
      </c>
      <c r="AG240" s="172" t="s">
        <v>11877</v>
      </c>
      <c r="AH240" s="171" t="s">
        <v>11880</v>
      </c>
    </row>
    <row r="241" spans="28:34">
      <c r="AB241" s="115">
        <v>45896</v>
      </c>
      <c r="AC241" s="178" t="s">
        <v>13111</v>
      </c>
      <c r="AD241" s="172" t="s">
        <v>11803</v>
      </c>
      <c r="AE241" s="116" t="s">
        <v>11811</v>
      </c>
      <c r="AF241" s="177" t="s">
        <v>11883</v>
      </c>
      <c r="AG241" s="172" t="s">
        <v>11877</v>
      </c>
      <c r="AH241" s="171" t="s">
        <v>11880</v>
      </c>
    </row>
    <row r="242" spans="28:34">
      <c r="AB242" s="115">
        <v>45897</v>
      </c>
      <c r="AC242" s="178" t="s">
        <v>13112</v>
      </c>
      <c r="AD242" s="172" t="s">
        <v>11808</v>
      </c>
      <c r="AE242" s="116" t="s">
        <v>11813</v>
      </c>
      <c r="AF242" s="177" t="s">
        <v>11883</v>
      </c>
      <c r="AG242" s="172" t="s">
        <v>11877</v>
      </c>
      <c r="AH242" s="171" t="s">
        <v>11880</v>
      </c>
    </row>
    <row r="243" spans="28:34">
      <c r="AB243" s="115">
        <v>45898</v>
      </c>
      <c r="AC243" s="178" t="s">
        <v>13113</v>
      </c>
      <c r="AD243" s="172" t="s">
        <v>11810</v>
      </c>
      <c r="AE243" s="116" t="s">
        <v>11815</v>
      </c>
      <c r="AF243" s="177" t="s">
        <v>11883</v>
      </c>
      <c r="AG243" s="172" t="s">
        <v>11877</v>
      </c>
      <c r="AH243" s="171" t="s">
        <v>11880</v>
      </c>
    </row>
    <row r="244" spans="28:34">
      <c r="AB244" s="115">
        <v>45899</v>
      </c>
      <c r="AC244" s="178" t="s">
        <v>13114</v>
      </c>
      <c r="AD244" s="172" t="s">
        <v>11812</v>
      </c>
      <c r="AE244" s="116" t="s">
        <v>11817</v>
      </c>
      <c r="AF244" s="177" t="s">
        <v>11883</v>
      </c>
      <c r="AG244" s="172" t="s">
        <v>11877</v>
      </c>
      <c r="AH244" s="171" t="s">
        <v>11880</v>
      </c>
    </row>
    <row r="245" spans="28:34">
      <c r="AB245" s="115">
        <v>45900</v>
      </c>
      <c r="AC245" s="178" t="s">
        <v>13115</v>
      </c>
      <c r="AD245" s="172" t="s">
        <v>11814</v>
      </c>
      <c r="AE245" s="116" t="s">
        <v>11819</v>
      </c>
      <c r="AF245" s="177" t="s">
        <v>11883</v>
      </c>
      <c r="AG245" s="172" t="s">
        <v>11877</v>
      </c>
      <c r="AH245" s="171" t="s">
        <v>11880</v>
      </c>
    </row>
    <row r="246" spans="28:34">
      <c r="AB246" s="115">
        <v>45901</v>
      </c>
      <c r="AC246" s="178" t="s">
        <v>13116</v>
      </c>
      <c r="AD246" s="172" t="s">
        <v>11816</v>
      </c>
      <c r="AE246" s="116" t="s">
        <v>11820</v>
      </c>
      <c r="AF246" s="177" t="s">
        <v>11883</v>
      </c>
      <c r="AG246" s="172" t="s">
        <v>11877</v>
      </c>
      <c r="AH246" s="171" t="s">
        <v>11880</v>
      </c>
    </row>
    <row r="247" spans="28:34">
      <c r="AB247" s="115">
        <v>45902</v>
      </c>
      <c r="AC247" s="178" t="s">
        <v>13117</v>
      </c>
      <c r="AD247" s="172" t="s">
        <v>11818</v>
      </c>
      <c r="AE247" s="116" t="s">
        <v>11821</v>
      </c>
      <c r="AF247" s="177" t="s">
        <v>11883</v>
      </c>
      <c r="AG247" s="172" t="s">
        <v>11877</v>
      </c>
      <c r="AH247" s="171" t="s">
        <v>11880</v>
      </c>
    </row>
    <row r="248" spans="28:34">
      <c r="AB248" s="115">
        <v>45903</v>
      </c>
      <c r="AC248" s="178" t="s">
        <v>13118</v>
      </c>
      <c r="AD248" s="172" t="s">
        <v>11803</v>
      </c>
      <c r="AE248" s="116" t="s">
        <v>11822</v>
      </c>
      <c r="AF248" s="177" t="s">
        <v>11883</v>
      </c>
      <c r="AG248" s="172" t="s">
        <v>11877</v>
      </c>
      <c r="AH248" s="171" t="s">
        <v>11880</v>
      </c>
    </row>
    <row r="249" spans="28:34">
      <c r="AB249" s="115">
        <v>45904</v>
      </c>
      <c r="AC249" s="178" t="s">
        <v>13119</v>
      </c>
      <c r="AD249" s="172" t="s">
        <v>11808</v>
      </c>
      <c r="AE249" s="116" t="s">
        <v>11823</v>
      </c>
      <c r="AF249" s="177" t="s">
        <v>11884</v>
      </c>
      <c r="AG249" s="172" t="s">
        <v>11877</v>
      </c>
      <c r="AH249" s="171" t="s">
        <v>11880</v>
      </c>
    </row>
    <row r="250" spans="28:34">
      <c r="AB250" s="115">
        <v>45905</v>
      </c>
      <c r="AC250" s="178" t="s">
        <v>13120</v>
      </c>
      <c r="AD250" s="172" t="s">
        <v>11810</v>
      </c>
      <c r="AE250" s="116" t="s">
        <v>11825</v>
      </c>
      <c r="AF250" s="177" t="s">
        <v>11884</v>
      </c>
      <c r="AG250" s="172" t="s">
        <v>11877</v>
      </c>
      <c r="AH250" s="171" t="s">
        <v>11880</v>
      </c>
    </row>
    <row r="251" spans="28:34">
      <c r="AB251" s="115">
        <v>45906</v>
      </c>
      <c r="AC251" s="178" t="s">
        <v>13121</v>
      </c>
      <c r="AD251" s="172" t="s">
        <v>11812</v>
      </c>
      <c r="AE251" s="116" t="s">
        <v>11826</v>
      </c>
      <c r="AF251" s="177" t="s">
        <v>11884</v>
      </c>
      <c r="AG251" s="172" t="s">
        <v>11877</v>
      </c>
      <c r="AH251" s="171" t="s">
        <v>11880</v>
      </c>
    </row>
    <row r="252" spans="28:34">
      <c r="AB252" s="115">
        <v>45907</v>
      </c>
      <c r="AC252" s="178" t="s">
        <v>13122</v>
      </c>
      <c r="AD252" s="172" t="s">
        <v>11814</v>
      </c>
      <c r="AE252" s="116" t="s">
        <v>11827</v>
      </c>
      <c r="AF252" s="177" t="s">
        <v>11884</v>
      </c>
      <c r="AG252" s="172" t="s">
        <v>11877</v>
      </c>
      <c r="AH252" s="171" t="s">
        <v>11880</v>
      </c>
    </row>
    <row r="253" spans="28:34">
      <c r="AB253" s="115">
        <v>45908</v>
      </c>
      <c r="AC253" s="178" t="s">
        <v>13123</v>
      </c>
      <c r="AD253" s="172" t="s">
        <v>11816</v>
      </c>
      <c r="AE253" s="116" t="s">
        <v>11830</v>
      </c>
      <c r="AF253" s="177" t="s">
        <v>11884</v>
      </c>
      <c r="AG253" s="172" t="s">
        <v>11877</v>
      </c>
      <c r="AH253" s="171" t="s">
        <v>11880</v>
      </c>
    </row>
    <row r="254" spans="28:34">
      <c r="AB254" s="115">
        <v>45909</v>
      </c>
      <c r="AC254" s="178" t="s">
        <v>13124</v>
      </c>
      <c r="AD254" s="172" t="s">
        <v>11818</v>
      </c>
      <c r="AE254" s="116" t="s">
        <v>11833</v>
      </c>
      <c r="AF254" s="177" t="s">
        <v>11884</v>
      </c>
      <c r="AG254" s="172" t="s">
        <v>11877</v>
      </c>
      <c r="AH254" s="171" t="s">
        <v>11880</v>
      </c>
    </row>
    <row r="255" spans="28:34">
      <c r="AB255" s="115">
        <v>45910</v>
      </c>
      <c r="AC255" s="178" t="s">
        <v>13125</v>
      </c>
      <c r="AD255" s="172" t="s">
        <v>11803</v>
      </c>
      <c r="AE255" s="116" t="s">
        <v>11836</v>
      </c>
      <c r="AF255" s="177" t="s">
        <v>11884</v>
      </c>
      <c r="AG255" s="172" t="s">
        <v>11877</v>
      </c>
      <c r="AH255" s="171" t="s">
        <v>11880</v>
      </c>
    </row>
    <row r="256" spans="28:34">
      <c r="AB256" s="115">
        <v>45911</v>
      </c>
      <c r="AC256" s="178" t="s">
        <v>13126</v>
      </c>
      <c r="AD256" s="172" t="s">
        <v>11808</v>
      </c>
      <c r="AE256" s="116" t="s">
        <v>11839</v>
      </c>
      <c r="AF256" s="177" t="s">
        <v>11884</v>
      </c>
      <c r="AG256" s="172" t="s">
        <v>11877</v>
      </c>
      <c r="AH256" s="171" t="s">
        <v>11880</v>
      </c>
    </row>
    <row r="257" spans="28:34">
      <c r="AB257" s="115">
        <v>45912</v>
      </c>
      <c r="AC257" s="178" t="s">
        <v>13127</v>
      </c>
      <c r="AD257" s="172" t="s">
        <v>11810</v>
      </c>
      <c r="AE257" s="116" t="s">
        <v>11842</v>
      </c>
      <c r="AF257" s="177" t="s">
        <v>11884</v>
      </c>
      <c r="AG257" s="172" t="s">
        <v>11877</v>
      </c>
      <c r="AH257" s="171" t="s">
        <v>11880</v>
      </c>
    </row>
    <row r="258" spans="28:34">
      <c r="AB258" s="115">
        <v>45913</v>
      </c>
      <c r="AC258" s="178" t="s">
        <v>13128</v>
      </c>
      <c r="AD258" s="172" t="s">
        <v>11812</v>
      </c>
      <c r="AE258" s="116" t="s">
        <v>11845</v>
      </c>
      <c r="AF258" s="177" t="s">
        <v>11884</v>
      </c>
      <c r="AG258" s="172" t="s">
        <v>11877</v>
      </c>
      <c r="AH258" s="171" t="s">
        <v>11880</v>
      </c>
    </row>
    <row r="259" spans="28:34">
      <c r="AB259" s="115">
        <v>45914</v>
      </c>
      <c r="AC259" s="178" t="s">
        <v>13129</v>
      </c>
      <c r="AD259" s="172" t="s">
        <v>11814</v>
      </c>
      <c r="AE259" s="116" t="s">
        <v>11848</v>
      </c>
      <c r="AF259" s="177" t="s">
        <v>11884</v>
      </c>
      <c r="AG259" s="172" t="s">
        <v>11877</v>
      </c>
      <c r="AH259" s="171" t="s">
        <v>11880</v>
      </c>
    </row>
    <row r="260" spans="28:34">
      <c r="AB260" s="115">
        <v>45915</v>
      </c>
      <c r="AC260" s="178" t="s">
        <v>13130</v>
      </c>
      <c r="AD260" s="172" t="s">
        <v>11816</v>
      </c>
      <c r="AE260" s="116" t="s">
        <v>11851</v>
      </c>
      <c r="AF260" s="177" t="s">
        <v>11884</v>
      </c>
      <c r="AG260" s="172" t="s">
        <v>11877</v>
      </c>
      <c r="AH260" s="171" t="s">
        <v>11880</v>
      </c>
    </row>
    <row r="261" spans="28:34">
      <c r="AB261" s="115">
        <v>45916</v>
      </c>
      <c r="AC261" s="178" t="s">
        <v>13131</v>
      </c>
      <c r="AD261" s="172" t="s">
        <v>11818</v>
      </c>
      <c r="AE261" s="116" t="s">
        <v>11854</v>
      </c>
      <c r="AF261" s="177" t="s">
        <v>11884</v>
      </c>
      <c r="AG261" s="172" t="s">
        <v>11877</v>
      </c>
      <c r="AH261" s="171" t="s">
        <v>11880</v>
      </c>
    </row>
    <row r="262" spans="28:34">
      <c r="AB262" s="115">
        <v>45917</v>
      </c>
      <c r="AC262" s="178" t="s">
        <v>13132</v>
      </c>
      <c r="AD262" s="172" t="s">
        <v>11803</v>
      </c>
      <c r="AE262" s="116" t="s">
        <v>11857</v>
      </c>
      <c r="AF262" s="177" t="s">
        <v>11884</v>
      </c>
      <c r="AG262" s="172" t="s">
        <v>11877</v>
      </c>
      <c r="AH262" s="171" t="s">
        <v>11880</v>
      </c>
    </row>
    <row r="263" spans="28:34">
      <c r="AB263" s="115">
        <v>45918</v>
      </c>
      <c r="AC263" s="178" t="s">
        <v>13133</v>
      </c>
      <c r="AD263" s="172" t="s">
        <v>11808</v>
      </c>
      <c r="AE263" s="116" t="s">
        <v>11860</v>
      </c>
      <c r="AF263" s="177" t="s">
        <v>11884</v>
      </c>
      <c r="AG263" s="172" t="s">
        <v>11877</v>
      </c>
      <c r="AH263" s="171" t="s">
        <v>11880</v>
      </c>
    </row>
    <row r="264" spans="28:34">
      <c r="AB264" s="115">
        <v>45919</v>
      </c>
      <c r="AC264" s="178" t="s">
        <v>13134</v>
      </c>
      <c r="AD264" s="172" t="s">
        <v>11810</v>
      </c>
      <c r="AE264" s="116" t="s">
        <v>11863</v>
      </c>
      <c r="AF264" s="177" t="s">
        <v>11884</v>
      </c>
      <c r="AG264" s="172" t="s">
        <v>11877</v>
      </c>
      <c r="AH264" s="171" t="s">
        <v>11880</v>
      </c>
    </row>
    <row r="265" spans="28:34">
      <c r="AB265" s="115">
        <v>45920</v>
      </c>
      <c r="AC265" s="178" t="s">
        <v>13135</v>
      </c>
      <c r="AD265" s="172" t="s">
        <v>11812</v>
      </c>
      <c r="AE265" s="116" t="s">
        <v>11866</v>
      </c>
      <c r="AF265" s="177" t="s">
        <v>11884</v>
      </c>
      <c r="AG265" s="172" t="s">
        <v>11877</v>
      </c>
      <c r="AH265" s="171" t="s">
        <v>11880</v>
      </c>
    </row>
    <row r="266" spans="28:34">
      <c r="AB266" s="115">
        <v>45921</v>
      </c>
      <c r="AC266" s="178" t="s">
        <v>13136</v>
      </c>
      <c r="AD266" s="172" t="s">
        <v>11814</v>
      </c>
      <c r="AE266" s="116" t="s">
        <v>11869</v>
      </c>
      <c r="AF266" s="177" t="s">
        <v>11884</v>
      </c>
      <c r="AG266" s="172" t="s">
        <v>11877</v>
      </c>
      <c r="AH266" s="171" t="s">
        <v>11880</v>
      </c>
    </row>
    <row r="267" spans="28:34">
      <c r="AB267" s="115">
        <v>45922</v>
      </c>
      <c r="AC267" s="178" t="s">
        <v>13137</v>
      </c>
      <c r="AD267" s="172" t="s">
        <v>11816</v>
      </c>
      <c r="AE267" s="116" t="s">
        <v>11872</v>
      </c>
      <c r="AF267" s="177" t="s">
        <v>11884</v>
      </c>
      <c r="AG267" s="172" t="s">
        <v>11877</v>
      </c>
      <c r="AH267" s="171" t="s">
        <v>11880</v>
      </c>
    </row>
    <row r="268" spans="28:34">
      <c r="AB268" s="115">
        <v>45923</v>
      </c>
      <c r="AC268" s="178" t="s">
        <v>13138</v>
      </c>
      <c r="AD268" s="172" t="s">
        <v>11818</v>
      </c>
      <c r="AE268" s="116" t="s">
        <v>11804</v>
      </c>
      <c r="AF268" s="177" t="s">
        <v>11884</v>
      </c>
      <c r="AG268" s="172" t="s">
        <v>11877</v>
      </c>
      <c r="AH268" s="171" t="s">
        <v>11880</v>
      </c>
    </row>
    <row r="269" spans="28:34">
      <c r="AB269" s="115">
        <v>45924</v>
      </c>
      <c r="AC269" s="178" t="s">
        <v>13139</v>
      </c>
      <c r="AD269" s="172" t="s">
        <v>11803</v>
      </c>
      <c r="AE269" s="116" t="s">
        <v>11809</v>
      </c>
      <c r="AF269" s="177" t="s">
        <v>11884</v>
      </c>
      <c r="AG269" s="172" t="s">
        <v>11877</v>
      </c>
      <c r="AH269" s="171" t="s">
        <v>11880</v>
      </c>
    </row>
    <row r="270" spans="28:34">
      <c r="AB270" s="115">
        <v>45925</v>
      </c>
      <c r="AC270" s="178" t="s">
        <v>13140</v>
      </c>
      <c r="AD270" s="172" t="s">
        <v>11808</v>
      </c>
      <c r="AE270" s="116" t="s">
        <v>11811</v>
      </c>
      <c r="AF270" s="177" t="s">
        <v>11884</v>
      </c>
      <c r="AG270" s="172" t="s">
        <v>11877</v>
      </c>
      <c r="AH270" s="171" t="s">
        <v>11880</v>
      </c>
    </row>
    <row r="271" spans="28:34">
      <c r="AB271" s="115">
        <v>45926</v>
      </c>
      <c r="AC271" s="178" t="s">
        <v>13141</v>
      </c>
      <c r="AD271" s="172" t="s">
        <v>11810</v>
      </c>
      <c r="AE271" s="116" t="s">
        <v>11813</v>
      </c>
      <c r="AF271" s="177" t="s">
        <v>11884</v>
      </c>
      <c r="AG271" s="172" t="s">
        <v>11877</v>
      </c>
      <c r="AH271" s="171" t="s">
        <v>11880</v>
      </c>
    </row>
    <row r="272" spans="28:34">
      <c r="AB272" s="115">
        <v>45927</v>
      </c>
      <c r="AC272" s="178" t="s">
        <v>13142</v>
      </c>
      <c r="AD272" s="172" t="s">
        <v>11812</v>
      </c>
      <c r="AE272" s="116" t="s">
        <v>11815</v>
      </c>
      <c r="AF272" s="177" t="s">
        <v>11884</v>
      </c>
      <c r="AG272" s="172" t="s">
        <v>11877</v>
      </c>
      <c r="AH272" s="171" t="s">
        <v>11880</v>
      </c>
    </row>
    <row r="273" spans="28:34">
      <c r="AB273" s="115">
        <v>45928</v>
      </c>
      <c r="AC273" s="178" t="s">
        <v>13143</v>
      </c>
      <c r="AD273" s="172" t="s">
        <v>11814</v>
      </c>
      <c r="AE273" s="116" t="s">
        <v>11817</v>
      </c>
      <c r="AF273" s="177" t="s">
        <v>11884</v>
      </c>
      <c r="AG273" s="172" t="s">
        <v>11877</v>
      </c>
      <c r="AH273" s="171" t="s">
        <v>11880</v>
      </c>
    </row>
    <row r="274" spans="28:34">
      <c r="AB274" s="115">
        <v>45929</v>
      </c>
      <c r="AC274" s="178" t="s">
        <v>13144</v>
      </c>
      <c r="AD274" s="172" t="s">
        <v>11816</v>
      </c>
      <c r="AE274" s="116" t="s">
        <v>11819</v>
      </c>
      <c r="AF274" s="177" t="s">
        <v>11884</v>
      </c>
      <c r="AG274" s="172" t="s">
        <v>11877</v>
      </c>
      <c r="AH274" s="171" t="s">
        <v>11880</v>
      </c>
    </row>
    <row r="275" spans="28:34">
      <c r="AB275" s="115">
        <v>45930</v>
      </c>
      <c r="AC275" s="178" t="s">
        <v>13145</v>
      </c>
      <c r="AD275" s="172" t="s">
        <v>11818</v>
      </c>
      <c r="AE275" s="116" t="s">
        <v>11820</v>
      </c>
      <c r="AF275" s="177" t="s">
        <v>11884</v>
      </c>
      <c r="AG275" s="172" t="s">
        <v>11877</v>
      </c>
      <c r="AH275" s="171" t="s">
        <v>11880</v>
      </c>
    </row>
    <row r="276" spans="28:34">
      <c r="AB276" s="115">
        <v>45931</v>
      </c>
      <c r="AC276" s="178" t="s">
        <v>13146</v>
      </c>
      <c r="AD276" s="172" t="s">
        <v>11803</v>
      </c>
      <c r="AE276" s="116" t="s">
        <v>11821</v>
      </c>
      <c r="AF276" s="177" t="s">
        <v>11884</v>
      </c>
      <c r="AG276" s="172" t="s">
        <v>11877</v>
      </c>
      <c r="AH276" s="171" t="s">
        <v>11880</v>
      </c>
    </row>
    <row r="277" spans="28:34">
      <c r="AB277" s="115">
        <v>45932</v>
      </c>
      <c r="AC277" s="178" t="s">
        <v>13147</v>
      </c>
      <c r="AD277" s="172" t="s">
        <v>11808</v>
      </c>
      <c r="AE277" s="116" t="s">
        <v>11822</v>
      </c>
      <c r="AF277" s="177" t="s">
        <v>11884</v>
      </c>
      <c r="AG277" s="172" t="s">
        <v>11877</v>
      </c>
      <c r="AH277" s="171" t="s">
        <v>11880</v>
      </c>
    </row>
    <row r="278" spans="28:34">
      <c r="AB278" s="115">
        <v>45933</v>
      </c>
      <c r="AC278" s="178" t="s">
        <v>13148</v>
      </c>
      <c r="AD278" s="172" t="s">
        <v>11810</v>
      </c>
      <c r="AE278" s="116" t="s">
        <v>11873</v>
      </c>
      <c r="AF278" s="177" t="s">
        <v>11884</v>
      </c>
      <c r="AG278" s="172" t="s">
        <v>11877</v>
      </c>
      <c r="AH278" s="171" t="s">
        <v>11880</v>
      </c>
    </row>
    <row r="279" spans="28:34">
      <c r="AB279" s="115">
        <v>45934</v>
      </c>
      <c r="AC279" s="178" t="s">
        <v>13149</v>
      </c>
      <c r="AD279" s="172" t="s">
        <v>11812</v>
      </c>
      <c r="AE279" s="116" t="s">
        <v>11823</v>
      </c>
      <c r="AF279" s="177" t="s">
        <v>11885</v>
      </c>
      <c r="AG279" s="172" t="s">
        <v>11877</v>
      </c>
      <c r="AH279" s="171" t="s">
        <v>11880</v>
      </c>
    </row>
    <row r="280" spans="28:34">
      <c r="AB280" s="115">
        <v>45935</v>
      </c>
      <c r="AC280" s="178" t="s">
        <v>13150</v>
      </c>
      <c r="AD280" s="172" t="s">
        <v>11814</v>
      </c>
      <c r="AE280" s="116" t="s">
        <v>11825</v>
      </c>
      <c r="AF280" s="177" t="s">
        <v>11885</v>
      </c>
      <c r="AG280" s="172" t="s">
        <v>11877</v>
      </c>
      <c r="AH280" s="171" t="s">
        <v>11880</v>
      </c>
    </row>
    <row r="281" spans="28:34">
      <c r="AB281" s="115">
        <v>45936</v>
      </c>
      <c r="AC281" s="178" t="s">
        <v>13151</v>
      </c>
      <c r="AD281" s="172" t="s">
        <v>11816</v>
      </c>
      <c r="AE281" s="116" t="s">
        <v>11826</v>
      </c>
      <c r="AF281" s="177" t="s">
        <v>11885</v>
      </c>
      <c r="AG281" s="172" t="s">
        <v>11877</v>
      </c>
      <c r="AH281" s="171" t="s">
        <v>11880</v>
      </c>
    </row>
    <row r="282" spans="28:34">
      <c r="AB282" s="115">
        <v>45937</v>
      </c>
      <c r="AC282" s="178" t="s">
        <v>13152</v>
      </c>
      <c r="AD282" s="172" t="s">
        <v>11818</v>
      </c>
      <c r="AE282" s="116" t="s">
        <v>11827</v>
      </c>
      <c r="AF282" s="177" t="s">
        <v>11885</v>
      </c>
      <c r="AG282" s="172" t="s">
        <v>11877</v>
      </c>
      <c r="AH282" s="171" t="s">
        <v>11880</v>
      </c>
    </row>
    <row r="283" spans="28:34">
      <c r="AB283" s="115">
        <v>45938</v>
      </c>
      <c r="AC283" s="178" t="s">
        <v>13153</v>
      </c>
      <c r="AD283" s="172" t="s">
        <v>11803</v>
      </c>
      <c r="AE283" s="116" t="s">
        <v>11830</v>
      </c>
      <c r="AF283" s="177" t="s">
        <v>11885</v>
      </c>
      <c r="AG283" s="172" t="s">
        <v>11877</v>
      </c>
      <c r="AH283" s="171" t="s">
        <v>11880</v>
      </c>
    </row>
    <row r="284" spans="28:34">
      <c r="AB284" s="115">
        <v>45939</v>
      </c>
      <c r="AC284" s="178" t="s">
        <v>13154</v>
      </c>
      <c r="AD284" s="172" t="s">
        <v>11808</v>
      </c>
      <c r="AE284" s="116" t="s">
        <v>11833</v>
      </c>
      <c r="AF284" s="177" t="s">
        <v>11885</v>
      </c>
      <c r="AG284" s="172" t="s">
        <v>11877</v>
      </c>
      <c r="AH284" s="171" t="s">
        <v>11880</v>
      </c>
    </row>
    <row r="285" spans="28:34">
      <c r="AB285" s="115">
        <v>45940</v>
      </c>
      <c r="AC285" s="178" t="s">
        <v>13155</v>
      </c>
      <c r="AD285" s="172" t="s">
        <v>11810</v>
      </c>
      <c r="AE285" s="116" t="s">
        <v>11836</v>
      </c>
      <c r="AF285" s="177" t="s">
        <v>11885</v>
      </c>
      <c r="AG285" s="172" t="s">
        <v>11877</v>
      </c>
      <c r="AH285" s="171" t="s">
        <v>11880</v>
      </c>
    </row>
    <row r="286" spans="28:34">
      <c r="AB286" s="115">
        <v>45941</v>
      </c>
      <c r="AC286" s="178" t="s">
        <v>13156</v>
      </c>
      <c r="AD286" s="172" t="s">
        <v>11812</v>
      </c>
      <c r="AE286" s="116" t="s">
        <v>11839</v>
      </c>
      <c r="AF286" s="177" t="s">
        <v>11885</v>
      </c>
      <c r="AG286" s="172" t="s">
        <v>11877</v>
      </c>
      <c r="AH286" s="171" t="s">
        <v>11880</v>
      </c>
    </row>
    <row r="287" spans="28:34">
      <c r="AB287" s="115">
        <v>45942</v>
      </c>
      <c r="AC287" s="178" t="s">
        <v>13157</v>
      </c>
      <c r="AD287" s="172" t="s">
        <v>11814</v>
      </c>
      <c r="AE287" s="116" t="s">
        <v>11842</v>
      </c>
      <c r="AF287" s="177" t="s">
        <v>11885</v>
      </c>
      <c r="AG287" s="172" t="s">
        <v>11877</v>
      </c>
      <c r="AH287" s="171" t="s">
        <v>11880</v>
      </c>
    </row>
    <row r="288" spans="28:34">
      <c r="AB288" s="115">
        <v>45943</v>
      </c>
      <c r="AC288" s="178" t="s">
        <v>13158</v>
      </c>
      <c r="AD288" s="172" t="s">
        <v>11816</v>
      </c>
      <c r="AE288" s="116" t="s">
        <v>11845</v>
      </c>
      <c r="AF288" s="177" t="s">
        <v>11885</v>
      </c>
      <c r="AG288" s="172" t="s">
        <v>11877</v>
      </c>
      <c r="AH288" s="171" t="s">
        <v>11880</v>
      </c>
    </row>
    <row r="289" spans="28:34">
      <c r="AB289" s="115">
        <v>45944</v>
      </c>
      <c r="AC289" s="178" t="s">
        <v>13159</v>
      </c>
      <c r="AD289" s="172" t="s">
        <v>11818</v>
      </c>
      <c r="AE289" s="116" t="s">
        <v>11848</v>
      </c>
      <c r="AF289" s="177" t="s">
        <v>11885</v>
      </c>
      <c r="AG289" s="172" t="s">
        <v>11877</v>
      </c>
      <c r="AH289" s="171" t="s">
        <v>11880</v>
      </c>
    </row>
    <row r="290" spans="28:34">
      <c r="AB290" s="115">
        <v>45945</v>
      </c>
      <c r="AC290" s="178" t="s">
        <v>13160</v>
      </c>
      <c r="AD290" s="172" t="s">
        <v>11803</v>
      </c>
      <c r="AE290" s="116" t="s">
        <v>11851</v>
      </c>
      <c r="AF290" s="177" t="s">
        <v>11885</v>
      </c>
      <c r="AG290" s="172" t="s">
        <v>11877</v>
      </c>
      <c r="AH290" s="171" t="s">
        <v>11880</v>
      </c>
    </row>
    <row r="291" spans="28:34">
      <c r="AB291" s="115">
        <v>45946</v>
      </c>
      <c r="AC291" s="178" t="s">
        <v>13161</v>
      </c>
      <c r="AD291" s="172" t="s">
        <v>11808</v>
      </c>
      <c r="AE291" s="116" t="s">
        <v>11854</v>
      </c>
      <c r="AF291" s="177" t="s">
        <v>11885</v>
      </c>
      <c r="AG291" s="172" t="s">
        <v>11877</v>
      </c>
      <c r="AH291" s="171" t="s">
        <v>11880</v>
      </c>
    </row>
    <row r="292" spans="28:34">
      <c r="AB292" s="115">
        <v>45947</v>
      </c>
      <c r="AC292" s="178" t="s">
        <v>13162</v>
      </c>
      <c r="AD292" s="172" t="s">
        <v>11810</v>
      </c>
      <c r="AE292" s="116" t="s">
        <v>11857</v>
      </c>
      <c r="AF292" s="177" t="s">
        <v>11885</v>
      </c>
      <c r="AG292" s="172" t="s">
        <v>11877</v>
      </c>
      <c r="AH292" s="171" t="s">
        <v>11880</v>
      </c>
    </row>
    <row r="293" spans="28:34">
      <c r="AB293" s="115">
        <v>45948</v>
      </c>
      <c r="AC293" s="178" t="s">
        <v>13163</v>
      </c>
      <c r="AD293" s="172" t="s">
        <v>11812</v>
      </c>
      <c r="AE293" s="116" t="s">
        <v>11860</v>
      </c>
      <c r="AF293" s="177" t="s">
        <v>11885</v>
      </c>
      <c r="AG293" s="172" t="s">
        <v>11877</v>
      </c>
      <c r="AH293" s="171" t="s">
        <v>11880</v>
      </c>
    </row>
    <row r="294" spans="28:34">
      <c r="AB294" s="115">
        <v>45949</v>
      </c>
      <c r="AC294" s="178" t="s">
        <v>13164</v>
      </c>
      <c r="AD294" s="172" t="s">
        <v>11814</v>
      </c>
      <c r="AE294" s="116" t="s">
        <v>11863</v>
      </c>
      <c r="AF294" s="177" t="s">
        <v>11885</v>
      </c>
      <c r="AG294" s="172" t="s">
        <v>11877</v>
      </c>
      <c r="AH294" s="171" t="s">
        <v>11880</v>
      </c>
    </row>
    <row r="295" spans="28:34">
      <c r="AB295" s="115">
        <v>45950</v>
      </c>
      <c r="AC295" s="178" t="s">
        <v>13165</v>
      </c>
      <c r="AD295" s="172" t="s">
        <v>11816</v>
      </c>
      <c r="AE295" s="116" t="s">
        <v>11866</v>
      </c>
      <c r="AF295" s="177" t="s">
        <v>11885</v>
      </c>
      <c r="AG295" s="172" t="s">
        <v>11877</v>
      </c>
      <c r="AH295" s="171" t="s">
        <v>11880</v>
      </c>
    </row>
    <row r="296" spans="28:34">
      <c r="AB296" s="115">
        <v>45951</v>
      </c>
      <c r="AC296" s="178" t="s">
        <v>13166</v>
      </c>
      <c r="AD296" s="172" t="s">
        <v>11818</v>
      </c>
      <c r="AE296" s="116" t="s">
        <v>11869</v>
      </c>
      <c r="AF296" s="177" t="s">
        <v>11885</v>
      </c>
      <c r="AG296" s="172" t="s">
        <v>11877</v>
      </c>
      <c r="AH296" s="171" t="s">
        <v>11880</v>
      </c>
    </row>
    <row r="297" spans="28:34">
      <c r="AB297" s="115">
        <v>45952</v>
      </c>
      <c r="AC297" s="178" t="s">
        <v>13167</v>
      </c>
      <c r="AD297" s="172" t="s">
        <v>11803</v>
      </c>
      <c r="AE297" s="116" t="s">
        <v>11872</v>
      </c>
      <c r="AF297" s="177" t="s">
        <v>11885</v>
      </c>
      <c r="AG297" s="172" t="s">
        <v>11877</v>
      </c>
      <c r="AH297" s="171" t="s">
        <v>11880</v>
      </c>
    </row>
    <row r="298" spans="28:34">
      <c r="AB298" s="115">
        <v>45953</v>
      </c>
      <c r="AC298" s="178" t="s">
        <v>13168</v>
      </c>
      <c r="AD298" s="172" t="s">
        <v>11808</v>
      </c>
      <c r="AE298" s="116" t="s">
        <v>11804</v>
      </c>
      <c r="AF298" s="177" t="s">
        <v>11885</v>
      </c>
      <c r="AG298" s="172" t="s">
        <v>11877</v>
      </c>
      <c r="AH298" s="171" t="s">
        <v>11880</v>
      </c>
    </row>
    <row r="299" spans="28:34">
      <c r="AB299" s="115">
        <v>45954</v>
      </c>
      <c r="AC299" s="178" t="s">
        <v>13169</v>
      </c>
      <c r="AD299" s="172" t="s">
        <v>11810</v>
      </c>
      <c r="AE299" s="116" t="s">
        <v>11809</v>
      </c>
      <c r="AF299" s="177" t="s">
        <v>11885</v>
      </c>
      <c r="AG299" s="172" t="s">
        <v>11877</v>
      </c>
      <c r="AH299" s="171" t="s">
        <v>11880</v>
      </c>
    </row>
    <row r="300" spans="28:34">
      <c r="AB300" s="115">
        <v>45955</v>
      </c>
      <c r="AC300" s="178" t="s">
        <v>13170</v>
      </c>
      <c r="AD300" s="172" t="s">
        <v>11812</v>
      </c>
      <c r="AE300" s="116" t="s">
        <v>11811</v>
      </c>
      <c r="AF300" s="177" t="s">
        <v>11885</v>
      </c>
      <c r="AG300" s="172" t="s">
        <v>11877</v>
      </c>
      <c r="AH300" s="171" t="s">
        <v>11880</v>
      </c>
    </row>
    <row r="301" spans="28:34">
      <c r="AB301" s="115">
        <v>45956</v>
      </c>
      <c r="AC301" s="178" t="s">
        <v>13171</v>
      </c>
      <c r="AD301" s="172" t="s">
        <v>11814</v>
      </c>
      <c r="AE301" s="116" t="s">
        <v>11813</v>
      </c>
      <c r="AF301" s="177" t="s">
        <v>11885</v>
      </c>
      <c r="AG301" s="172" t="s">
        <v>11877</v>
      </c>
      <c r="AH301" s="171" t="s">
        <v>11880</v>
      </c>
    </row>
    <row r="302" spans="28:34">
      <c r="AB302" s="115">
        <v>45957</v>
      </c>
      <c r="AC302" s="178" t="s">
        <v>13172</v>
      </c>
      <c r="AD302" s="172" t="s">
        <v>11816</v>
      </c>
      <c r="AE302" s="116" t="s">
        <v>11815</v>
      </c>
      <c r="AF302" s="177" t="s">
        <v>11885</v>
      </c>
      <c r="AG302" s="172" t="s">
        <v>11877</v>
      </c>
      <c r="AH302" s="171" t="s">
        <v>11880</v>
      </c>
    </row>
    <row r="303" spans="28:34">
      <c r="AB303" s="115">
        <v>45958</v>
      </c>
      <c r="AC303" s="178" t="s">
        <v>13173</v>
      </c>
      <c r="AD303" s="172" t="s">
        <v>11818</v>
      </c>
      <c r="AE303" s="116" t="s">
        <v>11817</v>
      </c>
      <c r="AF303" s="177" t="s">
        <v>11885</v>
      </c>
      <c r="AG303" s="172" t="s">
        <v>11877</v>
      </c>
      <c r="AH303" s="171" t="s">
        <v>11880</v>
      </c>
    </row>
    <row r="304" spans="28:34">
      <c r="AB304" s="115">
        <v>45959</v>
      </c>
      <c r="AC304" s="178" t="s">
        <v>13174</v>
      </c>
      <c r="AD304" s="172" t="s">
        <v>11803</v>
      </c>
      <c r="AE304" s="116" t="s">
        <v>11819</v>
      </c>
      <c r="AF304" s="177" t="s">
        <v>11885</v>
      </c>
      <c r="AG304" s="172" t="s">
        <v>11877</v>
      </c>
      <c r="AH304" s="171" t="s">
        <v>11880</v>
      </c>
    </row>
    <row r="305" spans="28:34">
      <c r="AB305" s="115">
        <v>45960</v>
      </c>
      <c r="AC305" s="178" t="s">
        <v>13175</v>
      </c>
      <c r="AD305" s="172" t="s">
        <v>11808</v>
      </c>
      <c r="AE305" s="116" t="s">
        <v>11820</v>
      </c>
      <c r="AF305" s="177" t="s">
        <v>11885</v>
      </c>
      <c r="AG305" s="172" t="s">
        <v>11877</v>
      </c>
      <c r="AH305" s="171" t="s">
        <v>11880</v>
      </c>
    </row>
    <row r="306" spans="28:34">
      <c r="AB306" s="115">
        <v>45961</v>
      </c>
      <c r="AC306" s="178" t="s">
        <v>13176</v>
      </c>
      <c r="AD306" s="172" t="s">
        <v>11810</v>
      </c>
      <c r="AE306" s="116" t="s">
        <v>11821</v>
      </c>
      <c r="AF306" s="177" t="s">
        <v>11885</v>
      </c>
      <c r="AG306" s="172" t="s">
        <v>11877</v>
      </c>
      <c r="AH306" s="171" t="s">
        <v>11880</v>
      </c>
    </row>
    <row r="307" spans="28:34">
      <c r="AB307" s="115">
        <v>45962</v>
      </c>
      <c r="AC307" s="178" t="s">
        <v>13177</v>
      </c>
      <c r="AD307" s="172" t="s">
        <v>11812</v>
      </c>
      <c r="AE307" s="116" t="s">
        <v>11822</v>
      </c>
      <c r="AF307" s="177" t="s">
        <v>11885</v>
      </c>
      <c r="AG307" s="172" t="s">
        <v>11877</v>
      </c>
      <c r="AH307" s="171" t="s">
        <v>11880</v>
      </c>
    </row>
    <row r="308" spans="28:34">
      <c r="AB308" s="115">
        <v>45963</v>
      </c>
      <c r="AC308" s="178" t="s">
        <v>13178</v>
      </c>
      <c r="AD308" s="172" t="s">
        <v>11814</v>
      </c>
      <c r="AE308" s="116" t="s">
        <v>11823</v>
      </c>
      <c r="AF308" s="177" t="s">
        <v>11886</v>
      </c>
      <c r="AG308" s="172" t="s">
        <v>11877</v>
      </c>
      <c r="AH308" s="171" t="s">
        <v>11880</v>
      </c>
    </row>
    <row r="309" spans="28:34">
      <c r="AB309" s="115">
        <v>45964</v>
      </c>
      <c r="AC309" s="178" t="s">
        <v>13179</v>
      </c>
      <c r="AD309" s="172" t="s">
        <v>11816</v>
      </c>
      <c r="AE309" s="116" t="s">
        <v>11825</v>
      </c>
      <c r="AF309" s="177" t="s">
        <v>11886</v>
      </c>
      <c r="AG309" s="172" t="s">
        <v>11877</v>
      </c>
      <c r="AH309" s="171" t="s">
        <v>11880</v>
      </c>
    </row>
    <row r="310" spans="28:34">
      <c r="AB310" s="115">
        <v>45965</v>
      </c>
      <c r="AC310" s="178" t="s">
        <v>13180</v>
      </c>
      <c r="AD310" s="172" t="s">
        <v>11818</v>
      </c>
      <c r="AE310" s="116" t="s">
        <v>11826</v>
      </c>
      <c r="AF310" s="177" t="s">
        <v>11886</v>
      </c>
      <c r="AG310" s="172" t="s">
        <v>11877</v>
      </c>
      <c r="AH310" s="171" t="s">
        <v>11880</v>
      </c>
    </row>
    <row r="311" spans="28:34">
      <c r="AB311" s="115">
        <v>45966</v>
      </c>
      <c r="AC311" s="178" t="s">
        <v>13181</v>
      </c>
      <c r="AD311" s="172" t="s">
        <v>11803</v>
      </c>
      <c r="AE311" s="116" t="s">
        <v>11827</v>
      </c>
      <c r="AF311" s="177" t="s">
        <v>11886</v>
      </c>
      <c r="AG311" s="172" t="s">
        <v>11877</v>
      </c>
      <c r="AH311" s="171" t="s">
        <v>11880</v>
      </c>
    </row>
    <row r="312" spans="28:34">
      <c r="AB312" s="115">
        <v>45967</v>
      </c>
      <c r="AC312" s="178" t="s">
        <v>13182</v>
      </c>
      <c r="AD312" s="172" t="s">
        <v>11808</v>
      </c>
      <c r="AE312" s="116" t="s">
        <v>11830</v>
      </c>
      <c r="AF312" s="177" t="s">
        <v>11886</v>
      </c>
      <c r="AG312" s="172" t="s">
        <v>11877</v>
      </c>
      <c r="AH312" s="171" t="s">
        <v>11880</v>
      </c>
    </row>
    <row r="313" spans="28:34">
      <c r="AB313" s="115">
        <v>45968</v>
      </c>
      <c r="AC313" s="178" t="s">
        <v>13183</v>
      </c>
      <c r="AD313" s="172" t="s">
        <v>11810</v>
      </c>
      <c r="AE313" s="116" t="s">
        <v>11833</v>
      </c>
      <c r="AF313" s="177" t="s">
        <v>11886</v>
      </c>
      <c r="AG313" s="172" t="s">
        <v>11877</v>
      </c>
      <c r="AH313" s="171" t="s">
        <v>11880</v>
      </c>
    </row>
    <row r="314" spans="28:34">
      <c r="AB314" s="115">
        <v>45969</v>
      </c>
      <c r="AC314" s="178" t="s">
        <v>13184</v>
      </c>
      <c r="AD314" s="172" t="s">
        <v>11812</v>
      </c>
      <c r="AE314" s="116" t="s">
        <v>11836</v>
      </c>
      <c r="AF314" s="177" t="s">
        <v>11886</v>
      </c>
      <c r="AG314" s="172" t="s">
        <v>11877</v>
      </c>
      <c r="AH314" s="171" t="s">
        <v>11880</v>
      </c>
    </row>
    <row r="315" spans="28:34">
      <c r="AB315" s="115">
        <v>45970</v>
      </c>
      <c r="AC315" s="178" t="s">
        <v>13185</v>
      </c>
      <c r="AD315" s="172" t="s">
        <v>11814</v>
      </c>
      <c r="AE315" s="116" t="s">
        <v>11839</v>
      </c>
      <c r="AF315" s="177" t="s">
        <v>11886</v>
      </c>
      <c r="AG315" s="172" t="s">
        <v>11877</v>
      </c>
      <c r="AH315" s="171" t="s">
        <v>11880</v>
      </c>
    </row>
    <row r="316" spans="28:34">
      <c r="AB316" s="115">
        <v>45971</v>
      </c>
      <c r="AC316" s="178" t="s">
        <v>13186</v>
      </c>
      <c r="AD316" s="172" t="s">
        <v>11816</v>
      </c>
      <c r="AE316" s="116" t="s">
        <v>11842</v>
      </c>
      <c r="AF316" s="177" t="s">
        <v>11886</v>
      </c>
      <c r="AG316" s="172" t="s">
        <v>11877</v>
      </c>
      <c r="AH316" s="171" t="s">
        <v>11880</v>
      </c>
    </row>
    <row r="317" spans="28:34">
      <c r="AB317" s="115">
        <v>45972</v>
      </c>
      <c r="AC317" s="178" t="s">
        <v>13187</v>
      </c>
      <c r="AD317" s="172" t="s">
        <v>11818</v>
      </c>
      <c r="AE317" s="116" t="s">
        <v>11845</v>
      </c>
      <c r="AF317" s="177" t="s">
        <v>11886</v>
      </c>
      <c r="AG317" s="172" t="s">
        <v>11877</v>
      </c>
      <c r="AH317" s="171" t="s">
        <v>11880</v>
      </c>
    </row>
    <row r="318" spans="28:34">
      <c r="AB318" s="115">
        <v>45973</v>
      </c>
      <c r="AC318" s="178" t="s">
        <v>13188</v>
      </c>
      <c r="AD318" s="172" t="s">
        <v>11803</v>
      </c>
      <c r="AE318" s="116" t="s">
        <v>11848</v>
      </c>
      <c r="AF318" s="177" t="s">
        <v>11886</v>
      </c>
      <c r="AG318" s="172" t="s">
        <v>11877</v>
      </c>
      <c r="AH318" s="171" t="s">
        <v>11880</v>
      </c>
    </row>
    <row r="319" spans="28:34">
      <c r="AB319" s="115">
        <v>45974</v>
      </c>
      <c r="AC319" s="178" t="s">
        <v>13189</v>
      </c>
      <c r="AD319" s="172" t="s">
        <v>11808</v>
      </c>
      <c r="AE319" s="116" t="s">
        <v>11851</v>
      </c>
      <c r="AF319" s="177" t="s">
        <v>11886</v>
      </c>
      <c r="AG319" s="172" t="s">
        <v>11877</v>
      </c>
      <c r="AH319" s="171" t="s">
        <v>11880</v>
      </c>
    </row>
    <row r="320" spans="28:34">
      <c r="AB320" s="115">
        <v>45975</v>
      </c>
      <c r="AC320" s="178" t="s">
        <v>13190</v>
      </c>
      <c r="AD320" s="172" t="s">
        <v>11810</v>
      </c>
      <c r="AE320" s="116" t="s">
        <v>11854</v>
      </c>
      <c r="AF320" s="177" t="s">
        <v>11886</v>
      </c>
      <c r="AG320" s="172" t="s">
        <v>11877</v>
      </c>
      <c r="AH320" s="171" t="s">
        <v>11880</v>
      </c>
    </row>
    <row r="321" spans="28:34">
      <c r="AB321" s="115">
        <v>45976</v>
      </c>
      <c r="AC321" s="178" t="s">
        <v>13191</v>
      </c>
      <c r="AD321" s="172" t="s">
        <v>11812</v>
      </c>
      <c r="AE321" s="116" t="s">
        <v>11857</v>
      </c>
      <c r="AF321" s="177" t="s">
        <v>11886</v>
      </c>
      <c r="AG321" s="172" t="s">
        <v>11877</v>
      </c>
      <c r="AH321" s="171" t="s">
        <v>11880</v>
      </c>
    </row>
    <row r="322" spans="28:34">
      <c r="AB322" s="115">
        <v>45977</v>
      </c>
      <c r="AC322" s="178" t="s">
        <v>13192</v>
      </c>
      <c r="AD322" s="172" t="s">
        <v>11814</v>
      </c>
      <c r="AE322" s="116" t="s">
        <v>11860</v>
      </c>
      <c r="AF322" s="177" t="s">
        <v>11886</v>
      </c>
      <c r="AG322" s="172" t="s">
        <v>11877</v>
      </c>
      <c r="AH322" s="171" t="s">
        <v>11880</v>
      </c>
    </row>
    <row r="323" spans="28:34">
      <c r="AB323" s="115">
        <v>45978</v>
      </c>
      <c r="AC323" s="178" t="s">
        <v>13193</v>
      </c>
      <c r="AD323" s="172" t="s">
        <v>11816</v>
      </c>
      <c r="AE323" s="116" t="s">
        <v>11863</v>
      </c>
      <c r="AF323" s="177" t="s">
        <v>11886</v>
      </c>
      <c r="AG323" s="172" t="s">
        <v>11877</v>
      </c>
      <c r="AH323" s="171" t="s">
        <v>11880</v>
      </c>
    </row>
    <row r="324" spans="28:34">
      <c r="AB324" s="115">
        <v>45979</v>
      </c>
      <c r="AC324" s="178" t="s">
        <v>13194</v>
      </c>
      <c r="AD324" s="172" t="s">
        <v>11818</v>
      </c>
      <c r="AE324" s="116" t="s">
        <v>11866</v>
      </c>
      <c r="AF324" s="177" t="s">
        <v>11886</v>
      </c>
      <c r="AG324" s="172" t="s">
        <v>11877</v>
      </c>
      <c r="AH324" s="171" t="s">
        <v>11880</v>
      </c>
    </row>
    <row r="325" spans="28:34">
      <c r="AB325" s="115">
        <v>45980</v>
      </c>
      <c r="AC325" s="178" t="s">
        <v>13195</v>
      </c>
      <c r="AD325" s="172" t="s">
        <v>11803</v>
      </c>
      <c r="AE325" s="116" t="s">
        <v>11869</v>
      </c>
      <c r="AF325" s="177" t="s">
        <v>11886</v>
      </c>
      <c r="AG325" s="172" t="s">
        <v>11877</v>
      </c>
      <c r="AH325" s="171" t="s">
        <v>11880</v>
      </c>
    </row>
    <row r="326" spans="28:34">
      <c r="AB326" s="115">
        <v>45981</v>
      </c>
      <c r="AC326" s="178" t="s">
        <v>13196</v>
      </c>
      <c r="AD326" s="172" t="s">
        <v>11808</v>
      </c>
      <c r="AE326" s="116" t="s">
        <v>11872</v>
      </c>
      <c r="AF326" s="177" t="s">
        <v>11886</v>
      </c>
      <c r="AG326" s="172" t="s">
        <v>11877</v>
      </c>
      <c r="AH326" s="171" t="s">
        <v>11880</v>
      </c>
    </row>
    <row r="327" spans="28:34">
      <c r="AB327" s="115">
        <v>45982</v>
      </c>
      <c r="AC327" s="178" t="s">
        <v>13197</v>
      </c>
      <c r="AD327" s="172" t="s">
        <v>11810</v>
      </c>
      <c r="AE327" s="116" t="s">
        <v>11804</v>
      </c>
      <c r="AF327" s="177" t="s">
        <v>11886</v>
      </c>
      <c r="AG327" s="172" t="s">
        <v>11877</v>
      </c>
      <c r="AH327" s="171" t="s">
        <v>11880</v>
      </c>
    </row>
    <row r="328" spans="28:34">
      <c r="AB328" s="115">
        <v>45983</v>
      </c>
      <c r="AC328" s="178" t="s">
        <v>13198</v>
      </c>
      <c r="AD328" s="172" t="s">
        <v>11812</v>
      </c>
      <c r="AE328" s="116" t="s">
        <v>11809</v>
      </c>
      <c r="AF328" s="177" t="s">
        <v>11886</v>
      </c>
      <c r="AG328" s="172" t="s">
        <v>11877</v>
      </c>
      <c r="AH328" s="171" t="s">
        <v>11880</v>
      </c>
    </row>
    <row r="329" spans="28:34">
      <c r="AB329" s="115">
        <v>45984</v>
      </c>
      <c r="AC329" s="178" t="s">
        <v>13199</v>
      </c>
      <c r="AD329" s="172" t="s">
        <v>11814</v>
      </c>
      <c r="AE329" s="116" t="s">
        <v>11811</v>
      </c>
      <c r="AF329" s="177" t="s">
        <v>11886</v>
      </c>
      <c r="AG329" s="172" t="s">
        <v>11877</v>
      </c>
      <c r="AH329" s="171" t="s">
        <v>11880</v>
      </c>
    </row>
    <row r="330" spans="28:34">
      <c r="AB330" s="115">
        <v>45985</v>
      </c>
      <c r="AC330" s="178" t="s">
        <v>13200</v>
      </c>
      <c r="AD330" s="172" t="s">
        <v>11816</v>
      </c>
      <c r="AE330" s="116" t="s">
        <v>11813</v>
      </c>
      <c r="AF330" s="177" t="s">
        <v>11886</v>
      </c>
      <c r="AG330" s="172" t="s">
        <v>11877</v>
      </c>
      <c r="AH330" s="171" t="s">
        <v>11880</v>
      </c>
    </row>
    <row r="331" spans="28:34">
      <c r="AB331" s="115">
        <v>45986</v>
      </c>
      <c r="AC331" s="178" t="s">
        <v>13201</v>
      </c>
      <c r="AD331" s="172" t="s">
        <v>11818</v>
      </c>
      <c r="AE331" s="116" t="s">
        <v>11815</v>
      </c>
      <c r="AF331" s="177" t="s">
        <v>11886</v>
      </c>
      <c r="AG331" s="172" t="s">
        <v>11877</v>
      </c>
      <c r="AH331" s="171" t="s">
        <v>11880</v>
      </c>
    </row>
    <row r="332" spans="28:34">
      <c r="AB332" s="115">
        <v>45987</v>
      </c>
      <c r="AC332" s="178" t="s">
        <v>13202</v>
      </c>
      <c r="AD332" s="172" t="s">
        <v>11803</v>
      </c>
      <c r="AE332" s="116" t="s">
        <v>11817</v>
      </c>
      <c r="AF332" s="177" t="s">
        <v>11886</v>
      </c>
      <c r="AG332" s="172" t="s">
        <v>11877</v>
      </c>
      <c r="AH332" s="171" t="s">
        <v>11880</v>
      </c>
    </row>
    <row r="333" spans="28:34">
      <c r="AB333" s="115">
        <v>45988</v>
      </c>
      <c r="AC333" s="178" t="s">
        <v>13203</v>
      </c>
      <c r="AD333" s="172" t="s">
        <v>11808</v>
      </c>
      <c r="AE333" s="116" t="s">
        <v>11819</v>
      </c>
      <c r="AF333" s="177" t="s">
        <v>11886</v>
      </c>
      <c r="AG333" s="172" t="s">
        <v>11877</v>
      </c>
      <c r="AH333" s="171" t="s">
        <v>11880</v>
      </c>
    </row>
    <row r="334" spans="28:34">
      <c r="AB334" s="115">
        <v>45989</v>
      </c>
      <c r="AC334" s="178" t="s">
        <v>13204</v>
      </c>
      <c r="AD334" s="172" t="s">
        <v>11810</v>
      </c>
      <c r="AE334" s="116" t="s">
        <v>11820</v>
      </c>
      <c r="AF334" s="177" t="s">
        <v>11886</v>
      </c>
      <c r="AG334" s="172" t="s">
        <v>11877</v>
      </c>
      <c r="AH334" s="171" t="s">
        <v>11880</v>
      </c>
    </row>
    <row r="335" spans="28:34">
      <c r="AB335" s="115">
        <v>45990</v>
      </c>
      <c r="AC335" s="178" t="s">
        <v>13205</v>
      </c>
      <c r="AD335" s="172" t="s">
        <v>11812</v>
      </c>
      <c r="AE335" s="116" t="s">
        <v>11821</v>
      </c>
      <c r="AF335" s="177" t="s">
        <v>11886</v>
      </c>
      <c r="AG335" s="172" t="s">
        <v>11877</v>
      </c>
      <c r="AH335" s="171" t="s">
        <v>11880</v>
      </c>
    </row>
    <row r="336" spans="28:34">
      <c r="AB336" s="115">
        <v>45991</v>
      </c>
      <c r="AC336" s="178" t="s">
        <v>13206</v>
      </c>
      <c r="AD336" s="172" t="s">
        <v>11814</v>
      </c>
      <c r="AE336" s="116" t="s">
        <v>11822</v>
      </c>
      <c r="AF336" s="177" t="s">
        <v>11886</v>
      </c>
      <c r="AG336" s="172" t="s">
        <v>11877</v>
      </c>
      <c r="AH336" s="171" t="s">
        <v>11880</v>
      </c>
    </row>
    <row r="337" spans="28:34">
      <c r="AB337" s="115">
        <v>45992</v>
      </c>
      <c r="AC337" s="178" t="s">
        <v>13207</v>
      </c>
      <c r="AD337" s="172" t="s">
        <v>11816</v>
      </c>
      <c r="AE337" s="116" t="s">
        <v>11873</v>
      </c>
      <c r="AF337" s="177" t="s">
        <v>11886</v>
      </c>
      <c r="AG337" s="172" t="s">
        <v>11877</v>
      </c>
      <c r="AH337" s="171" t="s">
        <v>11880</v>
      </c>
    </row>
    <row r="338" spans="28:34">
      <c r="AB338" s="115">
        <v>45993</v>
      </c>
      <c r="AC338" s="178" t="s">
        <v>13208</v>
      </c>
      <c r="AD338" s="172" t="s">
        <v>11818</v>
      </c>
      <c r="AE338" s="116" t="s">
        <v>11823</v>
      </c>
      <c r="AF338" s="177" t="s">
        <v>11805</v>
      </c>
      <c r="AG338" s="172" t="s">
        <v>11877</v>
      </c>
      <c r="AH338" s="171" t="s">
        <v>11880</v>
      </c>
    </row>
    <row r="339" spans="28:34">
      <c r="AB339" s="115">
        <v>45994</v>
      </c>
      <c r="AC339" s="178" t="s">
        <v>13209</v>
      </c>
      <c r="AD339" s="172" t="s">
        <v>11803</v>
      </c>
      <c r="AE339" s="116" t="s">
        <v>11825</v>
      </c>
      <c r="AF339" s="177" t="s">
        <v>11805</v>
      </c>
      <c r="AG339" s="172" t="s">
        <v>11877</v>
      </c>
      <c r="AH339" s="171" t="s">
        <v>11880</v>
      </c>
    </row>
    <row r="340" spans="28:34">
      <c r="AB340" s="115">
        <v>45995</v>
      </c>
      <c r="AC340" s="178" t="s">
        <v>13210</v>
      </c>
      <c r="AD340" s="172" t="s">
        <v>11808</v>
      </c>
      <c r="AE340" s="116" t="s">
        <v>11826</v>
      </c>
      <c r="AF340" s="177" t="s">
        <v>11805</v>
      </c>
      <c r="AG340" s="172" t="s">
        <v>11877</v>
      </c>
      <c r="AH340" s="171" t="s">
        <v>11880</v>
      </c>
    </row>
    <row r="341" spans="28:34">
      <c r="AB341" s="115">
        <v>45996</v>
      </c>
      <c r="AC341" s="178" t="s">
        <v>13211</v>
      </c>
      <c r="AD341" s="172" t="s">
        <v>11810</v>
      </c>
      <c r="AE341" s="116" t="s">
        <v>11827</v>
      </c>
      <c r="AF341" s="177" t="s">
        <v>11805</v>
      </c>
      <c r="AG341" s="172" t="s">
        <v>11877</v>
      </c>
      <c r="AH341" s="171" t="s">
        <v>11880</v>
      </c>
    </row>
    <row r="342" spans="28:34">
      <c r="AB342" s="115">
        <v>45997</v>
      </c>
      <c r="AC342" s="178" t="s">
        <v>13212</v>
      </c>
      <c r="AD342" s="172" t="s">
        <v>11812</v>
      </c>
      <c r="AE342" s="116" t="s">
        <v>11830</v>
      </c>
      <c r="AF342" s="177" t="s">
        <v>11805</v>
      </c>
      <c r="AG342" s="172" t="s">
        <v>11877</v>
      </c>
      <c r="AH342" s="171" t="s">
        <v>11880</v>
      </c>
    </row>
    <row r="343" spans="28:34">
      <c r="AB343" s="115">
        <v>45998</v>
      </c>
      <c r="AC343" s="178" t="s">
        <v>13213</v>
      </c>
      <c r="AD343" s="172" t="s">
        <v>11814</v>
      </c>
      <c r="AE343" s="116" t="s">
        <v>11833</v>
      </c>
      <c r="AF343" s="177" t="s">
        <v>11805</v>
      </c>
      <c r="AG343" s="172" t="s">
        <v>11877</v>
      </c>
      <c r="AH343" s="171" t="s">
        <v>11880</v>
      </c>
    </row>
    <row r="344" spans="28:34">
      <c r="AB344" s="115">
        <v>45999</v>
      </c>
      <c r="AC344" s="178" t="s">
        <v>13214</v>
      </c>
      <c r="AD344" s="172" t="s">
        <v>11816</v>
      </c>
      <c r="AE344" s="116" t="s">
        <v>11836</v>
      </c>
      <c r="AF344" s="177" t="s">
        <v>11805</v>
      </c>
      <c r="AG344" s="172" t="s">
        <v>11877</v>
      </c>
      <c r="AH344" s="171" t="s">
        <v>11880</v>
      </c>
    </row>
    <row r="345" spans="28:34">
      <c r="AB345" s="115">
        <v>46000</v>
      </c>
      <c r="AC345" s="178" t="s">
        <v>13215</v>
      </c>
      <c r="AD345" s="172" t="s">
        <v>11818</v>
      </c>
      <c r="AE345" s="116" t="s">
        <v>11839</v>
      </c>
      <c r="AF345" s="177" t="s">
        <v>11805</v>
      </c>
      <c r="AG345" s="172" t="s">
        <v>11877</v>
      </c>
      <c r="AH345" s="171" t="s">
        <v>11880</v>
      </c>
    </row>
    <row r="346" spans="28:34">
      <c r="AB346" s="115">
        <v>46001</v>
      </c>
      <c r="AC346" s="178" t="s">
        <v>13216</v>
      </c>
      <c r="AD346" s="172" t="s">
        <v>11803</v>
      </c>
      <c r="AE346" s="116" t="s">
        <v>11842</v>
      </c>
      <c r="AF346" s="177" t="s">
        <v>11805</v>
      </c>
      <c r="AG346" s="172" t="s">
        <v>11877</v>
      </c>
      <c r="AH346" s="171" t="s">
        <v>11880</v>
      </c>
    </row>
    <row r="347" spans="28:34">
      <c r="AB347" s="115">
        <v>46002</v>
      </c>
      <c r="AC347" s="178" t="s">
        <v>13217</v>
      </c>
      <c r="AD347" s="172" t="s">
        <v>11808</v>
      </c>
      <c r="AE347" s="116" t="s">
        <v>11845</v>
      </c>
      <c r="AF347" s="177" t="s">
        <v>11805</v>
      </c>
      <c r="AG347" s="172" t="s">
        <v>11877</v>
      </c>
      <c r="AH347" s="171" t="s">
        <v>11880</v>
      </c>
    </row>
    <row r="348" spans="28:34">
      <c r="AB348" s="115">
        <v>46003</v>
      </c>
      <c r="AC348" s="178" t="s">
        <v>13218</v>
      </c>
      <c r="AD348" s="172" t="s">
        <v>11810</v>
      </c>
      <c r="AE348" s="116" t="s">
        <v>11848</v>
      </c>
      <c r="AF348" s="177" t="s">
        <v>11805</v>
      </c>
      <c r="AG348" s="172" t="s">
        <v>11877</v>
      </c>
      <c r="AH348" s="171" t="s">
        <v>11880</v>
      </c>
    </row>
    <row r="349" spans="28:34">
      <c r="AB349" s="115">
        <v>46004</v>
      </c>
      <c r="AC349" s="178" t="s">
        <v>13219</v>
      </c>
      <c r="AD349" s="172" t="s">
        <v>11812</v>
      </c>
      <c r="AE349" s="116" t="s">
        <v>11851</v>
      </c>
      <c r="AF349" s="177" t="s">
        <v>11805</v>
      </c>
      <c r="AG349" s="172" t="s">
        <v>11877</v>
      </c>
      <c r="AH349" s="171" t="s">
        <v>11880</v>
      </c>
    </row>
    <row r="350" spans="28:34">
      <c r="AB350" s="115">
        <v>46005</v>
      </c>
      <c r="AC350" s="178" t="s">
        <v>13220</v>
      </c>
      <c r="AD350" s="172" t="s">
        <v>11814</v>
      </c>
      <c r="AE350" s="116" t="s">
        <v>11854</v>
      </c>
      <c r="AF350" s="177" t="s">
        <v>11805</v>
      </c>
      <c r="AG350" s="172" t="s">
        <v>11877</v>
      </c>
      <c r="AH350" s="171" t="s">
        <v>11880</v>
      </c>
    </row>
    <row r="351" spans="28:34">
      <c r="AB351" s="115">
        <v>46006</v>
      </c>
      <c r="AC351" s="178" t="s">
        <v>13221</v>
      </c>
      <c r="AD351" s="172" t="s">
        <v>11816</v>
      </c>
      <c r="AE351" s="116" t="s">
        <v>11857</v>
      </c>
      <c r="AF351" s="177" t="s">
        <v>11805</v>
      </c>
      <c r="AG351" s="172" t="s">
        <v>11877</v>
      </c>
      <c r="AH351" s="171" t="s">
        <v>11880</v>
      </c>
    </row>
    <row r="352" spans="28:34">
      <c r="AB352" s="115">
        <v>46007</v>
      </c>
      <c r="AC352" s="178" t="s">
        <v>13222</v>
      </c>
      <c r="AD352" s="172" t="s">
        <v>11818</v>
      </c>
      <c r="AE352" s="116" t="s">
        <v>11860</v>
      </c>
      <c r="AF352" s="177" t="s">
        <v>11805</v>
      </c>
      <c r="AG352" s="172" t="s">
        <v>11877</v>
      </c>
      <c r="AH352" s="171" t="s">
        <v>11880</v>
      </c>
    </row>
    <row r="353" spans="28:34">
      <c r="AB353" s="115">
        <v>46008</v>
      </c>
      <c r="AC353" s="178" t="s">
        <v>13223</v>
      </c>
      <c r="AD353" s="172" t="s">
        <v>11803</v>
      </c>
      <c r="AE353" s="116" t="s">
        <v>11863</v>
      </c>
      <c r="AF353" s="177" t="s">
        <v>11805</v>
      </c>
      <c r="AG353" s="172" t="s">
        <v>11877</v>
      </c>
      <c r="AH353" s="171" t="s">
        <v>11880</v>
      </c>
    </row>
    <row r="354" spans="28:34">
      <c r="AB354" s="115">
        <v>46009</v>
      </c>
      <c r="AC354" s="178" t="s">
        <v>13224</v>
      </c>
      <c r="AD354" s="172" t="s">
        <v>11808</v>
      </c>
      <c r="AE354" s="116" t="s">
        <v>11866</v>
      </c>
      <c r="AF354" s="177" t="s">
        <v>11805</v>
      </c>
      <c r="AG354" s="172" t="s">
        <v>11877</v>
      </c>
      <c r="AH354" s="171" t="s">
        <v>11880</v>
      </c>
    </row>
    <row r="355" spans="28:34">
      <c r="AB355" s="115">
        <v>46010</v>
      </c>
      <c r="AC355" s="178" t="s">
        <v>13225</v>
      </c>
      <c r="AD355" s="172" t="s">
        <v>11810</v>
      </c>
      <c r="AE355" s="116" t="s">
        <v>11869</v>
      </c>
      <c r="AF355" s="177" t="s">
        <v>11805</v>
      </c>
      <c r="AG355" s="172" t="s">
        <v>11877</v>
      </c>
      <c r="AH355" s="171" t="s">
        <v>11880</v>
      </c>
    </row>
    <row r="356" spans="28:34">
      <c r="AB356" s="115">
        <v>46011</v>
      </c>
      <c r="AC356" s="178" t="s">
        <v>13226</v>
      </c>
      <c r="AD356" s="172" t="s">
        <v>11812</v>
      </c>
      <c r="AE356" s="116" t="s">
        <v>11872</v>
      </c>
      <c r="AF356" s="177" t="s">
        <v>11805</v>
      </c>
      <c r="AG356" s="172" t="s">
        <v>11877</v>
      </c>
      <c r="AH356" s="171" t="s">
        <v>11880</v>
      </c>
    </row>
    <row r="357" spans="28:34">
      <c r="AB357" s="115">
        <v>46012</v>
      </c>
      <c r="AC357" s="178" t="s">
        <v>13227</v>
      </c>
      <c r="AD357" s="172" t="s">
        <v>11814</v>
      </c>
      <c r="AE357" s="116" t="s">
        <v>11804</v>
      </c>
      <c r="AF357" s="177" t="s">
        <v>11805</v>
      </c>
      <c r="AG357" s="172" t="s">
        <v>11877</v>
      </c>
      <c r="AH357" s="171" t="s">
        <v>11880</v>
      </c>
    </row>
    <row r="358" spans="28:34">
      <c r="AB358" s="115">
        <v>46013</v>
      </c>
      <c r="AC358" s="178" t="s">
        <v>13228</v>
      </c>
      <c r="AD358" s="172" t="s">
        <v>11816</v>
      </c>
      <c r="AE358" s="116" t="s">
        <v>11809</v>
      </c>
      <c r="AF358" s="177" t="s">
        <v>11805</v>
      </c>
      <c r="AG358" s="172" t="s">
        <v>11877</v>
      </c>
      <c r="AH358" s="171" t="s">
        <v>11880</v>
      </c>
    </row>
    <row r="359" spans="28:34">
      <c r="AB359" s="115">
        <v>46014</v>
      </c>
      <c r="AC359" s="178" t="s">
        <v>13229</v>
      </c>
      <c r="AD359" s="172" t="s">
        <v>11818</v>
      </c>
      <c r="AE359" s="116" t="s">
        <v>11811</v>
      </c>
      <c r="AF359" s="177" t="s">
        <v>11805</v>
      </c>
      <c r="AG359" s="172" t="s">
        <v>11877</v>
      </c>
      <c r="AH359" s="171" t="s">
        <v>11880</v>
      </c>
    </row>
    <row r="360" spans="28:34">
      <c r="AB360" s="115">
        <v>46015</v>
      </c>
      <c r="AC360" s="178" t="s">
        <v>13230</v>
      </c>
      <c r="AD360" s="172" t="s">
        <v>11803</v>
      </c>
      <c r="AE360" s="116" t="s">
        <v>11813</v>
      </c>
      <c r="AF360" s="177" t="s">
        <v>11805</v>
      </c>
      <c r="AG360" s="172" t="s">
        <v>11877</v>
      </c>
      <c r="AH360" s="171" t="s">
        <v>11880</v>
      </c>
    </row>
    <row r="361" spans="28:34">
      <c r="AB361" s="115">
        <v>46016</v>
      </c>
      <c r="AC361" s="178" t="s">
        <v>13231</v>
      </c>
      <c r="AD361" s="172" t="s">
        <v>11808</v>
      </c>
      <c r="AE361" s="116" t="s">
        <v>11815</v>
      </c>
      <c r="AF361" s="177" t="s">
        <v>11805</v>
      </c>
      <c r="AG361" s="172" t="s">
        <v>11877</v>
      </c>
      <c r="AH361" s="171" t="s">
        <v>11880</v>
      </c>
    </row>
    <row r="362" spans="28:34">
      <c r="AB362" s="115">
        <v>46017</v>
      </c>
      <c r="AC362" s="178" t="s">
        <v>13232</v>
      </c>
      <c r="AD362" s="172" t="s">
        <v>11810</v>
      </c>
      <c r="AE362" s="116" t="s">
        <v>11817</v>
      </c>
      <c r="AF362" s="177" t="s">
        <v>11805</v>
      </c>
      <c r="AG362" s="172" t="s">
        <v>11877</v>
      </c>
      <c r="AH362" s="171" t="s">
        <v>11880</v>
      </c>
    </row>
    <row r="363" spans="28:34">
      <c r="AB363" s="115">
        <v>46018</v>
      </c>
      <c r="AC363" s="178" t="s">
        <v>13233</v>
      </c>
      <c r="AD363" s="172" t="s">
        <v>11812</v>
      </c>
      <c r="AE363" s="116" t="s">
        <v>11819</v>
      </c>
      <c r="AF363" s="177" t="s">
        <v>11805</v>
      </c>
      <c r="AG363" s="172" t="s">
        <v>11877</v>
      </c>
      <c r="AH363" s="171" t="s">
        <v>11880</v>
      </c>
    </row>
    <row r="364" spans="28:34">
      <c r="AB364" s="115">
        <v>46019</v>
      </c>
      <c r="AC364" s="178" t="s">
        <v>13234</v>
      </c>
      <c r="AD364" s="172" t="s">
        <v>11814</v>
      </c>
      <c r="AE364" s="116" t="s">
        <v>11820</v>
      </c>
      <c r="AF364" s="177" t="s">
        <v>11805</v>
      </c>
      <c r="AG364" s="172" t="s">
        <v>11877</v>
      </c>
      <c r="AH364" s="171" t="s">
        <v>11880</v>
      </c>
    </row>
    <row r="365" spans="28:34">
      <c r="AB365" s="115">
        <v>46020</v>
      </c>
      <c r="AC365" s="178" t="s">
        <v>13235</v>
      </c>
      <c r="AD365" s="172" t="s">
        <v>11816</v>
      </c>
      <c r="AE365" s="116" t="s">
        <v>11821</v>
      </c>
      <c r="AF365" s="177" t="s">
        <v>11805</v>
      </c>
      <c r="AG365" s="172" t="s">
        <v>11877</v>
      </c>
      <c r="AH365" s="171" t="s">
        <v>11880</v>
      </c>
    </row>
    <row r="366" spans="28:34">
      <c r="AB366" s="115">
        <v>46021</v>
      </c>
      <c r="AC366" s="178" t="s">
        <v>13236</v>
      </c>
      <c r="AD366" s="172" t="s">
        <v>11818</v>
      </c>
      <c r="AE366" s="116" t="s">
        <v>11822</v>
      </c>
      <c r="AF366" s="177" t="s">
        <v>11805</v>
      </c>
      <c r="AG366" s="172" t="s">
        <v>11877</v>
      </c>
      <c r="AH366" s="171" t="s">
        <v>11880</v>
      </c>
    </row>
    <row r="367" spans="28:34">
      <c r="AB367" s="115">
        <v>46022</v>
      </c>
      <c r="AC367" s="178" t="s">
        <v>13237</v>
      </c>
      <c r="AD367" s="172" t="s">
        <v>11803</v>
      </c>
      <c r="AE367" s="116" t="s">
        <v>11823</v>
      </c>
      <c r="AF367" s="177"/>
      <c r="AG367" s="172" t="s">
        <v>11877</v>
      </c>
      <c r="AH367" s="171" t="s">
        <v>11880</v>
      </c>
    </row>
    <row r="368" spans="28:34">
      <c r="AB368" s="115"/>
      <c r="AC368" s="116"/>
      <c r="AD368" s="172" t="s">
        <v>11808</v>
      </c>
      <c r="AE368" s="116" t="s">
        <v>11825</v>
      </c>
      <c r="AF368" s="177"/>
      <c r="AG368" s="172" t="s">
        <v>11877</v>
      </c>
      <c r="AH368" s="171" t="s">
        <v>11880</v>
      </c>
    </row>
    <row r="369" spans="28:32">
      <c r="AB369" s="115"/>
      <c r="AC369" s="116"/>
      <c r="AD369" s="172"/>
      <c r="AE369" s="116"/>
      <c r="AF369" s="176"/>
    </row>
    <row r="370" spans="28:32">
      <c r="AB370" s="115"/>
      <c r="AC370" s="116"/>
      <c r="AD370" s="172"/>
      <c r="AE370" s="116"/>
      <c r="AF370" s="176"/>
    </row>
    <row r="371" spans="28:32">
      <c r="AB371" s="115"/>
      <c r="AC371" s="116"/>
      <c r="AD371" s="172"/>
      <c r="AE371" s="116"/>
      <c r="AF371" s="176"/>
    </row>
    <row r="372" spans="28:32">
      <c r="AB372" s="115"/>
      <c r="AC372" s="116"/>
      <c r="AD372" s="172"/>
      <c r="AE372" s="116"/>
      <c r="AF372" s="176"/>
    </row>
    <row r="373" spans="28:32">
      <c r="AB373" s="115"/>
      <c r="AC373" s="116"/>
      <c r="AD373" s="172"/>
      <c r="AE373" s="116"/>
      <c r="AF373" s="176"/>
    </row>
    <row r="374" spans="28:32">
      <c r="AB374" s="115"/>
      <c r="AC374" s="116"/>
      <c r="AE374" s="116"/>
      <c r="AF374" s="176"/>
    </row>
    <row r="375" spans="28:32">
      <c r="AB375" s="115"/>
      <c r="AC375" s="116"/>
      <c r="AE375" s="116"/>
      <c r="AF375" s="176"/>
    </row>
    <row r="376" spans="28:32">
      <c r="AB376" s="115"/>
      <c r="AC376" s="116"/>
      <c r="AE376" s="116"/>
      <c r="AF376" s="176"/>
    </row>
    <row r="377" spans="28:32">
      <c r="AB377" s="115"/>
      <c r="AC377" s="116"/>
      <c r="AE377" s="116"/>
      <c r="AF377" s="176"/>
    </row>
    <row r="378" spans="28:32">
      <c r="AB378" s="115"/>
      <c r="AC378" s="116"/>
      <c r="AE378" s="116"/>
      <c r="AF378" s="176"/>
    </row>
    <row r="379" spans="28:32">
      <c r="AB379" s="115"/>
      <c r="AC379" s="116"/>
      <c r="AE379" s="116"/>
      <c r="AF379" s="176"/>
    </row>
    <row r="380" spans="28:32">
      <c r="AB380" s="115"/>
      <c r="AC380" s="116"/>
      <c r="AE380" s="116"/>
      <c r="AF380" s="176"/>
    </row>
    <row r="381" spans="28:32">
      <c r="AB381" s="115"/>
      <c r="AC381" s="116"/>
      <c r="AE381" s="116"/>
      <c r="AF381" s="176"/>
    </row>
    <row r="2166" spans="28:28">
      <c r="AB2166" s="186"/>
    </row>
    <row r="2168" spans="28:28">
      <c r="AB2168" s="187"/>
    </row>
    <row r="2169" spans="28:28">
      <c r="AB2169" s="187"/>
    </row>
    <row r="2170" spans="28:28">
      <c r="AB2170" s="187"/>
    </row>
    <row r="2171" spans="28:28">
      <c r="AB2171" s="187"/>
    </row>
    <row r="2182" spans="34:34">
      <c r="AH2182" s="185"/>
    </row>
    <row r="2509" spans="25:35">
      <c r="Y2509">
        <v>17200</v>
      </c>
      <c r="AB2509" t="s">
        <v>14385</v>
      </c>
      <c r="AC2509">
        <v>8</v>
      </c>
      <c r="AD2509">
        <v>0</v>
      </c>
      <c r="AE2509">
        <v>4</v>
      </c>
      <c r="AG2509" t="s">
        <v>14386</v>
      </c>
      <c r="AH2509" s="185">
        <v>45866</v>
      </c>
      <c r="AI2509" t="s">
        <v>13319</v>
      </c>
    </row>
  </sheetData>
  <autoFilter ref="O2:Q63" xr:uid="{00000000-0001-0000-0200-000000000000}"/>
  <mergeCells count="2">
    <mergeCell ref="S1:W1"/>
    <mergeCell ref="O1:Q1"/>
  </mergeCells>
  <phoneticPr fontId="1" type="noConversion"/>
  <hyperlinks>
    <hyperlink ref="E13" r:id="rId1" xr:uid="{00000000-0004-0000-0200-000000000000}"/>
    <hyperlink ref="E7" r:id="rId2" xr:uid="{00000000-0004-0000-0200-000001000000}"/>
    <hyperlink ref="E10" r:id="rId3" xr:uid="{00000000-0004-0000-0200-000002000000}"/>
    <hyperlink ref="E6" r:id="rId4" xr:uid="{00000000-0004-0000-0200-000003000000}"/>
    <hyperlink ref="E14" r:id="rId5" xr:uid="{00000000-0004-0000-0200-000004000000}"/>
    <hyperlink ref="E15" r:id="rId6" xr:uid="{00000000-0004-0000-0200-000005000000}"/>
    <hyperlink ref="E17" r:id="rId7" xr:uid="{00000000-0004-0000-0200-000006000000}"/>
    <hyperlink ref="E19" r:id="rId8" xr:uid="{00000000-0004-0000-0200-000007000000}"/>
    <hyperlink ref="E20" r:id="rId9" xr:uid="{00000000-0004-0000-0200-000008000000}"/>
    <hyperlink ref="E21" r:id="rId10" display="https://goo.gl/maps/z8V4So5cupHNnQ9f7" xr:uid="{15EDC079-072C-46AB-9A23-A2F036585027}"/>
    <hyperlink ref="E23" r:id="rId11" xr:uid="{F7B0412D-DB08-47EF-9693-2C253DBB8C9D}"/>
    <hyperlink ref="E24" r:id="rId12" xr:uid="{B93DD4CD-4ED9-4E76-9D6F-F7B7F5FD74B0}"/>
    <hyperlink ref="E26" r:id="rId13" xr:uid="{B3EEAC0C-DD30-450B-AE77-136B726580A9}"/>
    <hyperlink ref="E29" r:id="rId14" xr:uid="{105B46A1-2458-4C6E-A565-F64EE85D3704}"/>
    <hyperlink ref="E31" r:id="rId15" xr:uid="{D8E2A4AB-1D4A-4FE3-B0DC-0DFBE52DED6F}"/>
    <hyperlink ref="E30" r:id="rId16" xr:uid="{5609754F-CF90-4593-8C28-E177F9A7365B}"/>
    <hyperlink ref="E32" r:id="rId17" xr:uid="{D47098A4-45C7-4D67-A7ED-38B2C0DA060C}"/>
    <hyperlink ref="E34" r:id="rId18" xr:uid="{77DBF96A-26B6-4F40-B6C0-493B2002C067}"/>
    <hyperlink ref="E35" r:id="rId19" xr:uid="{FC6694DB-653C-4F88-9E89-42C6CE93F3BD}"/>
    <hyperlink ref="E36" r:id="rId20" xr:uid="{1E61BBED-2692-4315-A00E-5233A620F141}"/>
    <hyperlink ref="E37" r:id="rId21" xr:uid="{84B3EEA6-67FE-4DA6-A800-EA03F74B56F7}"/>
    <hyperlink ref="E38" r:id="rId22" xr:uid="{C2612899-E4E1-4723-8A3C-5D291CF53F00}"/>
    <hyperlink ref="E39" r:id="rId23" xr:uid="{3FAFDDE2-8E49-441E-A900-30CCF07C2E9B}"/>
    <hyperlink ref="E41" r:id="rId24" xr:uid="{DCAEE6B1-251F-4B05-9B17-3949CE6F62BF}"/>
    <hyperlink ref="E42" r:id="rId25" xr:uid="{C16CCF6E-DBE2-4EA1-9ABF-9AD8685ED809}"/>
    <hyperlink ref="E43" r:id="rId26" xr:uid="{7242DDAB-A590-436C-9469-40A3EC5F52E7}"/>
  </hyperlinks>
  <pageMargins left="0.18" right="0.2" top="0.49" bottom="0.75" header="0.3" footer="0.3"/>
  <pageSetup paperSize="9" scale="10" orientation="landscape" r:id="rId27"/>
  <tableParts count="1">
    <tablePart r:id="rId28"/>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H63"/>
  <sheetViews>
    <sheetView workbookViewId="0">
      <pane ySplit="1" topLeftCell="A4" activePane="bottomLeft" state="frozen"/>
      <selection pane="bottomLeft" activeCell="H19" sqref="H19"/>
    </sheetView>
  </sheetViews>
  <sheetFormatPr baseColWidth="10" defaultColWidth="8.83203125" defaultRowHeight="15"/>
  <cols>
    <col min="1" max="1" width="13.5" customWidth="1"/>
    <col min="2" max="2" width="14.5" customWidth="1"/>
    <col min="5" max="5" width="9.5" style="129"/>
  </cols>
  <sheetData>
    <row r="1" spans="1:8">
      <c r="B1" s="222">
        <f>SUM(C3:C9999)</f>
        <v>305</v>
      </c>
      <c r="C1" s="222"/>
      <c r="D1" s="222"/>
      <c r="E1" s="222">
        <f>SUM(F3:F9999)</f>
        <v>243</v>
      </c>
      <c r="F1" s="222"/>
      <c r="G1" s="222"/>
      <c r="H1">
        <f>B1-E1</f>
        <v>62</v>
      </c>
    </row>
    <row r="2" spans="1:8">
      <c r="A2" t="s">
        <v>6402</v>
      </c>
      <c r="B2" t="s">
        <v>3109</v>
      </c>
      <c r="C2" t="s">
        <v>3140</v>
      </c>
      <c r="D2" t="s">
        <v>6399</v>
      </c>
      <c r="E2" s="129" t="s">
        <v>6401</v>
      </c>
      <c r="F2" t="s">
        <v>6398</v>
      </c>
      <c r="G2" t="s">
        <v>6399</v>
      </c>
      <c r="H2" t="s">
        <v>6400</v>
      </c>
    </row>
    <row r="3" spans="1:8">
      <c r="A3" t="s">
        <v>6403</v>
      </c>
      <c r="B3" t="s">
        <v>6404</v>
      </c>
      <c r="C3">
        <v>25</v>
      </c>
      <c r="D3" s="96">
        <v>44615</v>
      </c>
      <c r="E3" s="129" t="s">
        <v>6405</v>
      </c>
      <c r="F3">
        <v>7</v>
      </c>
    </row>
    <row r="4" spans="1:8">
      <c r="A4" t="s">
        <v>6524</v>
      </c>
      <c r="B4" t="s">
        <v>6404</v>
      </c>
      <c r="C4">
        <v>40</v>
      </c>
      <c r="E4" s="129">
        <v>22072</v>
      </c>
      <c r="F4">
        <v>1</v>
      </c>
      <c r="G4" s="96"/>
    </row>
    <row r="5" spans="1:8">
      <c r="A5" t="s">
        <v>6601</v>
      </c>
      <c r="B5" t="s">
        <v>6404</v>
      </c>
      <c r="C5">
        <v>40</v>
      </c>
      <c r="D5" s="96">
        <v>44644</v>
      </c>
      <c r="E5" s="129">
        <v>22073</v>
      </c>
      <c r="F5">
        <v>7</v>
      </c>
      <c r="G5" s="96"/>
    </row>
    <row r="6" spans="1:8">
      <c r="A6" s="128" t="s">
        <v>7811</v>
      </c>
      <c r="B6" t="s">
        <v>7812</v>
      </c>
      <c r="C6">
        <v>100</v>
      </c>
      <c r="E6" s="129">
        <v>22074</v>
      </c>
      <c r="F6">
        <v>1</v>
      </c>
      <c r="G6" s="96"/>
    </row>
    <row r="7" spans="1:8">
      <c r="B7" t="s">
        <v>7812</v>
      </c>
      <c r="C7">
        <v>100</v>
      </c>
      <c r="E7" s="129">
        <v>22084</v>
      </c>
      <c r="F7">
        <v>2</v>
      </c>
      <c r="G7" s="96">
        <v>44629</v>
      </c>
    </row>
    <row r="8" spans="1:8">
      <c r="E8" s="129">
        <v>22085</v>
      </c>
      <c r="F8">
        <v>5</v>
      </c>
      <c r="G8" s="96">
        <v>44629</v>
      </c>
    </row>
    <row r="9" spans="1:8">
      <c r="E9" s="129">
        <v>22089</v>
      </c>
      <c r="F9">
        <v>2</v>
      </c>
      <c r="G9" s="96"/>
    </row>
    <row r="10" spans="1:8">
      <c r="E10" s="129">
        <v>22090</v>
      </c>
      <c r="F10">
        <v>5</v>
      </c>
      <c r="G10" s="96"/>
    </row>
    <row r="11" spans="1:8">
      <c r="E11" s="129">
        <v>22091</v>
      </c>
      <c r="F11">
        <v>5</v>
      </c>
      <c r="G11" s="96"/>
    </row>
    <row r="12" spans="1:8">
      <c r="E12" s="129">
        <v>22092</v>
      </c>
      <c r="F12">
        <v>10</v>
      </c>
      <c r="G12" s="96"/>
    </row>
    <row r="13" spans="1:8">
      <c r="E13" s="129">
        <v>22095</v>
      </c>
      <c r="F13">
        <v>1</v>
      </c>
    </row>
    <row r="14" spans="1:8">
      <c r="E14" s="129">
        <v>22098</v>
      </c>
      <c r="F14">
        <v>3</v>
      </c>
    </row>
    <row r="15" spans="1:8">
      <c r="E15" s="129">
        <v>22101</v>
      </c>
      <c r="F15">
        <v>1</v>
      </c>
    </row>
    <row r="16" spans="1:8">
      <c r="E16" s="129">
        <v>22103</v>
      </c>
      <c r="F16">
        <v>9</v>
      </c>
    </row>
    <row r="17" spans="5:6">
      <c r="E17" s="129">
        <v>22104</v>
      </c>
      <c r="F17">
        <v>5</v>
      </c>
    </row>
    <row r="18" spans="5:6">
      <c r="E18" s="129">
        <v>22105</v>
      </c>
      <c r="F18">
        <v>1</v>
      </c>
    </row>
    <row r="19" spans="5:6">
      <c r="E19" s="129">
        <v>22112</v>
      </c>
      <c r="F19">
        <v>2</v>
      </c>
    </row>
    <row r="20" spans="5:6">
      <c r="E20" s="129">
        <v>22113</v>
      </c>
      <c r="F20">
        <v>2</v>
      </c>
    </row>
    <row r="21" spans="5:6">
      <c r="E21" s="129">
        <v>22114</v>
      </c>
      <c r="F21">
        <v>3</v>
      </c>
    </row>
    <row r="22" spans="5:6">
      <c r="E22" s="129">
        <v>22115</v>
      </c>
      <c r="F22">
        <v>3</v>
      </c>
    </row>
    <row r="23" spans="5:6">
      <c r="E23" s="129">
        <v>22116</v>
      </c>
      <c r="F23">
        <v>5</v>
      </c>
    </row>
    <row r="24" spans="5:6">
      <c r="E24" s="129">
        <v>22127</v>
      </c>
      <c r="F24">
        <v>10</v>
      </c>
    </row>
    <row r="25" spans="5:6">
      <c r="E25" s="129">
        <v>22134</v>
      </c>
      <c r="F25">
        <v>4</v>
      </c>
    </row>
    <row r="26" spans="5:6">
      <c r="E26" s="129">
        <v>22142</v>
      </c>
      <c r="F26">
        <v>3</v>
      </c>
    </row>
    <row r="27" spans="5:6">
      <c r="E27" s="129">
        <v>22143</v>
      </c>
      <c r="F27">
        <v>1</v>
      </c>
    </row>
    <row r="28" spans="5:6">
      <c r="E28" s="129">
        <v>22145</v>
      </c>
      <c r="F28">
        <v>9</v>
      </c>
    </row>
    <row r="29" spans="5:6">
      <c r="E29" s="129">
        <v>22146</v>
      </c>
      <c r="F29">
        <v>1</v>
      </c>
    </row>
    <row r="30" spans="5:6">
      <c r="E30" s="129">
        <v>22149</v>
      </c>
      <c r="F30">
        <v>9</v>
      </c>
    </row>
    <row r="31" spans="5:6">
      <c r="E31" s="129" t="s">
        <v>6905</v>
      </c>
      <c r="F31">
        <v>1</v>
      </c>
    </row>
    <row r="32" spans="5:6">
      <c r="E32" s="129" t="s">
        <v>7146</v>
      </c>
      <c r="F32">
        <v>3</v>
      </c>
    </row>
    <row r="33" spans="5:6">
      <c r="E33" s="129" t="s">
        <v>7149</v>
      </c>
      <c r="F33">
        <v>1</v>
      </c>
    </row>
    <row r="34" spans="5:6">
      <c r="E34" s="129" t="s">
        <v>7153</v>
      </c>
      <c r="F34">
        <v>1</v>
      </c>
    </row>
    <row r="35" spans="5:6">
      <c r="E35" s="129" t="s">
        <v>7328</v>
      </c>
      <c r="F35">
        <v>1</v>
      </c>
    </row>
    <row r="36" spans="5:6">
      <c r="E36" s="129" t="s">
        <v>7483</v>
      </c>
      <c r="F36">
        <v>7</v>
      </c>
    </row>
    <row r="37" spans="5:6">
      <c r="E37" s="129" t="s">
        <v>7487</v>
      </c>
      <c r="F37">
        <v>1</v>
      </c>
    </row>
    <row r="38" spans="5:6">
      <c r="E38" s="129" t="s">
        <v>7491</v>
      </c>
      <c r="F38">
        <v>2</v>
      </c>
    </row>
    <row r="39" spans="5:6">
      <c r="E39" s="129" t="s">
        <v>7517</v>
      </c>
      <c r="F39">
        <v>9</v>
      </c>
    </row>
    <row r="40" spans="5:6">
      <c r="E40" s="129" t="s">
        <v>7764</v>
      </c>
      <c r="F40">
        <v>2</v>
      </c>
    </row>
    <row r="41" spans="5:6">
      <c r="E41" s="129" t="s">
        <v>8336</v>
      </c>
      <c r="F41">
        <v>8</v>
      </c>
    </row>
    <row r="42" spans="5:6">
      <c r="E42" s="129" t="s">
        <v>8341</v>
      </c>
      <c r="F42">
        <v>2</v>
      </c>
    </row>
    <row r="43" spans="5:6">
      <c r="E43" s="129" t="s">
        <v>8382</v>
      </c>
      <c r="F43">
        <v>6</v>
      </c>
    </row>
    <row r="44" spans="5:6">
      <c r="E44" s="129" t="s">
        <v>8388</v>
      </c>
      <c r="F44">
        <v>2</v>
      </c>
    </row>
    <row r="45" spans="5:6">
      <c r="E45" s="129" t="s">
        <v>8448</v>
      </c>
      <c r="F45">
        <v>6</v>
      </c>
    </row>
    <row r="46" spans="5:6">
      <c r="E46" s="129" t="s">
        <v>8449</v>
      </c>
      <c r="F46">
        <v>4</v>
      </c>
    </row>
    <row r="47" spans="5:6">
      <c r="E47" s="129" t="s">
        <v>8487</v>
      </c>
      <c r="F47">
        <v>10</v>
      </c>
    </row>
    <row r="48" spans="5:6">
      <c r="E48" s="129" t="s">
        <v>8597</v>
      </c>
      <c r="F48">
        <v>10</v>
      </c>
    </row>
    <row r="49" spans="5:7">
      <c r="E49" s="129" t="s">
        <v>8607</v>
      </c>
      <c r="F49">
        <v>10</v>
      </c>
    </row>
    <row r="50" spans="5:7">
      <c r="E50" s="129" t="s">
        <v>8697</v>
      </c>
      <c r="F50">
        <v>7</v>
      </c>
    </row>
    <row r="51" spans="5:7">
      <c r="E51" s="129" t="s">
        <v>8708</v>
      </c>
      <c r="F51">
        <v>1</v>
      </c>
    </row>
    <row r="52" spans="5:7">
      <c r="E52" s="129" t="s">
        <v>8803</v>
      </c>
      <c r="F52">
        <v>7</v>
      </c>
    </row>
    <row r="53" spans="5:7">
      <c r="E53" s="129" t="s">
        <v>8807</v>
      </c>
      <c r="F53">
        <v>3</v>
      </c>
    </row>
    <row r="54" spans="5:7">
      <c r="E54" s="129" t="s">
        <v>8827</v>
      </c>
      <c r="F54">
        <v>1</v>
      </c>
    </row>
    <row r="55" spans="5:7">
      <c r="E55" s="129" t="s">
        <v>8831</v>
      </c>
      <c r="F55">
        <v>1</v>
      </c>
    </row>
    <row r="56" spans="5:7">
      <c r="E56" s="129" t="s">
        <v>8880</v>
      </c>
      <c r="G56">
        <v>2</v>
      </c>
    </row>
    <row r="57" spans="5:7">
      <c r="E57" s="129" t="s">
        <v>8883</v>
      </c>
      <c r="G57">
        <v>2</v>
      </c>
    </row>
    <row r="58" spans="5:7">
      <c r="E58" s="129" t="s">
        <v>8886</v>
      </c>
      <c r="F58">
        <v>6</v>
      </c>
    </row>
    <row r="59" spans="5:7">
      <c r="E59" s="129" t="s">
        <v>8890</v>
      </c>
      <c r="F59">
        <v>14</v>
      </c>
    </row>
    <row r="60" spans="5:7">
      <c r="E60" s="129" t="s">
        <v>8941</v>
      </c>
      <c r="G60">
        <v>4</v>
      </c>
    </row>
    <row r="61" spans="5:7">
      <c r="E61" s="129" t="s">
        <v>8948</v>
      </c>
      <c r="G61">
        <v>4</v>
      </c>
    </row>
    <row r="62" spans="5:7">
      <c r="E62" s="129" t="s">
        <v>8979</v>
      </c>
      <c r="G62">
        <v>1</v>
      </c>
    </row>
    <row r="63" spans="5:7">
      <c r="E63" s="129" t="s">
        <v>8983</v>
      </c>
      <c r="G63">
        <v>2</v>
      </c>
    </row>
  </sheetData>
  <mergeCells count="2">
    <mergeCell ref="B1:D1"/>
    <mergeCell ref="E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F6"/>
  <sheetViews>
    <sheetView workbookViewId="0">
      <selection activeCell="D14" sqref="D14"/>
    </sheetView>
  </sheetViews>
  <sheetFormatPr baseColWidth="10" defaultColWidth="8.83203125" defaultRowHeight="15"/>
  <cols>
    <col min="1" max="1" width="3.5" bestFit="1" customWidth="1"/>
    <col min="2" max="2" width="22.5" bestFit="1" customWidth="1"/>
    <col min="4" max="4" width="27.5" bestFit="1" customWidth="1"/>
    <col min="5" max="5" width="10.5" bestFit="1" customWidth="1"/>
    <col min="6" max="6" width="47.5" bestFit="1" customWidth="1"/>
  </cols>
  <sheetData>
    <row r="1" spans="1:6">
      <c r="A1" s="1" t="s">
        <v>3057</v>
      </c>
      <c r="B1" s="1" t="s">
        <v>259</v>
      </c>
      <c r="C1" s="1" t="s">
        <v>3051</v>
      </c>
      <c r="D1" s="1" t="s">
        <v>3059</v>
      </c>
      <c r="E1" s="1" t="s">
        <v>3060</v>
      </c>
      <c r="F1" s="1" t="s">
        <v>264</v>
      </c>
    </row>
    <row r="2" spans="1:6">
      <c r="A2" s="1">
        <v>1</v>
      </c>
      <c r="B2" s="1" t="s">
        <v>258</v>
      </c>
      <c r="C2" s="1" t="s">
        <v>260</v>
      </c>
      <c r="D2" s="1" t="s">
        <v>261</v>
      </c>
      <c r="E2" s="1">
        <v>123456</v>
      </c>
      <c r="F2" s="1" t="s">
        <v>3053</v>
      </c>
    </row>
    <row r="3" spans="1:6">
      <c r="A3" s="1">
        <v>2</v>
      </c>
      <c r="B3" s="1" t="s">
        <v>262</v>
      </c>
      <c r="C3" s="1" t="s">
        <v>260</v>
      </c>
      <c r="D3" s="1" t="s">
        <v>263</v>
      </c>
      <c r="E3" s="1">
        <v>654321</v>
      </c>
      <c r="F3" s="1" t="s">
        <v>3056</v>
      </c>
    </row>
    <row r="4" spans="1:6">
      <c r="A4" s="1">
        <v>3</v>
      </c>
      <c r="B4" s="1" t="s">
        <v>3054</v>
      </c>
      <c r="C4" s="1" t="s">
        <v>260</v>
      </c>
      <c r="D4" s="1" t="s">
        <v>261</v>
      </c>
      <c r="E4" s="1">
        <v>123456</v>
      </c>
      <c r="F4" s="1" t="s">
        <v>3055</v>
      </c>
    </row>
    <row r="5" spans="1:6">
      <c r="A5" s="1">
        <v>4</v>
      </c>
      <c r="B5" s="1" t="s">
        <v>3050</v>
      </c>
      <c r="C5" s="1" t="s">
        <v>60</v>
      </c>
      <c r="D5" s="1" t="s">
        <v>3052</v>
      </c>
      <c r="E5" s="1">
        <v>123456</v>
      </c>
      <c r="F5" s="1" t="s">
        <v>3058</v>
      </c>
    </row>
    <row r="6" spans="1:6">
      <c r="A6" s="1">
        <v>5</v>
      </c>
      <c r="B6" s="1" t="s">
        <v>3047</v>
      </c>
      <c r="C6" s="1" t="s">
        <v>260</v>
      </c>
      <c r="D6" s="1" t="s">
        <v>3225</v>
      </c>
      <c r="E6" s="1" t="s">
        <v>3226</v>
      </c>
      <c r="F6" s="1" t="s">
        <v>3227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5CBE3-AD6D-4EEF-AD9B-D62CE49DE728}">
  <sheetPr codeName="Sheet7"/>
  <dimension ref="B1:AM367"/>
  <sheetViews>
    <sheetView showGridLines="0" zoomScale="70" zoomScaleNormal="70" workbookViewId="0">
      <pane ySplit="3" topLeftCell="A4" activePane="bottomLeft" state="frozen"/>
      <selection pane="bottomLeft" activeCell="I19" sqref="I19"/>
    </sheetView>
  </sheetViews>
  <sheetFormatPr baseColWidth="10" defaultColWidth="8.83203125" defaultRowHeight="15"/>
  <cols>
    <col min="1" max="34" width="10.33203125" customWidth="1"/>
    <col min="35" max="35" width="12.6640625" style="191" hidden="1" customWidth="1"/>
    <col min="36" max="36" width="64.6640625" hidden="1" customWidth="1"/>
    <col min="39" max="39" width="10.5" bestFit="1" customWidth="1"/>
  </cols>
  <sheetData>
    <row r="1" spans="2:39" ht="22.5" customHeight="1"/>
    <row r="2" spans="2:39">
      <c r="AI2" s="114" t="s">
        <v>6214</v>
      </c>
      <c r="AJ2" s="114" t="s">
        <v>12871</v>
      </c>
    </row>
    <row r="3" spans="2:39">
      <c r="AI3" s="191">
        <v>45658</v>
      </c>
      <c r="AJ3" s="116" t="s">
        <v>12872</v>
      </c>
      <c r="AM3" s="192"/>
    </row>
    <row r="4" spans="2:39">
      <c r="AI4" s="191">
        <v>45659</v>
      </c>
      <c r="AJ4" s="116" t="s">
        <v>12873</v>
      </c>
      <c r="AM4" s="192"/>
    </row>
    <row r="5" spans="2:39" ht="42.5" customHeight="1">
      <c r="B5" s="193"/>
      <c r="AI5" s="191">
        <v>45660</v>
      </c>
      <c r="AJ5" s="116" t="s">
        <v>12874</v>
      </c>
    </row>
    <row r="6" spans="2:39">
      <c r="B6" s="194"/>
      <c r="AI6" s="191">
        <v>45661</v>
      </c>
      <c r="AJ6" s="116" t="s">
        <v>12875</v>
      </c>
    </row>
    <row r="7" spans="2:39" ht="19">
      <c r="C7" s="195" t="s">
        <v>12876</v>
      </c>
      <c r="AI7" s="191">
        <v>45662</v>
      </c>
      <c r="AJ7" s="116" t="s">
        <v>12877</v>
      </c>
    </row>
    <row r="8" spans="2:39">
      <c r="AI8" s="191">
        <v>45663</v>
      </c>
      <c r="AJ8" s="116" t="s">
        <v>12878</v>
      </c>
    </row>
    <row r="9" spans="2:39">
      <c r="AI9" s="191">
        <v>45664</v>
      </c>
      <c r="AJ9" s="116" t="s">
        <v>12879</v>
      </c>
    </row>
    <row r="10" spans="2:39">
      <c r="AI10" s="191">
        <v>45665</v>
      </c>
      <c r="AJ10" s="116" t="s">
        <v>12880</v>
      </c>
    </row>
    <row r="11" spans="2:39">
      <c r="AI11" s="191">
        <v>45666</v>
      </c>
      <c r="AJ11" s="116" t="s">
        <v>12881</v>
      </c>
    </row>
    <row r="12" spans="2:39">
      <c r="AI12" s="191">
        <v>45667</v>
      </c>
      <c r="AJ12" s="116" t="s">
        <v>12882</v>
      </c>
    </row>
    <row r="13" spans="2:39">
      <c r="F13" s="192"/>
      <c r="AI13" s="191">
        <v>45668</v>
      </c>
      <c r="AJ13" s="116" t="s">
        <v>12883</v>
      </c>
    </row>
    <row r="14" spans="2:39">
      <c r="AI14" s="191">
        <v>45669</v>
      </c>
      <c r="AJ14" s="116" t="s">
        <v>12884</v>
      </c>
    </row>
    <row r="15" spans="2:39">
      <c r="AI15" s="191">
        <v>45670</v>
      </c>
      <c r="AJ15" s="116" t="s">
        <v>12885</v>
      </c>
    </row>
    <row r="16" spans="2:39">
      <c r="AI16" s="191">
        <v>45671</v>
      </c>
      <c r="AJ16" s="116" t="s">
        <v>12886</v>
      </c>
    </row>
    <row r="17" spans="35:36">
      <c r="AI17" s="191">
        <v>45672</v>
      </c>
      <c r="AJ17" s="116" t="s">
        <v>12887</v>
      </c>
    </row>
    <row r="18" spans="35:36">
      <c r="AI18" s="191">
        <v>45673</v>
      </c>
      <c r="AJ18" s="116" t="s">
        <v>12888</v>
      </c>
    </row>
    <row r="19" spans="35:36">
      <c r="AI19" s="191">
        <v>45674</v>
      </c>
      <c r="AJ19" s="116" t="s">
        <v>12889</v>
      </c>
    </row>
    <row r="20" spans="35:36">
      <c r="AI20" s="191">
        <v>45675</v>
      </c>
      <c r="AJ20" s="116" t="s">
        <v>12890</v>
      </c>
    </row>
    <row r="21" spans="35:36">
      <c r="AI21" s="191">
        <v>45676</v>
      </c>
      <c r="AJ21" s="116" t="s">
        <v>12891</v>
      </c>
    </row>
    <row r="22" spans="35:36">
      <c r="AI22" s="191">
        <v>45677</v>
      </c>
      <c r="AJ22" s="116" t="s">
        <v>12892</v>
      </c>
    </row>
    <row r="23" spans="35:36">
      <c r="AI23" s="191">
        <v>45678</v>
      </c>
      <c r="AJ23" s="116" t="s">
        <v>12893</v>
      </c>
    </row>
    <row r="24" spans="35:36">
      <c r="AI24" s="191">
        <v>45679</v>
      </c>
      <c r="AJ24" s="116" t="s">
        <v>12894</v>
      </c>
    </row>
    <row r="25" spans="35:36">
      <c r="AI25" s="191">
        <v>45680</v>
      </c>
      <c r="AJ25" s="116" t="s">
        <v>12895</v>
      </c>
    </row>
    <row r="26" spans="35:36">
      <c r="AI26" s="191">
        <v>45681</v>
      </c>
      <c r="AJ26" s="116" t="s">
        <v>12896</v>
      </c>
    </row>
    <row r="27" spans="35:36">
      <c r="AI27" s="191">
        <v>45682</v>
      </c>
      <c r="AJ27" s="116" t="s">
        <v>12897</v>
      </c>
    </row>
    <row r="28" spans="35:36">
      <c r="AI28" s="191">
        <v>45683</v>
      </c>
      <c r="AJ28" s="116" t="s">
        <v>12898</v>
      </c>
    </row>
    <row r="29" spans="35:36">
      <c r="AI29" s="191">
        <v>45684</v>
      </c>
      <c r="AJ29" s="116" t="s">
        <v>12899</v>
      </c>
    </row>
    <row r="30" spans="35:36">
      <c r="AI30" s="191">
        <v>45685</v>
      </c>
      <c r="AJ30" s="116" t="s">
        <v>12900</v>
      </c>
    </row>
    <row r="31" spans="35:36">
      <c r="AI31" s="191">
        <v>45686</v>
      </c>
      <c r="AJ31" s="116" t="s">
        <v>12901</v>
      </c>
    </row>
    <row r="32" spans="35:36">
      <c r="AI32" s="191">
        <v>45687</v>
      </c>
      <c r="AJ32" s="116" t="s">
        <v>12902</v>
      </c>
    </row>
    <row r="33" spans="2:36">
      <c r="AI33" s="191">
        <v>45688</v>
      </c>
      <c r="AJ33" s="116" t="s">
        <v>12903</v>
      </c>
    </row>
    <row r="34" spans="2:36">
      <c r="AI34" s="191">
        <v>45689</v>
      </c>
      <c r="AJ34" s="116" t="s">
        <v>12904</v>
      </c>
    </row>
    <row r="35" spans="2:36">
      <c r="AI35" s="191">
        <v>45690</v>
      </c>
      <c r="AJ35" s="116" t="s">
        <v>12905</v>
      </c>
    </row>
    <row r="36" spans="2:36">
      <c r="AI36" s="191">
        <v>45691</v>
      </c>
      <c r="AJ36" s="116" t="s">
        <v>12906</v>
      </c>
    </row>
    <row r="37" spans="2:36">
      <c r="AI37" s="191">
        <v>45692</v>
      </c>
      <c r="AJ37" s="116" t="s">
        <v>12907</v>
      </c>
    </row>
    <row r="38" spans="2:36">
      <c r="AI38" s="191">
        <v>45693</v>
      </c>
      <c r="AJ38" s="116" t="s">
        <v>12908</v>
      </c>
    </row>
    <row r="39" spans="2:36">
      <c r="AI39" s="191">
        <v>45694</v>
      </c>
      <c r="AJ39" s="116" t="s">
        <v>12909</v>
      </c>
    </row>
    <row r="40" spans="2:36">
      <c r="AI40" s="191">
        <v>45695</v>
      </c>
      <c r="AJ40" s="116" t="s">
        <v>12910</v>
      </c>
    </row>
    <row r="41" spans="2:36">
      <c r="AI41" s="191">
        <v>45696</v>
      </c>
      <c r="AJ41" s="116" t="s">
        <v>12911</v>
      </c>
    </row>
    <row r="42" spans="2:36">
      <c r="B42" s="194"/>
      <c r="AI42" s="191">
        <v>45697</v>
      </c>
      <c r="AJ42" s="116" t="s">
        <v>12912</v>
      </c>
    </row>
    <row r="43" spans="2:36">
      <c r="AI43" s="191">
        <v>45698</v>
      </c>
      <c r="AJ43" s="116" t="s">
        <v>12913</v>
      </c>
    </row>
    <row r="44" spans="2:36">
      <c r="B44" s="194"/>
      <c r="AI44" s="191">
        <v>45699</v>
      </c>
      <c r="AJ44" s="116" t="s">
        <v>12914</v>
      </c>
    </row>
    <row r="45" spans="2:36">
      <c r="AI45" s="191">
        <v>45700</v>
      </c>
      <c r="AJ45" s="116" t="s">
        <v>12915</v>
      </c>
    </row>
    <row r="46" spans="2:36">
      <c r="AI46" s="191">
        <v>45701</v>
      </c>
      <c r="AJ46" s="116" t="s">
        <v>12916</v>
      </c>
    </row>
    <row r="47" spans="2:36">
      <c r="AI47" s="191">
        <v>45702</v>
      </c>
      <c r="AJ47" s="116" t="s">
        <v>12917</v>
      </c>
    </row>
    <row r="48" spans="2:36">
      <c r="AI48" s="191">
        <v>45703</v>
      </c>
      <c r="AJ48" s="116" t="s">
        <v>12918</v>
      </c>
    </row>
    <row r="49" spans="2:36">
      <c r="AI49" s="191">
        <v>45704</v>
      </c>
      <c r="AJ49" s="116" t="s">
        <v>12919</v>
      </c>
    </row>
    <row r="50" spans="2:36">
      <c r="AI50" s="191">
        <v>45705</v>
      </c>
      <c r="AJ50" s="116" t="s">
        <v>12920</v>
      </c>
    </row>
    <row r="51" spans="2:36">
      <c r="AI51" s="191">
        <v>45706</v>
      </c>
      <c r="AJ51" s="116" t="s">
        <v>12921</v>
      </c>
    </row>
    <row r="52" spans="2:36">
      <c r="AI52" s="191">
        <v>45707</v>
      </c>
      <c r="AJ52" s="116" t="s">
        <v>12922</v>
      </c>
    </row>
    <row r="53" spans="2:36">
      <c r="AI53" s="191">
        <v>45708</v>
      </c>
      <c r="AJ53" s="116" t="s">
        <v>12923</v>
      </c>
    </row>
    <row r="54" spans="2:36">
      <c r="B54" s="194"/>
      <c r="AI54" s="191">
        <v>45709</v>
      </c>
      <c r="AJ54" s="116" t="s">
        <v>12924</v>
      </c>
    </row>
    <row r="55" spans="2:36">
      <c r="AI55" s="191">
        <v>45710</v>
      </c>
      <c r="AJ55" s="116" t="s">
        <v>12925</v>
      </c>
    </row>
    <row r="56" spans="2:36">
      <c r="AI56" s="191">
        <v>45711</v>
      </c>
      <c r="AJ56" s="116" t="s">
        <v>12926</v>
      </c>
    </row>
    <row r="57" spans="2:36">
      <c r="AI57" s="191">
        <v>45712</v>
      </c>
      <c r="AJ57" s="116" t="s">
        <v>12927</v>
      </c>
    </row>
    <row r="58" spans="2:36">
      <c r="AI58" s="191">
        <v>45713</v>
      </c>
      <c r="AJ58" s="116" t="s">
        <v>12928</v>
      </c>
    </row>
    <row r="59" spans="2:36">
      <c r="AI59" s="191">
        <v>45714</v>
      </c>
      <c r="AJ59" s="116" t="s">
        <v>12929</v>
      </c>
    </row>
    <row r="60" spans="2:36">
      <c r="AI60" s="191">
        <v>45715</v>
      </c>
      <c r="AJ60" s="116" t="s">
        <v>12930</v>
      </c>
    </row>
    <row r="61" spans="2:36">
      <c r="AI61" s="191">
        <v>45716</v>
      </c>
      <c r="AJ61" s="116" t="s">
        <v>12931</v>
      </c>
    </row>
    <row r="62" spans="2:36">
      <c r="AI62" s="191">
        <v>45717</v>
      </c>
      <c r="AJ62" s="116" t="s">
        <v>12932</v>
      </c>
    </row>
    <row r="63" spans="2:36">
      <c r="AI63" s="191">
        <v>45718</v>
      </c>
      <c r="AJ63" s="116" t="s">
        <v>12933</v>
      </c>
    </row>
    <row r="64" spans="2:36">
      <c r="AI64" s="191">
        <v>45719</v>
      </c>
      <c r="AJ64" s="116" t="s">
        <v>12934</v>
      </c>
    </row>
    <row r="65" spans="2:36">
      <c r="AI65" s="191">
        <v>45720</v>
      </c>
      <c r="AJ65" s="116" t="s">
        <v>12935</v>
      </c>
    </row>
    <row r="66" spans="2:36">
      <c r="B66" s="194"/>
      <c r="AI66" s="191">
        <v>45721</v>
      </c>
      <c r="AJ66" s="116" t="s">
        <v>12936</v>
      </c>
    </row>
    <row r="67" spans="2:36">
      <c r="AI67" s="191">
        <v>45722</v>
      </c>
      <c r="AJ67" s="116" t="s">
        <v>12937</v>
      </c>
    </row>
    <row r="68" spans="2:36">
      <c r="AI68" s="191">
        <v>45723</v>
      </c>
      <c r="AJ68" s="116" t="s">
        <v>12938</v>
      </c>
    </row>
    <row r="69" spans="2:36">
      <c r="AI69" s="191">
        <v>45724</v>
      </c>
      <c r="AJ69" s="116" t="s">
        <v>12939</v>
      </c>
    </row>
    <row r="70" spans="2:36">
      <c r="AI70" s="191">
        <v>45725</v>
      </c>
      <c r="AJ70" s="116" t="s">
        <v>12940</v>
      </c>
    </row>
    <row r="71" spans="2:36">
      <c r="AI71" s="191">
        <v>45726</v>
      </c>
      <c r="AJ71" s="116" t="s">
        <v>12941</v>
      </c>
    </row>
    <row r="72" spans="2:36">
      <c r="AI72" s="191">
        <v>45727</v>
      </c>
      <c r="AJ72" s="116" t="s">
        <v>12942</v>
      </c>
    </row>
    <row r="73" spans="2:36">
      <c r="AI73" s="191">
        <v>45728</v>
      </c>
      <c r="AJ73" s="116" t="s">
        <v>12943</v>
      </c>
    </row>
    <row r="74" spans="2:36">
      <c r="AI74" s="191">
        <v>45729</v>
      </c>
      <c r="AJ74" s="116" t="s">
        <v>12944</v>
      </c>
    </row>
    <row r="75" spans="2:36">
      <c r="AI75" s="191">
        <v>45730</v>
      </c>
      <c r="AJ75" s="116" t="s">
        <v>12945</v>
      </c>
    </row>
    <row r="76" spans="2:36">
      <c r="AI76" s="191">
        <v>45731</v>
      </c>
      <c r="AJ76" s="116" t="s">
        <v>12946</v>
      </c>
    </row>
    <row r="77" spans="2:36">
      <c r="AI77" s="191">
        <v>45732</v>
      </c>
      <c r="AJ77" s="116" t="s">
        <v>12947</v>
      </c>
    </row>
    <row r="78" spans="2:36">
      <c r="AI78" s="191">
        <v>45733</v>
      </c>
      <c r="AJ78" s="116" t="s">
        <v>12948</v>
      </c>
    </row>
    <row r="79" spans="2:36">
      <c r="AI79" s="191">
        <v>45734</v>
      </c>
      <c r="AJ79" s="116" t="s">
        <v>12949</v>
      </c>
    </row>
    <row r="80" spans="2:36">
      <c r="AI80" s="191">
        <v>45735</v>
      </c>
      <c r="AJ80" s="116" t="s">
        <v>12950</v>
      </c>
    </row>
    <row r="81" spans="35:36">
      <c r="AI81" s="191">
        <v>45736</v>
      </c>
      <c r="AJ81" s="116" t="s">
        <v>12951</v>
      </c>
    </row>
    <row r="82" spans="35:36">
      <c r="AI82" s="191">
        <v>45737</v>
      </c>
      <c r="AJ82" s="116" t="s">
        <v>12952</v>
      </c>
    </row>
    <row r="83" spans="35:36">
      <c r="AI83" s="191">
        <v>45738</v>
      </c>
      <c r="AJ83" s="116" t="s">
        <v>12953</v>
      </c>
    </row>
    <row r="84" spans="35:36">
      <c r="AI84" s="191">
        <v>45739</v>
      </c>
      <c r="AJ84" s="116" t="s">
        <v>12954</v>
      </c>
    </row>
    <row r="85" spans="35:36">
      <c r="AI85" s="191">
        <v>45740</v>
      </c>
      <c r="AJ85" s="116" t="s">
        <v>12955</v>
      </c>
    </row>
    <row r="86" spans="35:36">
      <c r="AI86" s="191">
        <v>45741</v>
      </c>
      <c r="AJ86" s="116" t="s">
        <v>12956</v>
      </c>
    </row>
    <row r="87" spans="35:36">
      <c r="AI87" s="191">
        <v>45742</v>
      </c>
      <c r="AJ87" s="116" t="s">
        <v>12957</v>
      </c>
    </row>
    <row r="88" spans="35:36">
      <c r="AI88" s="191">
        <v>45743</v>
      </c>
      <c r="AJ88" s="116" t="s">
        <v>12958</v>
      </c>
    </row>
    <row r="89" spans="35:36">
      <c r="AI89" s="191">
        <v>45744</v>
      </c>
      <c r="AJ89" s="116" t="s">
        <v>12959</v>
      </c>
    </row>
    <row r="90" spans="35:36">
      <c r="AI90" s="191">
        <v>45745</v>
      </c>
      <c r="AJ90" s="116" t="s">
        <v>12960</v>
      </c>
    </row>
    <row r="91" spans="35:36">
      <c r="AI91" s="191">
        <v>45746</v>
      </c>
      <c r="AJ91" s="116" t="s">
        <v>12961</v>
      </c>
    </row>
    <row r="92" spans="35:36">
      <c r="AI92" s="191">
        <v>45747</v>
      </c>
      <c r="AJ92" s="116" t="s">
        <v>12962</v>
      </c>
    </row>
    <row r="93" spans="35:36">
      <c r="AI93" s="191">
        <v>45748</v>
      </c>
      <c r="AJ93" s="116" t="s">
        <v>12963</v>
      </c>
    </row>
    <row r="94" spans="35:36">
      <c r="AI94" s="191">
        <v>45749</v>
      </c>
      <c r="AJ94" s="116" t="s">
        <v>12964</v>
      </c>
    </row>
    <row r="95" spans="35:36">
      <c r="AI95" s="191">
        <v>45750</v>
      </c>
      <c r="AJ95" s="116" t="s">
        <v>12965</v>
      </c>
    </row>
    <row r="96" spans="35:36">
      <c r="AI96" s="191">
        <v>45751</v>
      </c>
      <c r="AJ96" s="116" t="s">
        <v>12966</v>
      </c>
    </row>
    <row r="97" spans="35:36">
      <c r="AI97" s="191">
        <v>45752</v>
      </c>
      <c r="AJ97" s="116" t="s">
        <v>12967</v>
      </c>
    </row>
    <row r="98" spans="35:36">
      <c r="AI98" s="191">
        <v>45753</v>
      </c>
      <c r="AJ98" s="116" t="s">
        <v>12968</v>
      </c>
    </row>
    <row r="99" spans="35:36">
      <c r="AI99" s="191">
        <v>45754</v>
      </c>
      <c r="AJ99" s="116" t="s">
        <v>12969</v>
      </c>
    </row>
    <row r="100" spans="35:36">
      <c r="AI100" s="191">
        <v>45755</v>
      </c>
      <c r="AJ100" s="116" t="s">
        <v>12970</v>
      </c>
    </row>
    <row r="101" spans="35:36">
      <c r="AI101" s="191">
        <v>45756</v>
      </c>
      <c r="AJ101" s="116" t="s">
        <v>12971</v>
      </c>
    </row>
    <row r="102" spans="35:36">
      <c r="AI102" s="191">
        <v>45757</v>
      </c>
      <c r="AJ102" s="116" t="s">
        <v>12972</v>
      </c>
    </row>
    <row r="103" spans="35:36">
      <c r="AI103" s="191">
        <v>45758</v>
      </c>
      <c r="AJ103" s="116" t="s">
        <v>12973</v>
      </c>
    </row>
    <row r="104" spans="35:36">
      <c r="AI104" s="191">
        <v>45759</v>
      </c>
      <c r="AJ104" s="116" t="s">
        <v>12974</v>
      </c>
    </row>
    <row r="105" spans="35:36">
      <c r="AI105" s="191">
        <v>45760</v>
      </c>
      <c r="AJ105" s="116" t="s">
        <v>12975</v>
      </c>
    </row>
    <row r="106" spans="35:36">
      <c r="AI106" s="191">
        <v>45761</v>
      </c>
      <c r="AJ106" s="116" t="s">
        <v>12976</v>
      </c>
    </row>
    <row r="107" spans="35:36">
      <c r="AI107" s="191">
        <v>45762</v>
      </c>
      <c r="AJ107" s="116" t="s">
        <v>12977</v>
      </c>
    </row>
    <row r="108" spans="35:36">
      <c r="AI108" s="191">
        <v>45763</v>
      </c>
      <c r="AJ108" s="116" t="s">
        <v>12978</v>
      </c>
    </row>
    <row r="109" spans="35:36">
      <c r="AI109" s="191">
        <v>45764</v>
      </c>
      <c r="AJ109" s="116" t="s">
        <v>12979</v>
      </c>
    </row>
    <row r="110" spans="35:36">
      <c r="AI110" s="191">
        <v>45765</v>
      </c>
      <c r="AJ110" s="116" t="s">
        <v>12980</v>
      </c>
    </row>
    <row r="111" spans="35:36">
      <c r="AI111" s="191">
        <v>45766</v>
      </c>
      <c r="AJ111" s="116" t="s">
        <v>12981</v>
      </c>
    </row>
    <row r="112" spans="35:36">
      <c r="AI112" s="191">
        <v>45767</v>
      </c>
      <c r="AJ112" s="116" t="s">
        <v>12982</v>
      </c>
    </row>
    <row r="113" spans="35:36">
      <c r="AI113" s="191">
        <v>45768</v>
      </c>
      <c r="AJ113" s="116" t="s">
        <v>12983</v>
      </c>
    </row>
    <row r="114" spans="35:36">
      <c r="AI114" s="191">
        <v>45769</v>
      </c>
      <c r="AJ114" s="116" t="s">
        <v>12984</v>
      </c>
    </row>
    <row r="115" spans="35:36">
      <c r="AI115" s="191">
        <v>45770</v>
      </c>
      <c r="AJ115" s="116" t="s">
        <v>12985</v>
      </c>
    </row>
    <row r="116" spans="35:36">
      <c r="AI116" s="191">
        <v>45771</v>
      </c>
      <c r="AJ116" s="116" t="s">
        <v>12986</v>
      </c>
    </row>
    <row r="117" spans="35:36">
      <c r="AI117" s="191">
        <v>45772</v>
      </c>
      <c r="AJ117" s="116" t="s">
        <v>12987</v>
      </c>
    </row>
    <row r="118" spans="35:36">
      <c r="AI118" s="191">
        <v>45773</v>
      </c>
      <c r="AJ118" s="116" t="s">
        <v>12988</v>
      </c>
    </row>
    <row r="119" spans="35:36">
      <c r="AI119" s="191">
        <v>45774</v>
      </c>
      <c r="AJ119" s="116" t="s">
        <v>12989</v>
      </c>
    </row>
    <row r="120" spans="35:36">
      <c r="AI120" s="191">
        <v>45775</v>
      </c>
      <c r="AJ120" s="116" t="s">
        <v>12990</v>
      </c>
    </row>
    <row r="121" spans="35:36">
      <c r="AI121" s="191">
        <v>45776</v>
      </c>
      <c r="AJ121" s="116" t="s">
        <v>12991</v>
      </c>
    </row>
    <row r="122" spans="35:36">
      <c r="AI122" s="191">
        <v>45777</v>
      </c>
      <c r="AJ122" s="116" t="s">
        <v>12992</v>
      </c>
    </row>
    <row r="123" spans="35:36">
      <c r="AI123" s="191">
        <v>45778</v>
      </c>
      <c r="AJ123" s="116" t="s">
        <v>12993</v>
      </c>
    </row>
    <row r="124" spans="35:36">
      <c r="AI124" s="191">
        <v>45779</v>
      </c>
      <c r="AJ124" s="116" t="s">
        <v>12994</v>
      </c>
    </row>
    <row r="125" spans="35:36">
      <c r="AI125" s="191">
        <v>45780</v>
      </c>
      <c r="AJ125" s="116" t="s">
        <v>12995</v>
      </c>
    </row>
    <row r="126" spans="35:36">
      <c r="AI126" s="191">
        <v>45781</v>
      </c>
      <c r="AJ126" s="116" t="s">
        <v>12996</v>
      </c>
    </row>
    <row r="127" spans="35:36">
      <c r="AI127" s="191">
        <v>45782</v>
      </c>
      <c r="AJ127" s="116" t="s">
        <v>12997</v>
      </c>
    </row>
    <row r="128" spans="35:36">
      <c r="AI128" s="191">
        <v>45783</v>
      </c>
      <c r="AJ128" s="116" t="s">
        <v>12998</v>
      </c>
    </row>
    <row r="129" spans="35:36">
      <c r="AI129" s="191">
        <v>45784</v>
      </c>
      <c r="AJ129" s="116" t="s">
        <v>12999</v>
      </c>
    </row>
    <row r="130" spans="35:36">
      <c r="AI130" s="191">
        <v>45785</v>
      </c>
      <c r="AJ130" s="116" t="s">
        <v>13000</v>
      </c>
    </row>
    <row r="131" spans="35:36">
      <c r="AI131" s="191">
        <v>45786</v>
      </c>
      <c r="AJ131" s="116" t="s">
        <v>13001</v>
      </c>
    </row>
    <row r="132" spans="35:36">
      <c r="AI132" s="191">
        <v>45787</v>
      </c>
      <c r="AJ132" s="116" t="s">
        <v>13002</v>
      </c>
    </row>
    <row r="133" spans="35:36">
      <c r="AI133" s="191">
        <v>45788</v>
      </c>
      <c r="AJ133" s="116" t="s">
        <v>13003</v>
      </c>
    </row>
    <row r="134" spans="35:36">
      <c r="AI134" s="191">
        <v>45789</v>
      </c>
      <c r="AJ134" s="116" t="s">
        <v>13004</v>
      </c>
    </row>
    <row r="135" spans="35:36">
      <c r="AI135" s="191">
        <v>45790</v>
      </c>
      <c r="AJ135" s="116" t="s">
        <v>13005</v>
      </c>
    </row>
    <row r="136" spans="35:36">
      <c r="AI136" s="191">
        <v>45791</v>
      </c>
      <c r="AJ136" s="116" t="s">
        <v>13006</v>
      </c>
    </row>
    <row r="137" spans="35:36">
      <c r="AI137" s="191">
        <v>45792</v>
      </c>
      <c r="AJ137" s="116" t="s">
        <v>13007</v>
      </c>
    </row>
    <row r="138" spans="35:36">
      <c r="AI138" s="191">
        <v>45793</v>
      </c>
      <c r="AJ138" s="116" t="s">
        <v>13008</v>
      </c>
    </row>
    <row r="139" spans="35:36">
      <c r="AI139" s="191">
        <v>45794</v>
      </c>
      <c r="AJ139" s="116" t="s">
        <v>13009</v>
      </c>
    </row>
    <row r="140" spans="35:36">
      <c r="AI140" s="191">
        <v>45795</v>
      </c>
      <c r="AJ140" s="116" t="s">
        <v>13010</v>
      </c>
    </row>
    <row r="141" spans="35:36">
      <c r="AI141" s="191">
        <v>45796</v>
      </c>
      <c r="AJ141" s="116" t="s">
        <v>13011</v>
      </c>
    </row>
    <row r="142" spans="35:36">
      <c r="AI142" s="191">
        <v>45797</v>
      </c>
      <c r="AJ142" s="116" t="s">
        <v>13012</v>
      </c>
    </row>
    <row r="143" spans="35:36">
      <c r="AI143" s="191">
        <v>45798</v>
      </c>
      <c r="AJ143" s="116" t="s">
        <v>13013</v>
      </c>
    </row>
    <row r="144" spans="35:36">
      <c r="AI144" s="191">
        <v>45799</v>
      </c>
      <c r="AJ144" s="116" t="s">
        <v>13014</v>
      </c>
    </row>
    <row r="145" spans="35:36">
      <c r="AI145" s="191">
        <v>45800</v>
      </c>
      <c r="AJ145" s="116" t="s">
        <v>13015</v>
      </c>
    </row>
    <row r="146" spans="35:36">
      <c r="AI146" s="191">
        <v>45801</v>
      </c>
      <c r="AJ146" s="116" t="s">
        <v>13016</v>
      </c>
    </row>
    <row r="147" spans="35:36">
      <c r="AI147" s="191">
        <v>45802</v>
      </c>
      <c r="AJ147" s="116" t="s">
        <v>13017</v>
      </c>
    </row>
    <row r="148" spans="35:36">
      <c r="AI148" s="191">
        <v>45803</v>
      </c>
      <c r="AJ148" s="116" t="s">
        <v>13018</v>
      </c>
    </row>
    <row r="149" spans="35:36">
      <c r="AI149" s="191">
        <v>45804</v>
      </c>
      <c r="AJ149" s="116" t="s">
        <v>13019</v>
      </c>
    </row>
    <row r="150" spans="35:36">
      <c r="AI150" s="191">
        <v>45805</v>
      </c>
      <c r="AJ150" s="116" t="s">
        <v>13020</v>
      </c>
    </row>
    <row r="151" spans="35:36">
      <c r="AI151" s="191">
        <v>45806</v>
      </c>
      <c r="AJ151" s="116" t="s">
        <v>13021</v>
      </c>
    </row>
    <row r="152" spans="35:36">
      <c r="AI152" s="191">
        <v>45807</v>
      </c>
      <c r="AJ152" s="116" t="s">
        <v>13022</v>
      </c>
    </row>
    <row r="153" spans="35:36">
      <c r="AI153" s="191">
        <v>45808</v>
      </c>
      <c r="AJ153" s="116" t="s">
        <v>13023</v>
      </c>
    </row>
    <row r="154" spans="35:36">
      <c r="AI154" s="191">
        <v>45809</v>
      </c>
      <c r="AJ154" s="116" t="s">
        <v>13024</v>
      </c>
    </row>
    <row r="155" spans="35:36">
      <c r="AI155" s="191">
        <v>45810</v>
      </c>
      <c r="AJ155" s="116" t="s">
        <v>13025</v>
      </c>
    </row>
    <row r="156" spans="35:36">
      <c r="AI156" s="191">
        <v>45811</v>
      </c>
      <c r="AJ156" s="116" t="s">
        <v>13026</v>
      </c>
    </row>
    <row r="157" spans="35:36">
      <c r="AI157" s="191">
        <v>45812</v>
      </c>
      <c r="AJ157" s="116" t="s">
        <v>13027</v>
      </c>
    </row>
    <row r="158" spans="35:36">
      <c r="AI158" s="191">
        <v>45813</v>
      </c>
      <c r="AJ158" s="116" t="s">
        <v>13028</v>
      </c>
    </row>
    <row r="159" spans="35:36">
      <c r="AI159" s="191">
        <v>45814</v>
      </c>
      <c r="AJ159" s="116" t="s">
        <v>13029</v>
      </c>
    </row>
    <row r="160" spans="35:36">
      <c r="AI160" s="191">
        <v>45815</v>
      </c>
      <c r="AJ160" s="116" t="s">
        <v>13030</v>
      </c>
    </row>
    <row r="161" spans="35:36">
      <c r="AI161" s="191">
        <v>45816</v>
      </c>
      <c r="AJ161" s="116" t="s">
        <v>13031</v>
      </c>
    </row>
    <row r="162" spans="35:36">
      <c r="AI162" s="191">
        <v>45817</v>
      </c>
      <c r="AJ162" s="116" t="s">
        <v>13032</v>
      </c>
    </row>
    <row r="163" spans="35:36">
      <c r="AI163" s="191">
        <v>45818</v>
      </c>
      <c r="AJ163" s="116" t="s">
        <v>13033</v>
      </c>
    </row>
    <row r="164" spans="35:36">
      <c r="AI164" s="191">
        <v>45819</v>
      </c>
      <c r="AJ164" s="116" t="s">
        <v>13034</v>
      </c>
    </row>
    <row r="165" spans="35:36">
      <c r="AI165" s="191">
        <v>45820</v>
      </c>
      <c r="AJ165" s="116" t="s">
        <v>13035</v>
      </c>
    </row>
    <row r="166" spans="35:36">
      <c r="AI166" s="191">
        <v>45821</v>
      </c>
      <c r="AJ166" s="116" t="s">
        <v>13036</v>
      </c>
    </row>
    <row r="167" spans="35:36">
      <c r="AI167" s="191">
        <v>45822</v>
      </c>
      <c r="AJ167" s="116" t="s">
        <v>13037</v>
      </c>
    </row>
    <row r="168" spans="35:36">
      <c r="AI168" s="191">
        <v>45823</v>
      </c>
      <c r="AJ168" s="116" t="s">
        <v>13038</v>
      </c>
    </row>
    <row r="169" spans="35:36">
      <c r="AI169" s="191">
        <v>45824</v>
      </c>
      <c r="AJ169" s="116" t="s">
        <v>13039</v>
      </c>
    </row>
    <row r="170" spans="35:36">
      <c r="AI170" s="191">
        <v>45825</v>
      </c>
      <c r="AJ170" s="116" t="s">
        <v>13040</v>
      </c>
    </row>
    <row r="171" spans="35:36">
      <c r="AI171" s="191">
        <v>45826</v>
      </c>
      <c r="AJ171" s="116" t="s">
        <v>13041</v>
      </c>
    </row>
    <row r="172" spans="35:36">
      <c r="AI172" s="191">
        <v>45827</v>
      </c>
      <c r="AJ172" s="116" t="s">
        <v>13042</v>
      </c>
    </row>
    <row r="173" spans="35:36">
      <c r="AI173" s="191">
        <v>45828</v>
      </c>
      <c r="AJ173" s="116" t="s">
        <v>13043</v>
      </c>
    </row>
    <row r="174" spans="35:36">
      <c r="AI174" s="191">
        <v>45829</v>
      </c>
      <c r="AJ174" s="116" t="s">
        <v>13044</v>
      </c>
    </row>
    <row r="175" spans="35:36">
      <c r="AI175" s="191">
        <v>45830</v>
      </c>
      <c r="AJ175" s="116" t="s">
        <v>13045</v>
      </c>
    </row>
    <row r="176" spans="35:36">
      <c r="AI176" s="191">
        <v>45831</v>
      </c>
      <c r="AJ176" s="116" t="s">
        <v>13046</v>
      </c>
    </row>
    <row r="177" spans="35:36">
      <c r="AI177" s="191">
        <v>45832</v>
      </c>
      <c r="AJ177" s="116" t="s">
        <v>13047</v>
      </c>
    </row>
    <row r="178" spans="35:36">
      <c r="AI178" s="191">
        <v>45833</v>
      </c>
      <c r="AJ178" s="116" t="s">
        <v>13048</v>
      </c>
    </row>
    <row r="179" spans="35:36">
      <c r="AI179" s="191">
        <v>45834</v>
      </c>
      <c r="AJ179" s="116" t="s">
        <v>13049</v>
      </c>
    </row>
    <row r="180" spans="35:36">
      <c r="AI180" s="191">
        <v>45835</v>
      </c>
      <c r="AJ180" s="116" t="s">
        <v>13050</v>
      </c>
    </row>
    <row r="181" spans="35:36">
      <c r="AI181" s="191">
        <v>45836</v>
      </c>
      <c r="AJ181" s="116" t="s">
        <v>13051</v>
      </c>
    </row>
    <row r="182" spans="35:36">
      <c r="AI182" s="191">
        <v>45837</v>
      </c>
      <c r="AJ182" s="116" t="s">
        <v>13052</v>
      </c>
    </row>
    <row r="183" spans="35:36">
      <c r="AI183" s="191">
        <v>45838</v>
      </c>
      <c r="AJ183" s="116" t="s">
        <v>13053</v>
      </c>
    </row>
    <row r="184" spans="35:36">
      <c r="AI184" s="191">
        <v>45839</v>
      </c>
      <c r="AJ184" s="116" t="s">
        <v>13054</v>
      </c>
    </row>
    <row r="185" spans="35:36">
      <c r="AI185" s="191">
        <v>45840</v>
      </c>
      <c r="AJ185" s="116" t="s">
        <v>13055</v>
      </c>
    </row>
    <row r="186" spans="35:36">
      <c r="AI186" s="191">
        <v>45841</v>
      </c>
      <c r="AJ186" s="116" t="s">
        <v>13056</v>
      </c>
    </row>
    <row r="187" spans="35:36">
      <c r="AI187" s="191">
        <v>45842</v>
      </c>
      <c r="AJ187" s="116" t="s">
        <v>13057</v>
      </c>
    </row>
    <row r="188" spans="35:36">
      <c r="AI188" s="191">
        <v>45843</v>
      </c>
      <c r="AJ188" s="116" t="s">
        <v>13058</v>
      </c>
    </row>
    <row r="189" spans="35:36">
      <c r="AI189" s="191">
        <v>45844</v>
      </c>
      <c r="AJ189" s="116" t="s">
        <v>13059</v>
      </c>
    </row>
    <row r="190" spans="35:36">
      <c r="AI190" s="191">
        <v>45845</v>
      </c>
      <c r="AJ190" s="116" t="s">
        <v>13060</v>
      </c>
    </row>
    <row r="191" spans="35:36">
      <c r="AI191" s="191">
        <v>45846</v>
      </c>
      <c r="AJ191" s="116" t="s">
        <v>13061</v>
      </c>
    </row>
    <row r="192" spans="35:36">
      <c r="AI192" s="191">
        <v>45847</v>
      </c>
      <c r="AJ192" s="116" t="s">
        <v>13062</v>
      </c>
    </row>
    <row r="193" spans="35:36">
      <c r="AI193" s="191">
        <v>45848</v>
      </c>
      <c r="AJ193" s="116" t="s">
        <v>13063</v>
      </c>
    </row>
    <row r="194" spans="35:36">
      <c r="AI194" s="191">
        <v>45849</v>
      </c>
      <c r="AJ194" s="116" t="s">
        <v>13064</v>
      </c>
    </row>
    <row r="195" spans="35:36">
      <c r="AI195" s="191">
        <v>45850</v>
      </c>
      <c r="AJ195" s="116" t="s">
        <v>13065</v>
      </c>
    </row>
    <row r="196" spans="35:36">
      <c r="AI196" s="191">
        <v>45851</v>
      </c>
      <c r="AJ196" s="116" t="s">
        <v>13066</v>
      </c>
    </row>
    <row r="197" spans="35:36">
      <c r="AI197" s="191">
        <v>45852</v>
      </c>
      <c r="AJ197" s="116" t="s">
        <v>13067</v>
      </c>
    </row>
    <row r="198" spans="35:36">
      <c r="AI198" s="191">
        <v>45853</v>
      </c>
      <c r="AJ198" s="116" t="s">
        <v>13068</v>
      </c>
    </row>
    <row r="199" spans="35:36">
      <c r="AI199" s="191">
        <v>45854</v>
      </c>
      <c r="AJ199" s="116" t="s">
        <v>13069</v>
      </c>
    </row>
    <row r="200" spans="35:36">
      <c r="AI200" s="191">
        <v>45855</v>
      </c>
      <c r="AJ200" s="116" t="s">
        <v>13070</v>
      </c>
    </row>
    <row r="201" spans="35:36">
      <c r="AI201" s="191">
        <v>45856</v>
      </c>
      <c r="AJ201" s="116" t="s">
        <v>13071</v>
      </c>
    </row>
    <row r="202" spans="35:36">
      <c r="AI202" s="191">
        <v>45857</v>
      </c>
      <c r="AJ202" s="116" t="s">
        <v>13072</v>
      </c>
    </row>
    <row r="203" spans="35:36">
      <c r="AI203" s="191">
        <v>45858</v>
      </c>
      <c r="AJ203" s="116" t="s">
        <v>13073</v>
      </c>
    </row>
    <row r="204" spans="35:36">
      <c r="AI204" s="191">
        <v>45859</v>
      </c>
      <c r="AJ204" s="116" t="s">
        <v>13074</v>
      </c>
    </row>
    <row r="205" spans="35:36">
      <c r="AI205" s="191">
        <v>45860</v>
      </c>
      <c r="AJ205" s="116" t="s">
        <v>13075</v>
      </c>
    </row>
    <row r="206" spans="35:36">
      <c r="AI206" s="191">
        <v>45861</v>
      </c>
      <c r="AJ206" s="116" t="s">
        <v>13076</v>
      </c>
    </row>
    <row r="207" spans="35:36">
      <c r="AI207" s="191">
        <v>45862</v>
      </c>
      <c r="AJ207" s="116" t="s">
        <v>13077</v>
      </c>
    </row>
    <row r="208" spans="35:36">
      <c r="AI208" s="191">
        <v>45863</v>
      </c>
      <c r="AJ208" s="116" t="s">
        <v>13078</v>
      </c>
    </row>
    <row r="209" spans="35:36">
      <c r="AI209" s="191">
        <v>45864</v>
      </c>
      <c r="AJ209" s="116" t="s">
        <v>13079</v>
      </c>
    </row>
    <row r="210" spans="35:36">
      <c r="AI210" s="191">
        <v>45865</v>
      </c>
      <c r="AJ210" s="116" t="s">
        <v>13080</v>
      </c>
    </row>
    <row r="211" spans="35:36">
      <c r="AI211" s="191">
        <v>45866</v>
      </c>
      <c r="AJ211" s="116" t="s">
        <v>13081</v>
      </c>
    </row>
    <row r="212" spans="35:36">
      <c r="AI212" s="191">
        <v>45867</v>
      </c>
      <c r="AJ212" s="116" t="s">
        <v>13082</v>
      </c>
    </row>
    <row r="213" spans="35:36">
      <c r="AI213" s="191">
        <v>45868</v>
      </c>
      <c r="AJ213" s="116" t="s">
        <v>13083</v>
      </c>
    </row>
    <row r="214" spans="35:36">
      <c r="AI214" s="191">
        <v>45869</v>
      </c>
      <c r="AJ214" s="116" t="s">
        <v>13084</v>
      </c>
    </row>
    <row r="215" spans="35:36">
      <c r="AI215" s="191">
        <v>45870</v>
      </c>
      <c r="AJ215" s="116" t="s">
        <v>13085</v>
      </c>
    </row>
    <row r="216" spans="35:36">
      <c r="AI216" s="191">
        <v>45871</v>
      </c>
      <c r="AJ216" s="116" t="s">
        <v>13086</v>
      </c>
    </row>
    <row r="217" spans="35:36">
      <c r="AI217" s="191">
        <v>45872</v>
      </c>
      <c r="AJ217" s="116" t="s">
        <v>13087</v>
      </c>
    </row>
    <row r="218" spans="35:36">
      <c r="AI218" s="191">
        <v>45873</v>
      </c>
      <c r="AJ218" s="116" t="s">
        <v>13088</v>
      </c>
    </row>
    <row r="219" spans="35:36">
      <c r="AI219" s="191">
        <v>45874</v>
      </c>
      <c r="AJ219" s="116" t="s">
        <v>13089</v>
      </c>
    </row>
    <row r="220" spans="35:36">
      <c r="AI220" s="191">
        <v>45875</v>
      </c>
      <c r="AJ220" s="116" t="s">
        <v>13090</v>
      </c>
    </row>
    <row r="221" spans="35:36">
      <c r="AI221" s="191">
        <v>45876</v>
      </c>
      <c r="AJ221" s="116" t="s">
        <v>13091</v>
      </c>
    </row>
    <row r="222" spans="35:36">
      <c r="AI222" s="191">
        <v>45877</v>
      </c>
      <c r="AJ222" s="116" t="s">
        <v>13092</v>
      </c>
    </row>
    <row r="223" spans="35:36">
      <c r="AI223" s="191">
        <v>45878</v>
      </c>
      <c r="AJ223" s="116" t="s">
        <v>13093</v>
      </c>
    </row>
    <row r="224" spans="35:36">
      <c r="AI224" s="191">
        <v>45879</v>
      </c>
      <c r="AJ224" s="116" t="s">
        <v>13094</v>
      </c>
    </row>
    <row r="225" spans="35:36">
      <c r="AI225" s="191">
        <v>45880</v>
      </c>
      <c r="AJ225" s="116" t="s">
        <v>13095</v>
      </c>
    </row>
    <row r="226" spans="35:36">
      <c r="AI226" s="191">
        <v>45881</v>
      </c>
      <c r="AJ226" s="116" t="s">
        <v>13096</v>
      </c>
    </row>
    <row r="227" spans="35:36">
      <c r="AI227" s="191">
        <v>45882</v>
      </c>
      <c r="AJ227" s="116" t="s">
        <v>13097</v>
      </c>
    </row>
    <row r="228" spans="35:36">
      <c r="AI228" s="191">
        <v>45883</v>
      </c>
      <c r="AJ228" s="116" t="s">
        <v>13098</v>
      </c>
    </row>
    <row r="229" spans="35:36">
      <c r="AI229" s="191">
        <v>45884</v>
      </c>
      <c r="AJ229" s="116" t="s">
        <v>13099</v>
      </c>
    </row>
    <row r="230" spans="35:36">
      <c r="AI230" s="191">
        <v>45885</v>
      </c>
      <c r="AJ230" s="116" t="s">
        <v>13100</v>
      </c>
    </row>
    <row r="231" spans="35:36">
      <c r="AI231" s="191">
        <v>45886</v>
      </c>
      <c r="AJ231" s="116" t="s">
        <v>13101</v>
      </c>
    </row>
    <row r="232" spans="35:36">
      <c r="AI232" s="191">
        <v>45887</v>
      </c>
      <c r="AJ232" s="116" t="s">
        <v>13102</v>
      </c>
    </row>
    <row r="233" spans="35:36">
      <c r="AI233" s="191">
        <v>45888</v>
      </c>
      <c r="AJ233" s="116" t="s">
        <v>13103</v>
      </c>
    </row>
    <row r="234" spans="35:36">
      <c r="AI234" s="191">
        <v>45889</v>
      </c>
      <c r="AJ234" s="116" t="s">
        <v>13104</v>
      </c>
    </row>
    <row r="235" spans="35:36">
      <c r="AI235" s="191">
        <v>45890</v>
      </c>
      <c r="AJ235" s="116" t="s">
        <v>13105</v>
      </c>
    </row>
    <row r="236" spans="35:36">
      <c r="AI236" s="191">
        <v>45891</v>
      </c>
      <c r="AJ236" s="116" t="s">
        <v>13106</v>
      </c>
    </row>
    <row r="237" spans="35:36">
      <c r="AI237" s="191">
        <v>45892</v>
      </c>
      <c r="AJ237" s="116" t="s">
        <v>13107</v>
      </c>
    </row>
    <row r="238" spans="35:36">
      <c r="AI238" s="191">
        <v>45893</v>
      </c>
      <c r="AJ238" s="116" t="s">
        <v>13108</v>
      </c>
    </row>
    <row r="239" spans="35:36">
      <c r="AI239" s="191">
        <v>45894</v>
      </c>
      <c r="AJ239" s="116" t="s">
        <v>13109</v>
      </c>
    </row>
    <row r="240" spans="35:36">
      <c r="AI240" s="191">
        <v>45895</v>
      </c>
      <c r="AJ240" s="116" t="s">
        <v>13110</v>
      </c>
    </row>
    <row r="241" spans="35:36">
      <c r="AI241" s="191">
        <v>45896</v>
      </c>
      <c r="AJ241" s="116" t="s">
        <v>13111</v>
      </c>
    </row>
    <row r="242" spans="35:36">
      <c r="AI242" s="191">
        <v>45897</v>
      </c>
      <c r="AJ242" s="116" t="s">
        <v>13112</v>
      </c>
    </row>
    <row r="243" spans="35:36">
      <c r="AI243" s="191">
        <v>45898</v>
      </c>
      <c r="AJ243" s="116" t="s">
        <v>13113</v>
      </c>
    </row>
    <row r="244" spans="35:36">
      <c r="AI244" s="191">
        <v>45899</v>
      </c>
      <c r="AJ244" s="116" t="s">
        <v>13114</v>
      </c>
    </row>
    <row r="245" spans="35:36">
      <c r="AI245" s="191">
        <v>45900</v>
      </c>
      <c r="AJ245" s="116" t="s">
        <v>13115</v>
      </c>
    </row>
    <row r="246" spans="35:36">
      <c r="AI246" s="191">
        <v>45901</v>
      </c>
      <c r="AJ246" s="116" t="s">
        <v>13116</v>
      </c>
    </row>
    <row r="247" spans="35:36">
      <c r="AI247" s="191">
        <v>45902</v>
      </c>
      <c r="AJ247" s="116" t="s">
        <v>13117</v>
      </c>
    </row>
    <row r="248" spans="35:36">
      <c r="AI248" s="191">
        <v>45903</v>
      </c>
      <c r="AJ248" s="116" t="s">
        <v>13118</v>
      </c>
    </row>
    <row r="249" spans="35:36">
      <c r="AI249" s="191">
        <v>45904</v>
      </c>
      <c r="AJ249" s="116" t="s">
        <v>13119</v>
      </c>
    </row>
    <row r="250" spans="35:36">
      <c r="AI250" s="191">
        <v>45905</v>
      </c>
      <c r="AJ250" s="116" t="s">
        <v>13120</v>
      </c>
    </row>
    <row r="251" spans="35:36">
      <c r="AI251" s="191">
        <v>45906</v>
      </c>
      <c r="AJ251" s="116" t="s">
        <v>13121</v>
      </c>
    </row>
    <row r="252" spans="35:36">
      <c r="AI252" s="191">
        <v>45907</v>
      </c>
      <c r="AJ252" s="116" t="s">
        <v>13122</v>
      </c>
    </row>
    <row r="253" spans="35:36">
      <c r="AI253" s="191">
        <v>45908</v>
      </c>
      <c r="AJ253" s="116" t="s">
        <v>13123</v>
      </c>
    </row>
    <row r="254" spans="35:36">
      <c r="AI254" s="191">
        <v>45909</v>
      </c>
      <c r="AJ254" s="116" t="s">
        <v>13124</v>
      </c>
    </row>
    <row r="255" spans="35:36">
      <c r="AI255" s="191">
        <v>45910</v>
      </c>
      <c r="AJ255" s="116" t="s">
        <v>13125</v>
      </c>
    </row>
    <row r="256" spans="35:36">
      <c r="AI256" s="191">
        <v>45911</v>
      </c>
      <c r="AJ256" s="116" t="s">
        <v>13126</v>
      </c>
    </row>
    <row r="257" spans="35:36">
      <c r="AI257" s="191">
        <v>45912</v>
      </c>
      <c r="AJ257" s="116" t="s">
        <v>13127</v>
      </c>
    </row>
    <row r="258" spans="35:36">
      <c r="AI258" s="191">
        <v>45913</v>
      </c>
      <c r="AJ258" s="116" t="s">
        <v>13128</v>
      </c>
    </row>
    <row r="259" spans="35:36">
      <c r="AI259" s="191">
        <v>45914</v>
      </c>
      <c r="AJ259" s="116" t="s">
        <v>13129</v>
      </c>
    </row>
    <row r="260" spans="35:36">
      <c r="AI260" s="191">
        <v>45915</v>
      </c>
      <c r="AJ260" s="116" t="s">
        <v>13130</v>
      </c>
    </row>
    <row r="261" spans="35:36">
      <c r="AI261" s="191">
        <v>45916</v>
      </c>
      <c r="AJ261" s="116" t="s">
        <v>13131</v>
      </c>
    </row>
    <row r="262" spans="35:36">
      <c r="AI262" s="191">
        <v>45917</v>
      </c>
      <c r="AJ262" s="116" t="s">
        <v>13132</v>
      </c>
    </row>
    <row r="263" spans="35:36">
      <c r="AI263" s="191">
        <v>45918</v>
      </c>
      <c r="AJ263" s="116" t="s">
        <v>13133</v>
      </c>
    </row>
    <row r="264" spans="35:36">
      <c r="AI264" s="191">
        <v>45919</v>
      </c>
      <c r="AJ264" s="116" t="s">
        <v>13134</v>
      </c>
    </row>
    <row r="265" spans="35:36">
      <c r="AI265" s="191">
        <v>45920</v>
      </c>
      <c r="AJ265" s="116" t="s">
        <v>13135</v>
      </c>
    </row>
    <row r="266" spans="35:36">
      <c r="AI266" s="191">
        <v>45921</v>
      </c>
      <c r="AJ266" s="116" t="s">
        <v>13136</v>
      </c>
    </row>
    <row r="267" spans="35:36">
      <c r="AI267" s="191">
        <v>45922</v>
      </c>
      <c r="AJ267" s="116" t="s">
        <v>13137</v>
      </c>
    </row>
    <row r="268" spans="35:36">
      <c r="AI268" s="191">
        <v>45923</v>
      </c>
      <c r="AJ268" s="116" t="s">
        <v>13138</v>
      </c>
    </row>
    <row r="269" spans="35:36">
      <c r="AI269" s="191">
        <v>45924</v>
      </c>
      <c r="AJ269" s="116" t="s">
        <v>13139</v>
      </c>
    </row>
    <row r="270" spans="35:36">
      <c r="AI270" s="191">
        <v>45925</v>
      </c>
      <c r="AJ270" s="116" t="s">
        <v>13140</v>
      </c>
    </row>
    <row r="271" spans="35:36">
      <c r="AI271" s="191">
        <v>45926</v>
      </c>
      <c r="AJ271" s="116" t="s">
        <v>13141</v>
      </c>
    </row>
    <row r="272" spans="35:36">
      <c r="AI272" s="191">
        <v>45927</v>
      </c>
      <c r="AJ272" s="116" t="s">
        <v>13142</v>
      </c>
    </row>
    <row r="273" spans="35:36">
      <c r="AI273" s="191">
        <v>45928</v>
      </c>
      <c r="AJ273" s="116" t="s">
        <v>13143</v>
      </c>
    </row>
    <row r="274" spans="35:36">
      <c r="AI274" s="191">
        <v>45929</v>
      </c>
      <c r="AJ274" s="116" t="s">
        <v>13144</v>
      </c>
    </row>
    <row r="275" spans="35:36">
      <c r="AI275" s="191">
        <v>45930</v>
      </c>
      <c r="AJ275" s="116" t="s">
        <v>13145</v>
      </c>
    </row>
    <row r="276" spans="35:36">
      <c r="AI276" s="191">
        <v>45931</v>
      </c>
      <c r="AJ276" s="116" t="s">
        <v>13146</v>
      </c>
    </row>
    <row r="277" spans="35:36">
      <c r="AI277" s="191">
        <v>45932</v>
      </c>
      <c r="AJ277" s="116" t="s">
        <v>13147</v>
      </c>
    </row>
    <row r="278" spans="35:36">
      <c r="AI278" s="191">
        <v>45933</v>
      </c>
      <c r="AJ278" s="116" t="s">
        <v>13148</v>
      </c>
    </row>
    <row r="279" spans="35:36">
      <c r="AI279" s="191">
        <v>45934</v>
      </c>
      <c r="AJ279" s="116" t="s">
        <v>13149</v>
      </c>
    </row>
    <row r="280" spans="35:36">
      <c r="AI280" s="191">
        <v>45935</v>
      </c>
      <c r="AJ280" s="116" t="s">
        <v>13150</v>
      </c>
    </row>
    <row r="281" spans="35:36">
      <c r="AI281" s="191">
        <v>45936</v>
      </c>
      <c r="AJ281" s="116" t="s">
        <v>13151</v>
      </c>
    </row>
    <row r="282" spans="35:36">
      <c r="AI282" s="191">
        <v>45937</v>
      </c>
      <c r="AJ282" s="116" t="s">
        <v>13152</v>
      </c>
    </row>
    <row r="283" spans="35:36">
      <c r="AI283" s="191">
        <v>45938</v>
      </c>
      <c r="AJ283" s="116" t="s">
        <v>13153</v>
      </c>
    </row>
    <row r="284" spans="35:36">
      <c r="AI284" s="191">
        <v>45939</v>
      </c>
      <c r="AJ284" s="116" t="s">
        <v>13154</v>
      </c>
    </row>
    <row r="285" spans="35:36">
      <c r="AI285" s="191">
        <v>45940</v>
      </c>
      <c r="AJ285" s="116" t="s">
        <v>13155</v>
      </c>
    </row>
    <row r="286" spans="35:36">
      <c r="AI286" s="191">
        <v>45941</v>
      </c>
      <c r="AJ286" s="116" t="s">
        <v>13156</v>
      </c>
    </row>
    <row r="287" spans="35:36">
      <c r="AI287" s="191">
        <v>45942</v>
      </c>
      <c r="AJ287" s="116" t="s">
        <v>13157</v>
      </c>
    </row>
    <row r="288" spans="35:36">
      <c r="AI288" s="191">
        <v>45943</v>
      </c>
      <c r="AJ288" s="116" t="s">
        <v>13158</v>
      </c>
    </row>
    <row r="289" spans="35:36">
      <c r="AI289" s="191">
        <v>45944</v>
      </c>
      <c r="AJ289" s="116" t="s">
        <v>13159</v>
      </c>
    </row>
    <row r="290" spans="35:36">
      <c r="AI290" s="191">
        <v>45945</v>
      </c>
      <c r="AJ290" s="116" t="s">
        <v>13160</v>
      </c>
    </row>
    <row r="291" spans="35:36">
      <c r="AI291" s="191">
        <v>45946</v>
      </c>
      <c r="AJ291" s="116" t="s">
        <v>13161</v>
      </c>
    </row>
    <row r="292" spans="35:36">
      <c r="AI292" s="191">
        <v>45947</v>
      </c>
      <c r="AJ292" s="116" t="s">
        <v>13162</v>
      </c>
    </row>
    <row r="293" spans="35:36">
      <c r="AI293" s="191">
        <v>45948</v>
      </c>
      <c r="AJ293" s="116" t="s">
        <v>13163</v>
      </c>
    </row>
    <row r="294" spans="35:36">
      <c r="AI294" s="191">
        <v>45949</v>
      </c>
      <c r="AJ294" s="116" t="s">
        <v>13164</v>
      </c>
    </row>
    <row r="295" spans="35:36">
      <c r="AI295" s="191">
        <v>45950</v>
      </c>
      <c r="AJ295" s="116" t="s">
        <v>13165</v>
      </c>
    </row>
    <row r="296" spans="35:36">
      <c r="AI296" s="191">
        <v>45951</v>
      </c>
      <c r="AJ296" s="116" t="s">
        <v>13166</v>
      </c>
    </row>
    <row r="297" spans="35:36">
      <c r="AI297" s="191">
        <v>45952</v>
      </c>
      <c r="AJ297" s="116" t="s">
        <v>13167</v>
      </c>
    </row>
    <row r="298" spans="35:36">
      <c r="AI298" s="191">
        <v>45953</v>
      </c>
      <c r="AJ298" s="116" t="s">
        <v>13168</v>
      </c>
    </row>
    <row r="299" spans="35:36">
      <c r="AI299" s="191">
        <v>45954</v>
      </c>
      <c r="AJ299" s="116" t="s">
        <v>13169</v>
      </c>
    </row>
    <row r="300" spans="35:36">
      <c r="AI300" s="191">
        <v>45955</v>
      </c>
      <c r="AJ300" s="116" t="s">
        <v>13170</v>
      </c>
    </row>
    <row r="301" spans="35:36">
      <c r="AI301" s="191">
        <v>45956</v>
      </c>
      <c r="AJ301" s="116" t="s">
        <v>13171</v>
      </c>
    </row>
    <row r="302" spans="35:36">
      <c r="AI302" s="191">
        <v>45957</v>
      </c>
      <c r="AJ302" s="116" t="s">
        <v>13172</v>
      </c>
    </row>
    <row r="303" spans="35:36">
      <c r="AI303" s="191">
        <v>45958</v>
      </c>
      <c r="AJ303" s="116" t="s">
        <v>13173</v>
      </c>
    </row>
    <row r="304" spans="35:36">
      <c r="AI304" s="191">
        <v>45959</v>
      </c>
      <c r="AJ304" s="116" t="s">
        <v>13174</v>
      </c>
    </row>
    <row r="305" spans="35:36">
      <c r="AI305" s="191">
        <v>45960</v>
      </c>
      <c r="AJ305" s="116" t="s">
        <v>13175</v>
      </c>
    </row>
    <row r="306" spans="35:36">
      <c r="AI306" s="191">
        <v>45961</v>
      </c>
      <c r="AJ306" s="116" t="s">
        <v>13176</v>
      </c>
    </row>
    <row r="307" spans="35:36">
      <c r="AI307" s="191">
        <v>45962</v>
      </c>
      <c r="AJ307" s="116" t="s">
        <v>13177</v>
      </c>
    </row>
    <row r="308" spans="35:36">
      <c r="AI308" s="191">
        <v>45963</v>
      </c>
      <c r="AJ308" s="116" t="s">
        <v>13178</v>
      </c>
    </row>
    <row r="309" spans="35:36">
      <c r="AI309" s="191">
        <v>45964</v>
      </c>
      <c r="AJ309" s="116" t="s">
        <v>13179</v>
      </c>
    </row>
    <row r="310" spans="35:36">
      <c r="AI310" s="191">
        <v>45965</v>
      </c>
      <c r="AJ310" s="116" t="s">
        <v>13180</v>
      </c>
    </row>
    <row r="311" spans="35:36">
      <c r="AI311" s="191">
        <v>45966</v>
      </c>
      <c r="AJ311" s="116" t="s">
        <v>13181</v>
      </c>
    </row>
    <row r="312" spans="35:36">
      <c r="AI312" s="191">
        <v>45967</v>
      </c>
      <c r="AJ312" s="116" t="s">
        <v>13182</v>
      </c>
    </row>
    <row r="313" spans="35:36">
      <c r="AI313" s="191">
        <v>45968</v>
      </c>
      <c r="AJ313" s="116" t="s">
        <v>13183</v>
      </c>
    </row>
    <row r="314" spans="35:36">
      <c r="AI314" s="191">
        <v>45969</v>
      </c>
      <c r="AJ314" s="116" t="s">
        <v>13184</v>
      </c>
    </row>
    <row r="315" spans="35:36">
      <c r="AI315" s="191">
        <v>45970</v>
      </c>
      <c r="AJ315" s="116" t="s">
        <v>13185</v>
      </c>
    </row>
    <row r="316" spans="35:36">
      <c r="AI316" s="191">
        <v>45971</v>
      </c>
      <c r="AJ316" s="116" t="s">
        <v>13186</v>
      </c>
    </row>
    <row r="317" spans="35:36">
      <c r="AI317" s="191">
        <v>45972</v>
      </c>
      <c r="AJ317" s="116" t="s">
        <v>13187</v>
      </c>
    </row>
    <row r="318" spans="35:36">
      <c r="AI318" s="191">
        <v>45973</v>
      </c>
      <c r="AJ318" s="116" t="s">
        <v>13188</v>
      </c>
    </row>
    <row r="319" spans="35:36">
      <c r="AI319" s="191">
        <v>45974</v>
      </c>
      <c r="AJ319" s="116" t="s">
        <v>13189</v>
      </c>
    </row>
    <row r="320" spans="35:36">
      <c r="AI320" s="191">
        <v>45975</v>
      </c>
      <c r="AJ320" s="116" t="s">
        <v>13190</v>
      </c>
    </row>
    <row r="321" spans="35:36">
      <c r="AI321" s="191">
        <v>45976</v>
      </c>
      <c r="AJ321" s="116" t="s">
        <v>13191</v>
      </c>
    </row>
    <row r="322" spans="35:36">
      <c r="AI322" s="191">
        <v>45977</v>
      </c>
      <c r="AJ322" s="116" t="s">
        <v>13192</v>
      </c>
    </row>
    <row r="323" spans="35:36">
      <c r="AI323" s="191">
        <v>45978</v>
      </c>
      <c r="AJ323" s="116" t="s">
        <v>13193</v>
      </c>
    </row>
    <row r="324" spans="35:36">
      <c r="AI324" s="191">
        <v>45979</v>
      </c>
      <c r="AJ324" s="116" t="s">
        <v>13194</v>
      </c>
    </row>
    <row r="325" spans="35:36">
      <c r="AI325" s="191">
        <v>45980</v>
      </c>
      <c r="AJ325" s="116" t="s">
        <v>13195</v>
      </c>
    </row>
    <row r="326" spans="35:36">
      <c r="AI326" s="191">
        <v>45981</v>
      </c>
      <c r="AJ326" s="116" t="s">
        <v>13196</v>
      </c>
    </row>
    <row r="327" spans="35:36">
      <c r="AI327" s="191">
        <v>45982</v>
      </c>
      <c r="AJ327" s="116" t="s">
        <v>13197</v>
      </c>
    </row>
    <row r="328" spans="35:36">
      <c r="AI328" s="191">
        <v>45983</v>
      </c>
      <c r="AJ328" s="116" t="s">
        <v>13198</v>
      </c>
    </row>
    <row r="329" spans="35:36">
      <c r="AI329" s="191">
        <v>45984</v>
      </c>
      <c r="AJ329" s="116" t="s">
        <v>13199</v>
      </c>
    </row>
    <row r="330" spans="35:36">
      <c r="AI330" s="191">
        <v>45985</v>
      </c>
      <c r="AJ330" s="116" t="s">
        <v>13200</v>
      </c>
    </row>
    <row r="331" spans="35:36">
      <c r="AI331" s="191">
        <v>45986</v>
      </c>
      <c r="AJ331" s="116" t="s">
        <v>13201</v>
      </c>
    </row>
    <row r="332" spans="35:36">
      <c r="AI332" s="191">
        <v>45987</v>
      </c>
      <c r="AJ332" s="116" t="s">
        <v>13202</v>
      </c>
    </row>
    <row r="333" spans="35:36">
      <c r="AI333" s="191">
        <v>45988</v>
      </c>
      <c r="AJ333" s="116" t="s">
        <v>13203</v>
      </c>
    </row>
    <row r="334" spans="35:36">
      <c r="AI334" s="191">
        <v>45989</v>
      </c>
      <c r="AJ334" s="116" t="s">
        <v>13204</v>
      </c>
    </row>
    <row r="335" spans="35:36">
      <c r="AI335" s="191">
        <v>45990</v>
      </c>
      <c r="AJ335" s="116" t="s">
        <v>13205</v>
      </c>
    </row>
    <row r="336" spans="35:36">
      <c r="AI336" s="191">
        <v>45991</v>
      </c>
      <c r="AJ336" s="116" t="s">
        <v>13206</v>
      </c>
    </row>
    <row r="337" spans="35:36">
      <c r="AI337" s="191">
        <v>45992</v>
      </c>
      <c r="AJ337" s="116" t="s">
        <v>13207</v>
      </c>
    </row>
    <row r="338" spans="35:36">
      <c r="AI338" s="191">
        <v>45993</v>
      </c>
      <c r="AJ338" s="116" t="s">
        <v>13208</v>
      </c>
    </row>
    <row r="339" spans="35:36">
      <c r="AI339" s="191">
        <v>45994</v>
      </c>
      <c r="AJ339" s="116" t="s">
        <v>13209</v>
      </c>
    </row>
    <row r="340" spans="35:36">
      <c r="AI340" s="191">
        <v>45995</v>
      </c>
      <c r="AJ340" s="116" t="s">
        <v>13210</v>
      </c>
    </row>
    <row r="341" spans="35:36">
      <c r="AI341" s="191">
        <v>45996</v>
      </c>
      <c r="AJ341" s="116" t="s">
        <v>13211</v>
      </c>
    </row>
    <row r="342" spans="35:36">
      <c r="AI342" s="191">
        <v>45997</v>
      </c>
      <c r="AJ342" s="116" t="s">
        <v>13212</v>
      </c>
    </row>
    <row r="343" spans="35:36">
      <c r="AI343" s="191">
        <v>45998</v>
      </c>
      <c r="AJ343" s="116" t="s">
        <v>13213</v>
      </c>
    </row>
    <row r="344" spans="35:36">
      <c r="AI344" s="191">
        <v>45999</v>
      </c>
      <c r="AJ344" s="116" t="s">
        <v>13214</v>
      </c>
    </row>
    <row r="345" spans="35:36">
      <c r="AI345" s="191">
        <v>46000</v>
      </c>
      <c r="AJ345" s="116" t="s">
        <v>13215</v>
      </c>
    </row>
    <row r="346" spans="35:36">
      <c r="AI346" s="191">
        <v>46001</v>
      </c>
      <c r="AJ346" s="116" t="s">
        <v>13216</v>
      </c>
    </row>
    <row r="347" spans="35:36">
      <c r="AI347" s="191">
        <v>46002</v>
      </c>
      <c r="AJ347" s="116" t="s">
        <v>13217</v>
      </c>
    </row>
    <row r="348" spans="35:36">
      <c r="AI348" s="191">
        <v>46003</v>
      </c>
      <c r="AJ348" s="116" t="s">
        <v>13218</v>
      </c>
    </row>
    <row r="349" spans="35:36">
      <c r="AI349" s="191">
        <v>46004</v>
      </c>
      <c r="AJ349" s="116" t="s">
        <v>13219</v>
      </c>
    </row>
    <row r="350" spans="35:36">
      <c r="AI350" s="191">
        <v>46005</v>
      </c>
      <c r="AJ350" s="116" t="s">
        <v>13220</v>
      </c>
    </row>
    <row r="351" spans="35:36">
      <c r="AI351" s="191">
        <v>46006</v>
      </c>
      <c r="AJ351" s="116" t="s">
        <v>13221</v>
      </c>
    </row>
    <row r="352" spans="35:36">
      <c r="AI352" s="191">
        <v>46007</v>
      </c>
      <c r="AJ352" s="116" t="s">
        <v>13222</v>
      </c>
    </row>
    <row r="353" spans="35:36">
      <c r="AI353" s="191">
        <v>46008</v>
      </c>
      <c r="AJ353" s="116" t="s">
        <v>13223</v>
      </c>
    </row>
    <row r="354" spans="35:36">
      <c r="AI354" s="191">
        <v>46009</v>
      </c>
      <c r="AJ354" s="116" t="s">
        <v>13224</v>
      </c>
    </row>
    <row r="355" spans="35:36">
      <c r="AI355" s="191">
        <v>46010</v>
      </c>
      <c r="AJ355" s="116" t="s">
        <v>13225</v>
      </c>
    </row>
    <row r="356" spans="35:36">
      <c r="AI356" s="191">
        <v>46011</v>
      </c>
      <c r="AJ356" s="116" t="s">
        <v>13226</v>
      </c>
    </row>
    <row r="357" spans="35:36">
      <c r="AI357" s="191">
        <v>46012</v>
      </c>
      <c r="AJ357" s="116" t="s">
        <v>13227</v>
      </c>
    </row>
    <row r="358" spans="35:36">
      <c r="AI358" s="191">
        <v>46013</v>
      </c>
      <c r="AJ358" s="116" t="s">
        <v>13228</v>
      </c>
    </row>
    <row r="359" spans="35:36">
      <c r="AI359" s="191">
        <v>46014</v>
      </c>
      <c r="AJ359" s="116" t="s">
        <v>13229</v>
      </c>
    </row>
    <row r="360" spans="35:36">
      <c r="AI360" s="191">
        <v>46015</v>
      </c>
      <c r="AJ360" s="116" t="s">
        <v>13230</v>
      </c>
    </row>
    <row r="361" spans="35:36">
      <c r="AI361" s="191">
        <v>46016</v>
      </c>
      <c r="AJ361" s="116" t="s">
        <v>13231</v>
      </c>
    </row>
    <row r="362" spans="35:36">
      <c r="AI362" s="191">
        <v>46017</v>
      </c>
      <c r="AJ362" s="116" t="s">
        <v>13232</v>
      </c>
    </row>
    <row r="363" spans="35:36">
      <c r="AI363" s="191">
        <v>46018</v>
      </c>
      <c r="AJ363" s="116" t="s">
        <v>13233</v>
      </c>
    </row>
    <row r="364" spans="35:36">
      <c r="AI364" s="191">
        <v>46019</v>
      </c>
      <c r="AJ364" s="116" t="s">
        <v>13234</v>
      </c>
    </row>
    <row r="365" spans="35:36">
      <c r="AI365" s="191">
        <v>46020</v>
      </c>
      <c r="AJ365" s="116" t="s">
        <v>13235</v>
      </c>
    </row>
    <row r="366" spans="35:36">
      <c r="AI366" s="191">
        <v>46021</v>
      </c>
      <c r="AJ366" s="116" t="s">
        <v>13236</v>
      </c>
    </row>
    <row r="367" spans="35:36">
      <c r="AI367" s="191">
        <v>46022</v>
      </c>
      <c r="AJ367" s="116" t="s">
        <v>13237</v>
      </c>
    </row>
  </sheetData>
  <sheetProtection algorithmName="SHA-512" hashValue="K18KJTEMrvCbZ/hLsAJM8YljcNhZoRcydTtBUNNnEDIQ80QGmYJcZuWj/aPQwY/VALi6X/2SC6rqfrj/xhJsVg==" saltValue="KHbtJ8JC5w8u2v/ecvx/Og==" spinCount="100000" sheet="1" objects="1" scenarios="1" selectLockedCells="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7B66-0159-4BDA-B1AA-8DF97AE8CA1C}">
  <sheetPr codeName="Sheet3"/>
  <dimension ref="A1:D8"/>
  <sheetViews>
    <sheetView workbookViewId="0">
      <selection activeCell="G19" sqref="G19"/>
    </sheetView>
  </sheetViews>
  <sheetFormatPr baseColWidth="10" defaultColWidth="8.83203125" defaultRowHeight="15"/>
  <sheetData>
    <row r="1" spans="1:4">
      <c r="A1">
        <v>8</v>
      </c>
      <c r="B1" cm="1">
        <f t="array" ref="B1:B8">_xlfn.SEQUENCE(A1)</f>
        <v>1</v>
      </c>
      <c r="C1">
        <v>245904</v>
      </c>
      <c r="D1" t="str">
        <f>"-"&amp;C1</f>
        <v>-245904</v>
      </c>
    </row>
    <row r="2" spans="1:4">
      <c r="B2">
        <v>2</v>
      </c>
      <c r="C2">
        <v>245905</v>
      </c>
      <c r="D2" t="str">
        <f t="shared" ref="D2:D8" si="0">"-"&amp;C2</f>
        <v>-245905</v>
      </c>
    </row>
    <row r="3" spans="1:4">
      <c r="B3">
        <v>3</v>
      </c>
      <c r="C3">
        <v>245906</v>
      </c>
      <c r="D3" t="str">
        <f t="shared" si="0"/>
        <v>-245906</v>
      </c>
    </row>
    <row r="4" spans="1:4">
      <c r="B4">
        <v>4</v>
      </c>
      <c r="C4">
        <v>245907</v>
      </c>
      <c r="D4" t="str">
        <f t="shared" si="0"/>
        <v>-245907</v>
      </c>
    </row>
    <row r="5" spans="1:4">
      <c r="B5">
        <v>5</v>
      </c>
      <c r="C5">
        <v>245908</v>
      </c>
      <c r="D5" t="str">
        <f t="shared" si="0"/>
        <v>-245908</v>
      </c>
    </row>
    <row r="6" spans="1:4">
      <c r="B6">
        <v>6</v>
      </c>
      <c r="C6">
        <v>245909</v>
      </c>
      <c r="D6" t="str">
        <f t="shared" si="0"/>
        <v>-245909</v>
      </c>
    </row>
    <row r="7" spans="1:4">
      <c r="B7">
        <v>7</v>
      </c>
      <c r="C7">
        <v>245910</v>
      </c>
      <c r="D7" t="str">
        <f t="shared" si="0"/>
        <v>-245910</v>
      </c>
    </row>
    <row r="8" spans="1:4">
      <c r="B8">
        <v>8</v>
      </c>
      <c r="C8">
        <v>245911</v>
      </c>
      <c r="D8" t="str">
        <f t="shared" si="0"/>
        <v>-245911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7B90-120A-42A4-A8A2-29E326BC73C7}">
  <sheetPr codeName="Sheet6"/>
  <dimension ref="A1:C440"/>
  <sheetViews>
    <sheetView zoomScaleNormal="100" workbookViewId="0">
      <selection activeCell="J4" sqref="J4"/>
    </sheetView>
  </sheetViews>
  <sheetFormatPr baseColWidth="10" defaultColWidth="8.83203125" defaultRowHeight="15"/>
  <cols>
    <col min="2" max="2" width="7.33203125" bestFit="1" customWidth="1"/>
  </cols>
  <sheetData>
    <row r="1" spans="1:3">
      <c r="A1" t="s">
        <v>7747</v>
      </c>
      <c r="B1" t="s">
        <v>7748</v>
      </c>
    </row>
    <row r="2" spans="1:3">
      <c r="A2">
        <v>4</v>
      </c>
      <c r="B2">
        <v>2022</v>
      </c>
    </row>
    <row r="5" spans="1:3">
      <c r="A5" t="e" cm="1">
        <f t="array" ref="A5">_xlfn._xlws.FILTER(DATA!C3:C9999,MONTH(DATA!C3:C9999)&amp;YEAR(DATA!C3:C9999)=Sheet2!A2&amp;Sheet2!B2,"NOT FOUND")</f>
        <v>#VALUE!</v>
      </c>
    </row>
    <row r="7" spans="1:3">
      <c r="B7" s="96">
        <v>45658</v>
      </c>
      <c r="C7" t="str">
        <f>LOOKUP(B7,Khmer_Lunar_Table)</f>
        <v>ថ្ងៃពុធ ៣កើត ខែបុស្ស ឆ្នាំរោង ឆស័ក ព.ស.២៥៦៨</v>
      </c>
    </row>
    <row r="8" spans="1:3">
      <c r="B8" s="96">
        <v>45659</v>
      </c>
      <c r="C8" t="str">
        <f>LOOKUP(B8,Khmer_Lunar_Table)</f>
        <v>ថ្ងៃព្រហស្បតិ៍ ៤កើត ខែបុស្ស ឆ្នាំរោង ឆស័ក ព.ស.២៥៦៨</v>
      </c>
    </row>
    <row r="9" spans="1:3">
      <c r="B9" s="96">
        <v>45660</v>
      </c>
      <c r="C9" t="str">
        <f>LOOKUP(B9,Khmer_Lunar_Table)</f>
        <v>ថ្ងៃសុក្រ ៥កើត ខែបុស្ស ឆ្នាំរោង ឆស័ក ព.ស.២៥៦៨</v>
      </c>
    </row>
    <row r="10" spans="1:3">
      <c r="B10" s="96">
        <v>45661</v>
      </c>
      <c r="C10" t="str">
        <f>LOOKUP(B10,Khmer_Lunar_Table)</f>
        <v>ថ្ងៃសៅរ៍ ៦កើត ខែបុស្ស ឆ្នាំរោង ឆស័ក ព.ស.២៥៦៨</v>
      </c>
    </row>
    <row r="11" spans="1:3">
      <c r="B11" s="96">
        <v>45662</v>
      </c>
      <c r="C11" t="str">
        <f>LOOKUP(B11,Khmer_Lunar_Table)</f>
        <v>ថ្ងៃអាទិត្យ ៧កើត ខែបុស្ស ឆ្នាំរោង ឆស័ក ព.ស.២៥៦៨</v>
      </c>
    </row>
    <row r="12" spans="1:3">
      <c r="B12" s="96">
        <v>45663</v>
      </c>
      <c r="C12" t="str">
        <f>LOOKUP(B12,Khmer_Lunar_Table)</f>
        <v>ថ្ងៃចន្ទ ៨កើត ខែបុស្ស ឆ្នាំរោង ឆស័ក ព.ស.២៥៦៨</v>
      </c>
    </row>
    <row r="13" spans="1:3">
      <c r="B13" s="96">
        <v>45664</v>
      </c>
      <c r="C13" t="str">
        <f>LOOKUP(B13,Khmer_Lunar_Table)</f>
        <v>ថ្ងៃអង្គារ ៩កើត ខែបុស្ស ឆ្នាំរោង ឆស័ក ព.ស.២៥៦៨</v>
      </c>
    </row>
    <row r="14" spans="1:3">
      <c r="B14" s="96">
        <v>45665</v>
      </c>
      <c r="C14" t="str">
        <f>LOOKUP(B14,Khmer_Lunar_Table)</f>
        <v>ថ្ងៃពុធ ១០កើត ខែបុស្ស ឆ្នាំរោង ឆស័ក ព.ស.២៥៦៨</v>
      </c>
    </row>
    <row r="15" spans="1:3">
      <c r="B15" s="96">
        <v>45666</v>
      </c>
      <c r="C15" t="str">
        <f>LOOKUP(B15,Khmer_Lunar_Table)</f>
        <v>ថ្ងៃព្រហស្បតិ៍ ១១កើត ខែបុស្ស ឆ្នាំរោង ឆស័ក ព.ស.២៥៦៨</v>
      </c>
    </row>
    <row r="16" spans="1:3">
      <c r="B16" s="96">
        <v>45667</v>
      </c>
      <c r="C16" t="str">
        <f>LOOKUP(B16,Khmer_Lunar_Table)</f>
        <v>ថ្ងៃសុក្រ ១២កើត ខែបុស្ស ឆ្នាំរោង ឆស័ក ព.ស.២៥៦៨</v>
      </c>
    </row>
    <row r="17" spans="2:3">
      <c r="B17" s="96">
        <v>45668</v>
      </c>
      <c r="C17" t="str">
        <f>LOOKUP(B17,Khmer_Lunar_Table)</f>
        <v>ថ្ងៃសៅរ៍ ១៣កើត ខែបុស្ស ឆ្នាំរោង ឆស័ក ព.ស.២៥៦៨</v>
      </c>
    </row>
    <row r="18" spans="2:3">
      <c r="B18" s="96">
        <v>45669</v>
      </c>
      <c r="C18" t="str">
        <f>LOOKUP(B18,Khmer_Lunar_Table)</f>
        <v>ថ្ងៃអាទិត្យ ១៤កើត ខែបុស្ស ឆ្នាំរោង ឆស័ក ព.ស.២៥៦៨</v>
      </c>
    </row>
    <row r="19" spans="2:3">
      <c r="B19" s="96">
        <v>45670</v>
      </c>
      <c r="C19" t="str">
        <f>LOOKUP(B19,Khmer_Lunar_Table)</f>
        <v>ថ្ងៃចន្ទ ១៥កើត ខែបុស្ស ឆ្នាំរោង ឆស័ក ព.ស.២៥៦៨</v>
      </c>
    </row>
    <row r="20" spans="2:3">
      <c r="B20" s="96">
        <v>45671</v>
      </c>
      <c r="C20" t="str">
        <f>LOOKUP(B20,Khmer_Lunar_Table)</f>
        <v>ថ្ងៃអង្គារ ១រោច ខែបុស្ស ឆ្នាំរោង ឆស័ក ព.ស.២៥៦៨</v>
      </c>
    </row>
    <row r="21" spans="2:3">
      <c r="B21" s="96">
        <v>45672</v>
      </c>
      <c r="C21" t="str">
        <f>LOOKUP(B21,Khmer_Lunar_Table)</f>
        <v>ថ្ងៃពុធ ២រោច ខែបុស្ស ឆ្នាំរោង ឆស័ក ព.ស.២៥៦៨</v>
      </c>
    </row>
    <row r="22" spans="2:3">
      <c r="B22" s="96">
        <v>45673</v>
      </c>
      <c r="C22" t="str">
        <f>LOOKUP(B22,Khmer_Lunar_Table)</f>
        <v>ថ្ងៃព្រហស្បតិ៍ ៣រោច ខែបុស្ស ឆ្នាំរោង ឆស័ក ព.ស.២៥៦៨</v>
      </c>
    </row>
    <row r="23" spans="2:3">
      <c r="B23" s="96">
        <v>45674</v>
      </c>
      <c r="C23" t="str">
        <f>LOOKUP(B23,Khmer_Lunar_Table)</f>
        <v>ថ្ងៃសុក្រ ៤រោច ខែបុស្ស ឆ្នាំរោង ឆស័ក ព.ស.២៥៦៨</v>
      </c>
    </row>
    <row r="24" spans="2:3">
      <c r="B24" s="96">
        <v>45675</v>
      </c>
      <c r="C24" t="str">
        <f>LOOKUP(B24,Khmer_Lunar_Table)</f>
        <v>ថ្ងៃសៅរ៍ ៥រោច ខែបុស្ស ឆ្នាំរោង ឆស័ក ព.ស.២៥៦៨</v>
      </c>
    </row>
    <row r="25" spans="2:3">
      <c r="B25" s="96">
        <v>45676</v>
      </c>
      <c r="C25" t="str">
        <f>LOOKUP(B25,Khmer_Lunar_Table)</f>
        <v>ថ្ងៃអាទិត្យ ៦រោច ខែបុស្ស ឆ្នាំរោង ឆស័ក ព.ស.២៥៦៨</v>
      </c>
    </row>
    <row r="26" spans="2:3">
      <c r="B26" s="96">
        <v>45677</v>
      </c>
      <c r="C26" t="str">
        <f>LOOKUP(B26,Khmer_Lunar_Table)</f>
        <v>ថ្ងៃចន្ទ ៧រោច ខែបុស្ស ឆ្នាំរោង ឆស័ក ព.ស.២៥៦៨</v>
      </c>
    </row>
    <row r="27" spans="2:3">
      <c r="B27" s="96">
        <v>45678</v>
      </c>
      <c r="C27" t="str">
        <f>LOOKUP(B27,Khmer_Lunar_Table)</f>
        <v>ថ្ងៃអង្គារ ៨រោច ខែបុស្ស ឆ្នាំរោង ឆស័ក ព.ស.២៥៦៨</v>
      </c>
    </row>
    <row r="28" spans="2:3">
      <c r="B28" s="96">
        <v>45679</v>
      </c>
      <c r="C28" t="str">
        <f>LOOKUP(B28,Khmer_Lunar_Table)</f>
        <v>ថ្ងៃពុធ ៩រោច ខែបុស្ស ឆ្នាំរោង ឆស័ក ព.ស.២៥៦៨</v>
      </c>
    </row>
    <row r="29" spans="2:3">
      <c r="B29" s="96">
        <v>45680</v>
      </c>
      <c r="C29" t="str">
        <f>LOOKUP(B29,Khmer_Lunar_Table)</f>
        <v>ថ្ងៃព្រហស្បតិ៍ ១០រោច ខែបុស្ស ឆ្នាំរោង ឆស័ក ព.ស.២៥៦៨</v>
      </c>
    </row>
    <row r="30" spans="2:3">
      <c r="B30" s="96">
        <v>45681</v>
      </c>
      <c r="C30" t="str">
        <f>LOOKUP(B30,Khmer_Lunar_Table)</f>
        <v>ថ្ងៃសុក្រ ១១រោច ខែបុស្ស ឆ្នាំរោង ឆស័ក ព.ស.២៥៦៨</v>
      </c>
    </row>
    <row r="31" spans="2:3">
      <c r="B31" s="96">
        <v>45682</v>
      </c>
      <c r="C31" t="str">
        <f>LOOKUP(B31,Khmer_Lunar_Table)</f>
        <v>ថ្ងៃសៅរ៍ ១២រោច ខែបុស្ស ឆ្នាំរោង ឆស័ក ព.ស.២៥៦៨</v>
      </c>
    </row>
    <row r="32" spans="2:3">
      <c r="B32" s="96">
        <v>45683</v>
      </c>
      <c r="C32" t="str">
        <f>LOOKUP(B32,Khmer_Lunar_Table)</f>
        <v>ថ្ងៃអាទិត្យ ១៣រោច ខែបុស្ស ឆ្នាំរោង ឆស័ក ព.ស.២៥៦៨</v>
      </c>
    </row>
    <row r="33" spans="2:3">
      <c r="B33" s="96">
        <v>45684</v>
      </c>
      <c r="C33" t="str">
        <f>LOOKUP(B33,Khmer_Lunar_Table)</f>
        <v>ថ្ងៃចន្ទ ១៤រោច ខែបុស្ស ឆ្នាំរោង ឆស័ក ព.ស.២៥៦៨</v>
      </c>
    </row>
    <row r="34" spans="2:3">
      <c r="B34" s="96">
        <v>45685</v>
      </c>
      <c r="C34" t="str">
        <f>LOOKUP(B34,Khmer_Lunar_Table)</f>
        <v>ថ្ងៃអង្គារ ១៥រោច ខែបុស្ស ឆ្នាំរោង ឆស័ក ព.ស.២៥៦៨</v>
      </c>
    </row>
    <row r="35" spans="2:3">
      <c r="B35" s="96">
        <v>45686</v>
      </c>
      <c r="C35" t="str">
        <f>LOOKUP(B35,Khmer_Lunar_Table)</f>
        <v>ថ្ងៃពុធ ១កើត ខែមាឃ ឆ្នាំរោង ឆស័ក ព.ស.២៥៦៨</v>
      </c>
    </row>
    <row r="36" spans="2:3">
      <c r="B36" s="96">
        <v>45687</v>
      </c>
      <c r="C36" t="str">
        <f>LOOKUP(B36,Khmer_Lunar_Table)</f>
        <v>ថ្ងៃព្រហស្បតិ៍ ២កើត ខែមាឃ ឆ្នាំរោង ឆស័ក ព.ស.២៥៦៨</v>
      </c>
    </row>
    <row r="37" spans="2:3">
      <c r="B37" s="96">
        <v>45688</v>
      </c>
      <c r="C37" t="str">
        <f>LOOKUP(B37,Khmer_Lunar_Table)</f>
        <v>ថ្ងៃសុក្រ ៣កើត ខែមាឃ ឆ្នាំរោង ឆស័ក ព.ស.២៥៦៨</v>
      </c>
    </row>
    <row r="38" spans="2:3">
      <c r="B38" s="96">
        <v>45689</v>
      </c>
      <c r="C38" t="str">
        <f>LOOKUP(B38,Khmer_Lunar_Table)</f>
        <v>ថ្ងៃសៅរ៍ ៤កើត ខែមាឃ ឆ្នាំរោង ឆស័ក ព.ស.២៥៦៨</v>
      </c>
    </row>
    <row r="39" spans="2:3">
      <c r="B39" s="96">
        <v>45690</v>
      </c>
      <c r="C39" t="str">
        <f>LOOKUP(B39,Khmer_Lunar_Table)</f>
        <v>ថ្ងៃអាទិត្យ ៥កើត ខែមាឃ ឆ្នាំរោង ឆស័ក ព.ស.២៥៦៨</v>
      </c>
    </row>
    <row r="40" spans="2:3">
      <c r="B40" s="96">
        <v>45691</v>
      </c>
      <c r="C40" t="str">
        <f>LOOKUP(B40,Khmer_Lunar_Table)</f>
        <v>ថ្ងៃចន្ទ ៦កើត ខែមាឃ ឆ្នាំរោង ឆស័ក ព.ស.២៥៦៨</v>
      </c>
    </row>
    <row r="41" spans="2:3">
      <c r="B41" s="96">
        <v>45692</v>
      </c>
      <c r="C41" t="str">
        <f>LOOKUP(B41,Khmer_Lunar_Table)</f>
        <v>ថ្ងៃអង្គារ ៧កើត ខែមាឃ ឆ្នាំរោង ឆស័ក ព.ស.២៥៦៨</v>
      </c>
    </row>
    <row r="42" spans="2:3">
      <c r="B42" s="96">
        <v>45693</v>
      </c>
      <c r="C42" t="str">
        <f>LOOKUP(B42,Khmer_Lunar_Table)</f>
        <v>ថ្ងៃពុធ ៨កើត ខែមាឃ ឆ្នាំរោង ឆស័ក ព.ស.២៥៦៨</v>
      </c>
    </row>
    <row r="43" spans="2:3">
      <c r="B43" s="96">
        <v>45694</v>
      </c>
      <c r="C43" t="str">
        <f>LOOKUP(B43,Khmer_Lunar_Table)</f>
        <v>ថ្ងៃព្រហស្បតិ៍ ៩កើត ខែមាឃ ឆ្នាំរោង ឆស័ក ព.ស.២៥៦៨</v>
      </c>
    </row>
    <row r="44" spans="2:3">
      <c r="B44" s="96">
        <v>45695</v>
      </c>
      <c r="C44" t="str">
        <f>LOOKUP(B44,Khmer_Lunar_Table)</f>
        <v>ថ្ងៃសុក្រ ១០កើត ខែមាឃ ឆ្នាំរោង ឆស័ក ព.ស.២៥៦៨</v>
      </c>
    </row>
    <row r="45" spans="2:3">
      <c r="B45" s="96">
        <v>45696</v>
      </c>
      <c r="C45" t="str">
        <f>LOOKUP(B45,Khmer_Lunar_Table)</f>
        <v>ថ្ងៃសៅរ៍ ១១កើត ខែមាឃ ឆ្នាំរោង ឆស័ក ព.ស.២៥៦៨</v>
      </c>
    </row>
    <row r="46" spans="2:3">
      <c r="B46" s="96">
        <v>45697</v>
      </c>
      <c r="C46" t="str">
        <f>LOOKUP(B46,Khmer_Lunar_Table)</f>
        <v>ថ្ងៃអាទិត្យ ១២កើត ខែមាឃ ឆ្នាំរោង ឆស័ក ព.ស.២៥៦៨</v>
      </c>
    </row>
    <row r="47" spans="2:3">
      <c r="B47" s="96">
        <v>45698</v>
      </c>
      <c r="C47" t="str">
        <f>LOOKUP(B47,Khmer_Lunar_Table)</f>
        <v>ថ្ងៃចន្ទ ១៣កើត ខែមាឃ ឆ្នាំរោង ឆស័ក ព.ស.២៥៦៨</v>
      </c>
    </row>
    <row r="48" spans="2:3">
      <c r="B48" s="96">
        <v>45699</v>
      </c>
      <c r="C48" t="str">
        <f>LOOKUP(B48,Khmer_Lunar_Table)</f>
        <v>ថ្ងៃអង្គារ ១៤កើត ខែមាឃ ឆ្នាំរោង ឆស័ក ព.ស.២៥៦៨</v>
      </c>
    </row>
    <row r="49" spans="2:3">
      <c r="B49" s="96">
        <v>45700</v>
      </c>
      <c r="C49" t="str">
        <f>LOOKUP(B49,Khmer_Lunar_Table)</f>
        <v>ថ្ងៃពុធ ១៥កើត ខែមាឃ ឆ្នាំរោង ឆស័ក ព.ស.២៥៦៨</v>
      </c>
    </row>
    <row r="50" spans="2:3">
      <c r="B50" s="96">
        <v>45701</v>
      </c>
      <c r="C50" t="str">
        <f>LOOKUP(B50,Khmer_Lunar_Table)</f>
        <v>ថ្ងៃព្រហស្បតិ៍ ១រោច ខែមាឃ ឆ្នាំរោង ឆស័ក ព.ស.២៥៦៨</v>
      </c>
    </row>
    <row r="51" spans="2:3">
      <c r="B51" s="96">
        <v>45702</v>
      </c>
      <c r="C51" t="str">
        <f>LOOKUP(B51,Khmer_Lunar_Table)</f>
        <v>ថ្ងៃសុក្រ ២រោច ខែមាឃ ឆ្នាំរោង ឆស័ក ព.ស.២៥៦៨</v>
      </c>
    </row>
    <row r="52" spans="2:3">
      <c r="B52" s="96">
        <v>45703</v>
      </c>
      <c r="C52" t="str">
        <f>LOOKUP(B52,Khmer_Lunar_Table)</f>
        <v>ថ្ងៃសៅរ៍ ៣រោច ខែមាឃ ឆ្នាំរោង ឆស័ក ព.ស.២៥៦៨</v>
      </c>
    </row>
    <row r="53" spans="2:3">
      <c r="B53" s="96">
        <v>45704</v>
      </c>
      <c r="C53" t="str">
        <f>LOOKUP(B53,Khmer_Lunar_Table)</f>
        <v>ថ្ងៃអាទិត្យ ៤រោច ខែមាឃ ឆ្នាំរោង ឆស័ក ព.ស.២៥៦៨</v>
      </c>
    </row>
    <row r="54" spans="2:3">
      <c r="B54" s="96">
        <v>45705</v>
      </c>
      <c r="C54" t="str">
        <f>LOOKUP(B54,Khmer_Lunar_Table)</f>
        <v>ថ្ងៃចន្ទ ៥រោច ខែមាឃ ឆ្នាំរោង ឆស័ក ព.ស.២៥៦៨</v>
      </c>
    </row>
    <row r="55" spans="2:3">
      <c r="B55" s="96">
        <v>45706</v>
      </c>
      <c r="C55" t="str">
        <f>LOOKUP(B55,Khmer_Lunar_Table)</f>
        <v>ថ្ងៃអង្គារ ៦រោច ខែមាឃ ឆ្នាំរោង ឆស័ក ព.ស.២៥៦៨</v>
      </c>
    </row>
    <row r="56" spans="2:3">
      <c r="B56" s="96">
        <v>45707</v>
      </c>
      <c r="C56" t="str">
        <f>LOOKUP(B56,Khmer_Lunar_Table)</f>
        <v>ថ្ងៃពុធ ៧រោច ខែមាឃ ឆ្នាំរោង ឆស័ក ព.ស.២៥៦៨</v>
      </c>
    </row>
    <row r="57" spans="2:3">
      <c r="B57" s="96">
        <v>45708</v>
      </c>
      <c r="C57" t="str">
        <f>LOOKUP(B57,Khmer_Lunar_Table)</f>
        <v>ថ្ងៃព្រហស្បតិ៍ ៨រោច ខែមាឃ ឆ្នាំរោង ឆស័ក ព.ស.២៥៦៨</v>
      </c>
    </row>
    <row r="58" spans="2:3">
      <c r="B58" s="96">
        <v>45709</v>
      </c>
      <c r="C58" t="str">
        <f>LOOKUP(B58,Khmer_Lunar_Table)</f>
        <v>ថ្ងៃសុក្រ ៩រោច ខែមាឃ ឆ្នាំរោង ឆស័ក ព.ស.២៥៦៨</v>
      </c>
    </row>
    <row r="59" spans="2:3">
      <c r="B59" s="96">
        <v>45710</v>
      </c>
      <c r="C59" t="str">
        <f>LOOKUP(B59,Khmer_Lunar_Table)</f>
        <v>ថ្ងៃសៅរ៍ ១០រោច ខែមាឃ ឆ្នាំរោង ឆស័ក ព.ស.២៥៦៨</v>
      </c>
    </row>
    <row r="60" spans="2:3">
      <c r="B60" s="96">
        <v>45711</v>
      </c>
      <c r="C60" t="str">
        <f>LOOKUP(B60,Khmer_Lunar_Table)</f>
        <v>ថ្ងៃអាទិត្យ ១១រោច ខែមាឃ ឆ្នាំរោង ឆស័ក ព.ស.២៥៦៨</v>
      </c>
    </row>
    <row r="61" spans="2:3">
      <c r="B61" s="96">
        <v>45712</v>
      </c>
      <c r="C61" t="str">
        <f>LOOKUP(B61,Khmer_Lunar_Table)</f>
        <v>ថ្ងៃចន្ទ ១២រោច ខែមាឃ ឆ្នាំរោង ឆស័ក ព.ស.២៥៦៨</v>
      </c>
    </row>
    <row r="62" spans="2:3">
      <c r="B62" s="96">
        <v>45713</v>
      </c>
      <c r="C62" t="str">
        <f>LOOKUP(B62,Khmer_Lunar_Table)</f>
        <v>ថ្ងៃអង្គារ ១៣រោច ខែមាឃ ឆ្នាំរោង ឆស័ក ព.ស.២៥៦៨</v>
      </c>
    </row>
    <row r="63" spans="2:3">
      <c r="B63" s="96">
        <v>45714</v>
      </c>
      <c r="C63" t="str">
        <f>LOOKUP(B63,Khmer_Lunar_Table)</f>
        <v>ថ្ងៃពុធ ១៤រោច ខែមាឃ ឆ្នាំរោង ឆស័ក ព.ស.២៥៦៨</v>
      </c>
    </row>
    <row r="64" spans="2:3">
      <c r="B64" s="96">
        <v>45715</v>
      </c>
      <c r="C64" t="str">
        <f>LOOKUP(B64,Khmer_Lunar_Table)</f>
        <v>ថ្ងៃព្រហស្បតិ៍ ១កើត ខែផល្គុន ឆ្នាំរោង ឆស័ក ព.ស.២៥៦៨</v>
      </c>
    </row>
    <row r="65" spans="2:3">
      <c r="B65" s="96">
        <v>45716</v>
      </c>
      <c r="C65" t="str">
        <f>LOOKUP(B65,Khmer_Lunar_Table)</f>
        <v>ថ្ងៃសុក្រ ២កើត ខែផល្គុន ឆ្នាំរោង ឆស័ក ព.ស.២៥៦៨</v>
      </c>
    </row>
    <row r="66" spans="2:3">
      <c r="B66" s="96">
        <v>45717</v>
      </c>
      <c r="C66" t="str">
        <f>LOOKUP(B66,Khmer_Lunar_Table)</f>
        <v>ថ្ងៃសៅរ៍ ៣កើត ខែផល្គុន ឆ្នាំរោង ឆស័ក ព.ស.២៥៦៨</v>
      </c>
    </row>
    <row r="67" spans="2:3">
      <c r="B67" s="96">
        <v>45718</v>
      </c>
      <c r="C67" t="str">
        <f>LOOKUP(B67,Khmer_Lunar_Table)</f>
        <v>ថ្ងៃអាទិត្យ ៤កើត ខែផល្គុន ឆ្នាំរោង ឆស័ក ព.ស.២៥៦៨</v>
      </c>
    </row>
    <row r="68" spans="2:3">
      <c r="B68" s="96">
        <v>45719</v>
      </c>
      <c r="C68" t="str">
        <f>LOOKUP(B68,Khmer_Lunar_Table)</f>
        <v>ថ្ងៃចន្ទ ៥កើត ខែផល្គុន ឆ្នាំរោង ឆស័ក ព.ស.២៥៦៨</v>
      </c>
    </row>
    <row r="69" spans="2:3">
      <c r="B69" s="96">
        <v>45720</v>
      </c>
      <c r="C69" t="str">
        <f>LOOKUP(B69,Khmer_Lunar_Table)</f>
        <v>ថ្ងៃអង្គារ ៦កើត ខែផល្គុន ឆ្នាំរោង ឆស័ក ព.ស.២៥៦៨</v>
      </c>
    </row>
    <row r="70" spans="2:3">
      <c r="B70" s="96">
        <v>45721</v>
      </c>
      <c r="C70" t="str">
        <f>LOOKUP(B70,Khmer_Lunar_Table)</f>
        <v>ថ្ងៃពុធ ៧កើត ខែផល្គុន ឆ្នាំរោង ឆស័ក ព.ស.២៥៦៨</v>
      </c>
    </row>
    <row r="71" spans="2:3">
      <c r="B71" s="96">
        <v>45722</v>
      </c>
      <c r="C71" t="str">
        <f>LOOKUP(B71,Khmer_Lunar_Table)</f>
        <v>ថ្ងៃព្រហស្បតិ៍ ៨កើត ខែផល្គុន ឆ្នាំរោង ឆស័ក ព.ស.២៥៦៨</v>
      </c>
    </row>
    <row r="72" spans="2:3">
      <c r="B72" s="96">
        <v>45723</v>
      </c>
      <c r="C72" t="str">
        <f>LOOKUP(B72,Khmer_Lunar_Table)</f>
        <v>ថ្ងៃសុក្រ ៩កើត ខែផល្គុន ឆ្នាំរោង ឆស័ក ព.ស.២៥៦៨</v>
      </c>
    </row>
    <row r="73" spans="2:3">
      <c r="B73" s="96">
        <v>45724</v>
      </c>
      <c r="C73" t="str">
        <f>LOOKUP(B73,Khmer_Lunar_Table)</f>
        <v>ថ្ងៃសៅរ៍ ១០កើត ខែផល្គុន ឆ្នាំរោង ឆស័ក ព.ស.២៥៦៨</v>
      </c>
    </row>
    <row r="74" spans="2:3">
      <c r="B74" s="96">
        <v>45725</v>
      </c>
      <c r="C74" t="str">
        <f>LOOKUP(B74,Khmer_Lunar_Table)</f>
        <v>ថ្ងៃអាទិត្យ ១១កើត ខែផល្គុន ឆ្នាំរោង ឆស័ក ព.ស.២៥៦៨</v>
      </c>
    </row>
    <row r="75" spans="2:3">
      <c r="B75" s="96">
        <v>45726</v>
      </c>
      <c r="C75" t="str">
        <f>LOOKUP(B75,Khmer_Lunar_Table)</f>
        <v>ថ្ងៃចន្ទ ១២កើត ខែផល្គុន ឆ្នាំរោង ឆស័ក ព.ស.២៥៦៨</v>
      </c>
    </row>
    <row r="76" spans="2:3">
      <c r="B76" s="96">
        <v>45727</v>
      </c>
      <c r="C76" t="str">
        <f>LOOKUP(B76,Khmer_Lunar_Table)</f>
        <v>ថ្ងៃអង្គារ ១៣កើត ខែផល្គុន ឆ្នាំរោង ឆស័ក ព.ស.២៥៦៨</v>
      </c>
    </row>
    <row r="77" spans="2:3">
      <c r="B77" s="96">
        <v>45728</v>
      </c>
      <c r="C77" t="str">
        <f>LOOKUP(B77,Khmer_Lunar_Table)</f>
        <v>ថ្ងៃពុធ ១៤កើត ខែផល្គុន ឆ្នាំរោង ឆស័ក ព.ស.២៥៦៨</v>
      </c>
    </row>
    <row r="78" spans="2:3">
      <c r="B78" s="96">
        <v>45729</v>
      </c>
      <c r="C78" t="str">
        <f>LOOKUP(B78,Khmer_Lunar_Table)</f>
        <v>ថ្ងៃព្រហស្បតិ៍ ១៥កើត ខែផល្គុន ឆ្នាំរោង ឆស័ក ព.ស.២៥៦៨</v>
      </c>
    </row>
    <row r="79" spans="2:3">
      <c r="B79" s="96">
        <v>45730</v>
      </c>
      <c r="C79" t="str">
        <f>LOOKUP(B79,Khmer_Lunar_Table)</f>
        <v>ថ្ងៃសុក្រ ១រោច ខែផល្គុន ឆ្នាំរោង ឆស័ក ព.ស.២៥៦៨</v>
      </c>
    </row>
    <row r="80" spans="2:3">
      <c r="B80" s="96">
        <v>45731</v>
      </c>
      <c r="C80" t="str">
        <f>LOOKUP(B80,Khmer_Lunar_Table)</f>
        <v>ថ្ងៃសៅរ៍ ២រោច ខែផល្គុន ឆ្នាំរោង ឆស័ក ព.ស.២៥៦៨</v>
      </c>
    </row>
    <row r="81" spans="2:3">
      <c r="B81" s="96">
        <v>45732</v>
      </c>
      <c r="C81" t="str">
        <f>LOOKUP(B81,Khmer_Lunar_Table)</f>
        <v>ថ្ងៃអាទិត្យ ៣រោច ខែផល្គុន ឆ្នាំរោង ឆស័ក ព.ស.២៥៦៨</v>
      </c>
    </row>
    <row r="82" spans="2:3">
      <c r="B82" s="96">
        <v>45733</v>
      </c>
      <c r="C82" t="str">
        <f>LOOKUP(B82,Khmer_Lunar_Table)</f>
        <v>ថ្ងៃចន្ទ ៤រោច ខែផល្គុន ឆ្នាំរោង ឆស័ក ព.ស.២៥៦៨</v>
      </c>
    </row>
    <row r="83" spans="2:3">
      <c r="B83" s="96">
        <v>45734</v>
      </c>
      <c r="C83" t="str">
        <f>LOOKUP(B83,Khmer_Lunar_Table)</f>
        <v>ថ្ងៃអង្គារ ៥រោច ខែផល្គុន ឆ្នាំរោង ឆស័ក ព.ស.២៥៦៨</v>
      </c>
    </row>
    <row r="84" spans="2:3">
      <c r="B84" s="96">
        <v>45735</v>
      </c>
      <c r="C84" t="str">
        <f>LOOKUP(B84,Khmer_Lunar_Table)</f>
        <v>ថ្ងៃពុធ ៦រោច ខែផល្គុន ឆ្នាំរោង ឆស័ក ព.ស.២៥៦៨</v>
      </c>
    </row>
    <row r="85" spans="2:3">
      <c r="B85" s="96">
        <v>45736</v>
      </c>
      <c r="C85" t="str">
        <f>LOOKUP(B85,Khmer_Lunar_Table)</f>
        <v>ថ្ងៃព្រហស្បតិ៍ ៧រោច ខែផល្គុន ឆ្នាំរោង ឆស័ក ព.ស.២៥៦៨</v>
      </c>
    </row>
    <row r="86" spans="2:3">
      <c r="B86" s="96">
        <v>45737</v>
      </c>
      <c r="C86" t="str">
        <f>LOOKUP(B86,Khmer_Lunar_Table)</f>
        <v>ថ្ងៃសុក្រ ៨រោច ខែផល្គុន ឆ្នាំរោង ឆស័ក ព.ស.២៥៦៨</v>
      </c>
    </row>
    <row r="87" spans="2:3">
      <c r="B87" s="96">
        <v>45738</v>
      </c>
      <c r="C87" t="str">
        <f>LOOKUP(B87,Khmer_Lunar_Table)</f>
        <v>ថ្ងៃសៅរ៍ ៩រោច ខែផល្គុន ឆ្នាំរោង ឆស័ក ព.ស.២៥៦៨</v>
      </c>
    </row>
    <row r="88" spans="2:3">
      <c r="B88" s="96">
        <v>45739</v>
      </c>
      <c r="C88" t="str">
        <f>LOOKUP(B88,Khmer_Lunar_Table)</f>
        <v>ថ្ងៃអាទិត្យ ១០រោច ខែផល្គុន ឆ្នាំរោង ឆស័ក ព.ស.២៥៦៨</v>
      </c>
    </row>
    <row r="89" spans="2:3">
      <c r="B89" s="96">
        <v>45740</v>
      </c>
      <c r="C89" t="str">
        <f>LOOKUP(B89,Khmer_Lunar_Table)</f>
        <v>ថ្ងៃចន្ទ ១១រោច ខែផល្គុន ឆ្នាំរោង ឆស័ក ព.ស.២៥៦៨</v>
      </c>
    </row>
    <row r="90" spans="2:3">
      <c r="B90" s="96">
        <v>45741</v>
      </c>
      <c r="C90" t="str">
        <f>LOOKUP(B90,Khmer_Lunar_Table)</f>
        <v>ថ្ងៃអង្គារ ១២រោច ខែផល្គុន ឆ្នាំរោង ឆស័ក ព.ស.២៥៦៨</v>
      </c>
    </row>
    <row r="91" spans="2:3">
      <c r="B91" s="96">
        <v>45742</v>
      </c>
      <c r="C91" t="str">
        <f>LOOKUP(B91,Khmer_Lunar_Table)</f>
        <v>ថ្ងៃពុធ ១៣រោច ខែផល្គុន ឆ្នាំរោង ឆស័ក ព.ស.២៥៦៨</v>
      </c>
    </row>
    <row r="92" spans="2:3">
      <c r="B92" s="96">
        <v>45743</v>
      </c>
      <c r="C92" t="str">
        <f>LOOKUP(B92,Khmer_Lunar_Table)</f>
        <v>ថ្ងៃព្រហស្បតិ៍ ១៤រោច ខែផល្គុន ឆ្នាំរោង ឆស័ក ព.ស.២៥៦៨</v>
      </c>
    </row>
    <row r="93" spans="2:3">
      <c r="B93" s="96">
        <v>45744</v>
      </c>
      <c r="C93" t="str">
        <f>LOOKUP(B93,Khmer_Lunar_Table)</f>
        <v>ថ្ងៃសុក្រ ១៥រោច ខែផល្គុន ឆ្នាំរោង ឆស័ក ព.ស.២៥៦៨</v>
      </c>
    </row>
    <row r="94" spans="2:3">
      <c r="B94" s="96">
        <v>45745</v>
      </c>
      <c r="C94" t="str">
        <f>LOOKUP(B94,Khmer_Lunar_Table)</f>
        <v>ថ្ងៃសៅរ៍ ១កើត ខែចេត្រ ឆ្នាំរោង ឆស័ក ព.ស.២៥៦៨</v>
      </c>
    </row>
    <row r="95" spans="2:3">
      <c r="B95" s="96">
        <v>45746</v>
      </c>
      <c r="C95" t="str">
        <f>LOOKUP(B95,Khmer_Lunar_Table)</f>
        <v>ថ្ងៃអាទិត្យ ២កើត ខែចេត្រ ឆ្នាំរោង ឆស័ក ព.ស.២៥៦៨</v>
      </c>
    </row>
    <row r="96" spans="2:3">
      <c r="B96" s="96">
        <v>45747</v>
      </c>
      <c r="C96" t="str">
        <f>LOOKUP(B96,Khmer_Lunar_Table)</f>
        <v>ថ្ងៃចន្ទ ៣កើត ខែចេត្រ ឆ្នាំរោង ឆស័ក ព.ស.២៥៦៨</v>
      </c>
    </row>
    <row r="97" spans="2:3">
      <c r="B97" s="96">
        <v>45748</v>
      </c>
      <c r="C97" t="str">
        <f>LOOKUP(B97,Khmer_Lunar_Table)</f>
        <v>ថ្ងៃអង្គារ ៤កើត ខែចេត្រ ឆ្នាំរោង ឆស័ក ព.ស.២៥៦៨</v>
      </c>
    </row>
    <row r="98" spans="2:3">
      <c r="B98" s="96">
        <v>45749</v>
      </c>
      <c r="C98" t="str">
        <f>LOOKUP(B98,Khmer_Lunar_Table)</f>
        <v>ថ្ងៃពុធ ៥កើត ខែចេត្រ ឆ្នាំរោង ឆស័ក ព.ស.២៥៦៨</v>
      </c>
    </row>
    <row r="99" spans="2:3">
      <c r="B99" s="96">
        <v>45750</v>
      </c>
      <c r="C99" t="str">
        <f>LOOKUP(B99,Khmer_Lunar_Table)</f>
        <v>ថ្ងៃព្រហស្បតិ៍ ៦កើត ខែចេត្រ ឆ្នាំរោង ឆស័ក ព.ស.២៥៦៨</v>
      </c>
    </row>
    <row r="100" spans="2:3">
      <c r="B100" s="96">
        <v>45751</v>
      </c>
      <c r="C100" t="str">
        <f>LOOKUP(B100,Khmer_Lunar_Table)</f>
        <v>ថ្ងៃសុក្រ ៧កើត ខែចេត្រ ឆ្នាំរោង ឆស័ក ព.ស.២៥៦៨</v>
      </c>
    </row>
    <row r="101" spans="2:3">
      <c r="B101" s="96">
        <v>45752</v>
      </c>
      <c r="C101" t="str">
        <f>LOOKUP(B101,Khmer_Lunar_Table)</f>
        <v>ថ្ងៃសៅរ៍ ៨កើត ខែចេត្រ ឆ្នាំរោង ឆស័ក ព.ស.២៥៦៨</v>
      </c>
    </row>
    <row r="102" spans="2:3">
      <c r="B102" s="96">
        <v>45753</v>
      </c>
      <c r="C102" t="str">
        <f>LOOKUP(B102,Khmer_Lunar_Table)</f>
        <v>ថ្ងៃអាទិត្យ ៩កើត ខែចេត្រ ឆ្នាំរោង ឆស័ក ព.ស.២៥៦៨</v>
      </c>
    </row>
    <row r="103" spans="2:3">
      <c r="B103" s="96">
        <v>45754</v>
      </c>
      <c r="C103" t="str">
        <f>LOOKUP(B103,Khmer_Lunar_Table)</f>
        <v>ថ្ងៃចន្ទ ១០កើត ខែចេត្រ ឆ្នាំរោង ឆស័ក ព.ស.២៥៦៨</v>
      </c>
    </row>
    <row r="104" spans="2:3">
      <c r="B104" s="96">
        <v>45755</v>
      </c>
      <c r="C104" t="str">
        <f>LOOKUP(B104,Khmer_Lunar_Table)</f>
        <v>ថ្ងៃអង្គារ ១១កើត ខែចេត្រ ឆ្នាំរោង ឆស័ក ព.ស.២៥៦៨</v>
      </c>
    </row>
    <row r="105" spans="2:3">
      <c r="B105" s="96">
        <v>45756</v>
      </c>
      <c r="C105" t="str">
        <f>LOOKUP(B105,Khmer_Lunar_Table)</f>
        <v>ថ្ងៃពុធ ១២កើត ខែចេត្រ ឆ្នាំរោង ឆស័ក ព.ស.២៥៦៨</v>
      </c>
    </row>
    <row r="106" spans="2:3">
      <c r="B106" s="96">
        <v>45757</v>
      </c>
      <c r="C106" t="str">
        <f>LOOKUP(B106,Khmer_Lunar_Table)</f>
        <v>ថ្ងៃព្រហស្បតិ៍ ១៣កើត ខែចេត្រ ឆ្នាំរោង ឆស័ក ព.ស.២៥៦៨</v>
      </c>
    </row>
    <row r="107" spans="2:3">
      <c r="B107" s="96">
        <v>45758</v>
      </c>
      <c r="C107" t="str">
        <f>LOOKUP(B107,Khmer_Lunar_Table)</f>
        <v>ថ្ងៃសុក្រ ១៤កើត ខែចេត្រ ឆ្នាំរោង ឆស័ក ព.ស.២៥៦៨</v>
      </c>
    </row>
    <row r="108" spans="2:3">
      <c r="B108" s="96">
        <v>45759</v>
      </c>
      <c r="C108" t="str">
        <f>LOOKUP(B108,Khmer_Lunar_Table)</f>
        <v>ថ្ងៃសៅរ៍ ១៥កើត ខែចេត្រ ឆ្នាំរោង ឆស័ក ព.ស.២៥៦៨</v>
      </c>
    </row>
    <row r="109" spans="2:3">
      <c r="B109" s="96">
        <v>45760</v>
      </c>
      <c r="C109" t="str">
        <f>LOOKUP(B109,Khmer_Lunar_Table)</f>
        <v>ថ្ងៃអាទិត្យ ១រោច ខែចេត្រ ឆ្នាំរោង ឆស័ក ព.ស.២៥៦៨</v>
      </c>
    </row>
    <row r="110" spans="2:3">
      <c r="B110" s="96">
        <v>45761</v>
      </c>
      <c r="C110" t="str">
        <f>LOOKUP(B110,Khmer_Lunar_Table)</f>
        <v>ថ្ងៃចន្ទ ២រោច ខែចេត្រ ឆ្នាំម្សាញ់ សប្តស័ក ព.ស.២៥៦៨</v>
      </c>
    </row>
    <row r="111" spans="2:3">
      <c r="B111" s="96">
        <v>45762</v>
      </c>
      <c r="C111" t="str">
        <f>LOOKUP(B111,Khmer_Lunar_Table)</f>
        <v>ថ្ងៃអង្គារ ៣រោច ខែចេត្រ ឆ្នាំម្សាញ់ សប្តស័ក ព.ស.២៥៦៨</v>
      </c>
    </row>
    <row r="112" spans="2:3">
      <c r="B112" s="96">
        <v>45763</v>
      </c>
      <c r="C112" t="str">
        <f>LOOKUP(B112,Khmer_Lunar_Table)</f>
        <v>ថ្ងៃពុធ ៤រោច ខែចេត្រ ឆ្នាំម្សាញ់ សប្តស័ក ព.ស.២៥៦៨</v>
      </c>
    </row>
    <row r="113" spans="2:3">
      <c r="B113" s="96">
        <v>45764</v>
      </c>
      <c r="C113" t="str">
        <f>LOOKUP(B113,Khmer_Lunar_Table)</f>
        <v>ថ្ងៃព្រហស្បតិ៍ ៥រោច ខែចេត្រ ឆ្នាំម្សាញ់ សប្តស័ក ព.ស.២៥៦៨</v>
      </c>
    </row>
    <row r="114" spans="2:3">
      <c r="B114" s="96">
        <v>45765</v>
      </c>
      <c r="C114" t="str">
        <f>LOOKUP(B114,Khmer_Lunar_Table)</f>
        <v>ថ្ងៃសុក្រ ៦រោច ខែចេត្រ ឆ្នាំម្សាញ់ សប្តស័ក ព.ស.២៥៦៨</v>
      </c>
    </row>
    <row r="115" spans="2:3">
      <c r="B115" s="96">
        <v>45766</v>
      </c>
      <c r="C115" t="str">
        <f>LOOKUP(B115,Khmer_Lunar_Table)</f>
        <v>ថ្ងៃសៅរ៍ ៧រោច ខែចេត្រ ឆ្នាំម្សាញ់ សប្តស័ក ព.ស.២៥៦៨</v>
      </c>
    </row>
    <row r="116" spans="2:3">
      <c r="B116" s="96">
        <v>45767</v>
      </c>
      <c r="C116" t="str">
        <f>LOOKUP(B116,Khmer_Lunar_Table)</f>
        <v>ថ្ងៃអាទិត្យ ៨រោច ខែចេត្រ ឆ្នាំម្សាញ់ សប្តស័ក ព.ស.២៥៦៨</v>
      </c>
    </row>
    <row r="117" spans="2:3">
      <c r="B117" s="96">
        <v>45768</v>
      </c>
      <c r="C117" t="str">
        <f>LOOKUP(B117,Khmer_Lunar_Table)</f>
        <v>ថ្ងៃចន្ទ ៩រោច ខែចេត្រ ឆ្នាំម្សាញ់ សប្តស័ក ព.ស.២៥៦៨</v>
      </c>
    </row>
    <row r="118" spans="2:3">
      <c r="B118" s="96">
        <v>45769</v>
      </c>
      <c r="C118" t="str">
        <f>LOOKUP(B118,Khmer_Lunar_Table)</f>
        <v>ថ្ងៃអង្គារ ១០រោច ខែចេត្រ ឆ្នាំម្សាញ់ សប្តស័ក ព.ស.២៥៦៨</v>
      </c>
    </row>
    <row r="119" spans="2:3">
      <c r="B119" s="96">
        <v>45770</v>
      </c>
      <c r="C119" t="str">
        <f>LOOKUP(B119,Khmer_Lunar_Table)</f>
        <v>ថ្ងៃពុធ ១១រោច ខែចេត្រ ឆ្នាំម្សាញ់ សប្តស័ក ព.ស.២៥៦៨</v>
      </c>
    </row>
    <row r="120" spans="2:3">
      <c r="B120" s="96">
        <v>45771</v>
      </c>
      <c r="C120" t="str">
        <f>LOOKUP(B120,Khmer_Lunar_Table)</f>
        <v>ថ្ងៃព្រហស្បតិ៍ ១២រោច ខែចេត្រ ឆ្នាំម្សាញ់ សប្តស័ក ព.ស.២៥៦៨</v>
      </c>
    </row>
    <row r="121" spans="2:3">
      <c r="B121" s="96">
        <v>45772</v>
      </c>
      <c r="C121" t="str">
        <f>LOOKUP(B121,Khmer_Lunar_Table)</f>
        <v>ថ្ងៃសុក្រ ១៣រោច ខែចេត្រ ឆ្នាំម្សាញ់ សប្តស័ក ព.ស.២៥៦៨</v>
      </c>
    </row>
    <row r="122" spans="2:3">
      <c r="B122" s="96">
        <v>45773</v>
      </c>
      <c r="C122" t="str">
        <f>LOOKUP(B122,Khmer_Lunar_Table)</f>
        <v>ថ្ងៃសៅរ៍ ១៤រោច ខែចេត្រ ឆ្នាំម្សាញ់ សប្តស័ក ព.ស.២៥៦៨</v>
      </c>
    </row>
    <row r="123" spans="2:3">
      <c r="B123" s="96">
        <v>45774</v>
      </c>
      <c r="C123" t="str">
        <f>LOOKUP(B123,Khmer_Lunar_Table)</f>
        <v>ថ្ងៃអាទិត្យ ១កើត ខែពិសាខ ឆ្នាំម្សាញ់ សប្តស័ក ព.ស.២៥៦៨</v>
      </c>
    </row>
    <row r="124" spans="2:3">
      <c r="B124" s="96">
        <v>45775</v>
      </c>
      <c r="C124" t="str">
        <f>LOOKUP(B124,Khmer_Lunar_Table)</f>
        <v>ថ្ងៃចន្ទ ២កើត ខែពិសាខ ឆ្នាំម្សាញ់ សប្តស័ក ព.ស.២៥៦៨</v>
      </c>
    </row>
    <row r="125" spans="2:3">
      <c r="B125" s="96">
        <v>45776</v>
      </c>
      <c r="C125" t="str">
        <f>LOOKUP(B125,Khmer_Lunar_Table)</f>
        <v>ថ្ងៃអង្គារ ៣កើត ខែពិសាខ ឆ្នាំម្សាញ់ សប្តស័ក ព.ស.២៥៦៨</v>
      </c>
    </row>
    <row r="126" spans="2:3">
      <c r="B126" s="96">
        <v>45777</v>
      </c>
      <c r="C126" t="str">
        <f>LOOKUP(B126,Khmer_Lunar_Table)</f>
        <v>ថ្ងៃពុធ ៤កើត ខែពិសាខ ឆ្នាំម្សាញ់ សប្តស័ក ព.ស.២៥៦៨</v>
      </c>
    </row>
    <row r="127" spans="2:3">
      <c r="B127" s="96">
        <v>45778</v>
      </c>
      <c r="C127" t="str">
        <f>LOOKUP(B127,Khmer_Lunar_Table)</f>
        <v>ថ្ងៃព្រហស្បតិ៍ ៥កើត ខែពិសាខ ឆ្នាំម្សាញ់ សប្តស័ក ព.ស.២៥៦៨</v>
      </c>
    </row>
    <row r="128" spans="2:3">
      <c r="B128" s="96">
        <v>45779</v>
      </c>
      <c r="C128" t="str">
        <f>LOOKUP(B128,Khmer_Lunar_Table)</f>
        <v>ថ្ងៃសុក្រ ៦កើត ខែពិសាខ ឆ្នាំម្សាញ់ សប្តស័ក ព.ស.២៥៦៨</v>
      </c>
    </row>
    <row r="129" spans="2:3">
      <c r="B129" s="96">
        <v>45780</v>
      </c>
      <c r="C129" t="str">
        <f>LOOKUP(B129,Khmer_Lunar_Table)</f>
        <v>ថ្ងៃសៅរ៍ ៧កើត ខែពិសាខ ឆ្នាំម្សាញ់ សប្តស័ក ព.ស.២៥៦៨</v>
      </c>
    </row>
    <row r="130" spans="2:3">
      <c r="B130" s="96">
        <v>45781</v>
      </c>
      <c r="C130" t="str">
        <f>LOOKUP(B130,Khmer_Lunar_Table)</f>
        <v>ថ្ងៃអាទិត្យ ៨កើត ខែពិសាខ ឆ្នាំម្សាញ់ សប្តស័ក ព.ស.២៥៦៨</v>
      </c>
    </row>
    <row r="131" spans="2:3">
      <c r="B131" s="96">
        <v>45782</v>
      </c>
      <c r="C131" t="str">
        <f>LOOKUP(B131,Khmer_Lunar_Table)</f>
        <v>ថ្ងៃចន្ទ ៩កើត ខែពិសាខ ឆ្នាំម្សាញ់ សប្តស័ក ព.ស.២៥៦៨</v>
      </c>
    </row>
    <row r="132" spans="2:3">
      <c r="B132" s="96">
        <v>45783</v>
      </c>
      <c r="C132" t="str">
        <f>LOOKUP(B132,Khmer_Lunar_Table)</f>
        <v>ថ្ងៃអង្គារ ១០កើត ខែពិសាខ ឆ្នាំម្សាញ់ សប្តស័ក ព.ស.២៥៦៨</v>
      </c>
    </row>
    <row r="133" spans="2:3">
      <c r="B133" s="96">
        <v>45784</v>
      </c>
      <c r="C133" t="str">
        <f>LOOKUP(B133,Khmer_Lunar_Table)</f>
        <v>ថ្ងៃពុធ ១១កើត ខែពិសាខ ឆ្នាំម្សាញ់ សប្តស័ក ព.ស.២៥៦៨</v>
      </c>
    </row>
    <row r="134" spans="2:3">
      <c r="B134" s="96">
        <v>45785</v>
      </c>
      <c r="C134" t="str">
        <f>LOOKUP(B134,Khmer_Lunar_Table)</f>
        <v>ថ្ងៃព្រហស្បតិ៍ ១២កើត ខែពិសាខ ឆ្នាំម្សាញ់ សប្តស័ក ព.ស.២៥៦៨</v>
      </c>
    </row>
    <row r="135" spans="2:3">
      <c r="B135" s="96">
        <v>45786</v>
      </c>
      <c r="C135" t="str">
        <f>LOOKUP(B135,Khmer_Lunar_Table)</f>
        <v>ថ្ងៃសុក្រ ១៣កើត ខែពិសាខ ឆ្នាំម្សាញ់ សប្តស័ក ព.ស.២៥៦៨</v>
      </c>
    </row>
    <row r="136" spans="2:3">
      <c r="B136" s="96">
        <v>45787</v>
      </c>
      <c r="C136" t="str">
        <f>LOOKUP(B136,Khmer_Lunar_Table)</f>
        <v>ថ្ងៃសៅរ៍ ១៤កើត ខែពិសាខ ឆ្នាំម្សាញ់ សប្តស័ក ព.ស.២៥៦៨</v>
      </c>
    </row>
    <row r="137" spans="2:3">
      <c r="B137" s="96">
        <v>45788</v>
      </c>
      <c r="C137" t="str">
        <f>LOOKUP(B137,Khmer_Lunar_Table)</f>
        <v>ថ្ងៃអាទិត្យ ១៥កើត ខែពិសាខ ឆ្នាំម្សាញ់ សប្តស័ក ព.ស.២៥៦៨</v>
      </c>
    </row>
    <row r="138" spans="2:3">
      <c r="B138" s="96">
        <v>45789</v>
      </c>
      <c r="C138" t="str">
        <f>LOOKUP(B138,Khmer_Lunar_Table)</f>
        <v>ថ្ងៃចន្ទ ១រោច ខែពិសាខ ឆ្នាំម្សាញ់ សប្តស័ក ព.ស.២៥៦៩</v>
      </c>
    </row>
    <row r="139" spans="2:3">
      <c r="B139" s="96">
        <v>45790</v>
      </c>
      <c r="C139" t="str">
        <f>LOOKUP(B139,Khmer_Lunar_Table)</f>
        <v>ថ្ងៃអង្គារ ២រោច ខែពិសាខ ឆ្នាំម្សាញ់ សប្តស័ក ព.ស.២៥៦៩</v>
      </c>
    </row>
    <row r="140" spans="2:3">
      <c r="B140" s="96">
        <v>45791</v>
      </c>
      <c r="C140" t="str">
        <f>LOOKUP(B140,Khmer_Lunar_Table)</f>
        <v>ថ្ងៃពុធ ៣រោច ខែពិសាខ ឆ្នាំម្សាញ់ សប្តស័ក ព.ស.២៥៦៩</v>
      </c>
    </row>
    <row r="141" spans="2:3">
      <c r="B141" s="96">
        <v>45792</v>
      </c>
      <c r="C141" t="str">
        <f>LOOKUP(B141,Khmer_Lunar_Table)</f>
        <v>ថ្ងៃព្រហស្បតិ៍ ៤រោច ខែពិសាខ ឆ្នាំម្សាញ់ សប្តស័ក ព.ស.២៥៦៩</v>
      </c>
    </row>
    <row r="142" spans="2:3">
      <c r="B142" s="96">
        <v>45793</v>
      </c>
      <c r="C142" t="str">
        <f>LOOKUP(B142,Khmer_Lunar_Table)</f>
        <v>ថ្ងៃសុក្រ ៥រោច ខែពិសាខ ឆ្នាំម្សាញ់ សប្តស័ក ព.ស.២៥៦៩</v>
      </c>
    </row>
    <row r="143" spans="2:3">
      <c r="B143" s="96">
        <v>45794</v>
      </c>
      <c r="C143" t="str">
        <f>LOOKUP(B143,Khmer_Lunar_Table)</f>
        <v>ថ្ងៃសៅរ៍ ៦រោច ខែពិសាខ ឆ្នាំម្សាញ់ សប្តស័ក ព.ស.២៥៦៩</v>
      </c>
    </row>
    <row r="144" spans="2:3">
      <c r="B144" s="96">
        <v>45795</v>
      </c>
      <c r="C144" t="str">
        <f>LOOKUP(B144,Khmer_Lunar_Table)</f>
        <v>ថ្ងៃអាទិត្យ ៧រោច ខែពិសាខ ឆ្នាំម្សាញ់ សប្តស័ក ព.ស.២៥៦៩</v>
      </c>
    </row>
    <row r="145" spans="2:3">
      <c r="B145" s="96">
        <v>45796</v>
      </c>
      <c r="C145" t="str">
        <f>LOOKUP(B145,Khmer_Lunar_Table)</f>
        <v>ថ្ងៃចន្ទ ៨រោច ខែពិសាខ ឆ្នាំម្សាញ់ សប្តស័ក ព.ស.២៥៦៩</v>
      </c>
    </row>
    <row r="146" spans="2:3">
      <c r="B146" s="96">
        <v>45797</v>
      </c>
      <c r="C146" t="str">
        <f>LOOKUP(B146,Khmer_Lunar_Table)</f>
        <v>ថ្ងៃអង្គារ ៩រោច ខែពិសាខ ឆ្នាំម្សាញ់ សប្តស័ក ព.ស.២៥៦៩</v>
      </c>
    </row>
    <row r="147" spans="2:3">
      <c r="B147" s="96">
        <v>45798</v>
      </c>
      <c r="C147" t="str">
        <f>LOOKUP(B147,Khmer_Lunar_Table)</f>
        <v>ថ្ងៃពុធ ១០រោច ខែពិសាខ ឆ្នាំម្សាញ់ សប្តស័ក ព.ស.២៥៦៩</v>
      </c>
    </row>
    <row r="148" spans="2:3">
      <c r="B148" s="96">
        <v>45799</v>
      </c>
      <c r="C148" t="str">
        <f>LOOKUP(B148,Khmer_Lunar_Table)</f>
        <v>ថ្ងៃព្រហស្បតិ៍ ១១រោច ខែពិសាខ ឆ្នាំម្សាញ់ សប្តស័ក ព.ស.២៥៦៩</v>
      </c>
    </row>
    <row r="149" spans="2:3">
      <c r="B149" s="96">
        <v>45800</v>
      </c>
      <c r="C149" t="str">
        <f>LOOKUP(B149,Khmer_Lunar_Table)</f>
        <v>ថ្ងៃសុក្រ ១២រោច ខែពិសាខ ឆ្នាំម្សាញ់ សប្តស័ក ព.ស.២៥៦៩</v>
      </c>
    </row>
    <row r="150" spans="2:3">
      <c r="B150" s="96">
        <v>45801</v>
      </c>
      <c r="C150" t="str">
        <f>LOOKUP(B150,Khmer_Lunar_Table)</f>
        <v>ថ្ងៃសៅរ៍ ១៣រោច ខែពិសាខ ឆ្នាំម្សាញ់ សប្តស័ក ព.ស.២៥៦៩</v>
      </c>
    </row>
    <row r="151" spans="2:3">
      <c r="B151" s="96">
        <v>45802</v>
      </c>
      <c r="C151" t="str">
        <f>LOOKUP(B151,Khmer_Lunar_Table)</f>
        <v>ថ្ងៃអាទិត្យ ១៤រោច ខែពិសាខ ឆ្នាំម្សាញ់ សប្តស័ក ព.ស.២៥៦៩</v>
      </c>
    </row>
    <row r="152" spans="2:3">
      <c r="B152" s="96">
        <v>45803</v>
      </c>
      <c r="C152" t="str">
        <f>LOOKUP(B152,Khmer_Lunar_Table)</f>
        <v>ថ្ងៃចន្ទ ១៥រោច ខែពិសាខ ឆ្នាំម្សាញ់ សប្តស័ក ព.ស.២៥៦៩</v>
      </c>
    </row>
    <row r="153" spans="2:3">
      <c r="B153" s="96">
        <v>45804</v>
      </c>
      <c r="C153" t="str">
        <f>LOOKUP(B153,Khmer_Lunar_Table)</f>
        <v>ថ្ងៃអង្គារ ១កើត ខែជេស្ឋ ឆ្នាំម្សាញ់ សប្តស័ក ព.ស.២៥៦៩</v>
      </c>
    </row>
    <row r="154" spans="2:3">
      <c r="B154" s="96">
        <v>45805</v>
      </c>
      <c r="C154" t="str">
        <f>LOOKUP(B154,Khmer_Lunar_Table)</f>
        <v>ថ្ងៃពុធ ២កើត ខែជេស្ឋ ឆ្នាំម្សាញ់ សប្តស័ក ព.ស.២៥៦៩</v>
      </c>
    </row>
    <row r="155" spans="2:3">
      <c r="B155" s="96">
        <v>45806</v>
      </c>
      <c r="C155" t="str">
        <f>LOOKUP(B155,Khmer_Lunar_Table)</f>
        <v>ថ្ងៃព្រហស្បតិ៍ ៣កើត ខែជេស្ឋ ឆ្នាំម្សាញ់ សប្តស័ក ព.ស.២៥៦៩</v>
      </c>
    </row>
    <row r="156" spans="2:3">
      <c r="B156" s="96">
        <v>45807</v>
      </c>
      <c r="C156" t="str">
        <f>LOOKUP(B156,Khmer_Lunar_Table)</f>
        <v>ថ្ងៃសុក្រ ៤កើត ខែជេស្ឋ ឆ្នាំម្សាញ់ សប្តស័ក ព.ស.២៥៦៩</v>
      </c>
    </row>
    <row r="157" spans="2:3">
      <c r="B157" s="96">
        <v>45808</v>
      </c>
      <c r="C157" t="str">
        <f>LOOKUP(B157,Khmer_Lunar_Table)</f>
        <v>ថ្ងៃសៅរ៍ ៥កើត ខែជេស្ឋ ឆ្នាំម្សាញ់ សប្តស័ក ព.ស.២៥៦៩</v>
      </c>
    </row>
    <row r="158" spans="2:3">
      <c r="B158" s="96">
        <v>45809</v>
      </c>
      <c r="C158" t="str">
        <f>LOOKUP(B158,Khmer_Lunar_Table)</f>
        <v>ថ្ងៃអាទិត្យ ៦កើត ខែជេស្ឋ ឆ្នាំម្សាញ់ សប្តស័ក ព.ស.២៥៦៩</v>
      </c>
    </row>
    <row r="159" spans="2:3">
      <c r="B159" s="96">
        <v>45810</v>
      </c>
      <c r="C159" t="str">
        <f>LOOKUP(B159,Khmer_Lunar_Table)</f>
        <v>ថ្ងៃចន្ទ ៧កើត ខែជេស្ឋ ឆ្នាំម្សាញ់ សប្តស័ក ព.ស.២៥៦៩</v>
      </c>
    </row>
    <row r="160" spans="2:3">
      <c r="B160" s="96">
        <v>45811</v>
      </c>
      <c r="C160" t="str">
        <f>LOOKUP(B160,Khmer_Lunar_Table)</f>
        <v>ថ្ងៃអង្គារ ៨កើត ខែជេស្ឋ ឆ្នាំម្សាញ់ សប្តស័ក ព.ស.២៥៦៩</v>
      </c>
    </row>
    <row r="161" spans="2:3">
      <c r="B161" s="96">
        <v>45812</v>
      </c>
      <c r="C161" t="str">
        <f>LOOKUP(B161,Khmer_Lunar_Table)</f>
        <v>ថ្ងៃពុធ ៩កើត ខែជេស្ឋ ឆ្នាំម្សាញ់ សប្តស័ក ព.ស.២៥៦៩</v>
      </c>
    </row>
    <row r="162" spans="2:3">
      <c r="B162" s="96">
        <v>45813</v>
      </c>
      <c r="C162" t="str">
        <f>LOOKUP(B162,Khmer_Lunar_Table)</f>
        <v>ថ្ងៃព្រហស្បតិ៍ ១០កើត ខែជេស្ឋ ឆ្នាំម្សាញ់ សប្តស័ក ព.ស.២៥៦៩</v>
      </c>
    </row>
    <row r="163" spans="2:3">
      <c r="B163" s="96">
        <v>45814</v>
      </c>
      <c r="C163" t="str">
        <f>LOOKUP(B163,Khmer_Lunar_Table)</f>
        <v>ថ្ងៃសុក្រ ១១កើត ខែជេស្ឋ ឆ្នាំម្សាញ់ សប្តស័ក ព.ស.២៥៦៩</v>
      </c>
    </row>
    <row r="164" spans="2:3">
      <c r="B164" s="96">
        <v>45815</v>
      </c>
      <c r="C164" t="str">
        <f>LOOKUP(B164,Khmer_Lunar_Table)</f>
        <v>ថ្ងៃសៅរ៍ ១២កើត ខែជេស្ឋ ឆ្នាំម្សាញ់ សប្តស័ក ព.ស.២៥៦៩</v>
      </c>
    </row>
    <row r="165" spans="2:3">
      <c r="B165" s="96">
        <v>45816</v>
      </c>
      <c r="C165" t="str">
        <f>LOOKUP(B165,Khmer_Lunar_Table)</f>
        <v>ថ្ងៃអាទិត្យ ១៣កើត ខែជេស្ឋ ឆ្នាំម្សាញ់ សប្តស័ក ព.ស.២៥៦៩</v>
      </c>
    </row>
    <row r="166" spans="2:3">
      <c r="B166" s="96">
        <v>45817</v>
      </c>
      <c r="C166" t="str">
        <f>LOOKUP(B166,Khmer_Lunar_Table)</f>
        <v>ថ្ងៃចន្ទ ១៤កើត ខែជេស្ឋ ឆ្នាំម្សាញ់ សប្តស័ក ព.ស.២៥៦៩</v>
      </c>
    </row>
    <row r="167" spans="2:3">
      <c r="B167" s="96">
        <v>45818</v>
      </c>
      <c r="C167" t="str">
        <f>LOOKUP(B167,Khmer_Lunar_Table)</f>
        <v>ថ្ងៃអង្គារ ១៥កើត ខែជេស្ឋ ឆ្នាំម្សាញ់ សប្តស័ក ព.ស.២៥៦៩</v>
      </c>
    </row>
    <row r="168" spans="2:3">
      <c r="B168" s="96">
        <v>45819</v>
      </c>
      <c r="C168" t="str">
        <f>LOOKUP(B168,Khmer_Lunar_Table)</f>
        <v>ថ្ងៃពុធ ១រោច ខែជេស្ឋ ឆ្នាំម្សាញ់ សប្តស័ក ព.ស.២៥៦៩</v>
      </c>
    </row>
    <row r="169" spans="2:3">
      <c r="B169" s="96">
        <v>45820</v>
      </c>
      <c r="C169" t="str">
        <f>LOOKUP(B169,Khmer_Lunar_Table)</f>
        <v>ថ្ងៃព្រហស្បតិ៍ ២រោច ខែជេស្ឋ ឆ្នាំម្សាញ់ សប្តស័ក ព.ស.២៥៦៩</v>
      </c>
    </row>
    <row r="170" spans="2:3">
      <c r="B170" s="96">
        <v>45821</v>
      </c>
      <c r="C170" t="str">
        <f>LOOKUP(B170,Khmer_Lunar_Table)</f>
        <v>ថ្ងៃសុក្រ ៣រោច ខែជេស្ឋ ឆ្នាំម្សាញ់ សប្តស័ក ព.ស.២៥៦៩</v>
      </c>
    </row>
    <row r="171" spans="2:3">
      <c r="B171" s="96">
        <v>45822</v>
      </c>
      <c r="C171" t="str">
        <f>LOOKUP(B171,Khmer_Lunar_Table)</f>
        <v>ថ្ងៃសៅរ៍ ៤រោច ខែជេស្ឋ ឆ្នាំម្សាញ់ សប្តស័ក ព.ស.២៥៦៩</v>
      </c>
    </row>
    <row r="172" spans="2:3">
      <c r="B172" s="96">
        <v>45823</v>
      </c>
      <c r="C172" t="str">
        <f>LOOKUP(B172,Khmer_Lunar_Table)</f>
        <v>ថ្ងៃអាទិត្យ ៥រោច ខែជេស្ឋ ឆ្នាំម្សាញ់ សប្តស័ក ព.ស.២៥៦៩</v>
      </c>
    </row>
    <row r="173" spans="2:3">
      <c r="B173" s="96">
        <v>45824</v>
      </c>
      <c r="C173" t="str">
        <f>LOOKUP(B173,Khmer_Lunar_Table)</f>
        <v>ថ្ងៃចន្ទ ៦រោច ខែជេស្ឋ ឆ្នាំម្សាញ់ សប្តស័ក ព.ស.២៥៦៩</v>
      </c>
    </row>
    <row r="174" spans="2:3">
      <c r="B174" s="96">
        <v>45825</v>
      </c>
      <c r="C174" t="str">
        <f>LOOKUP(B174,Khmer_Lunar_Table)</f>
        <v>ថ្ងៃអង្គារ ៧រោច ខែជេស្ឋ ឆ្នាំម្សាញ់ សប្តស័ក ព.ស.២៥៦៩</v>
      </c>
    </row>
    <row r="175" spans="2:3">
      <c r="B175" s="96">
        <v>45826</v>
      </c>
      <c r="C175" t="str">
        <f>LOOKUP(B175,Khmer_Lunar_Table)</f>
        <v>ថ្ងៃពុធ ៨រោច ខែជេស្ឋ ឆ្នាំម្សាញ់ សប្តស័ក ព.ស.២៥៦៩</v>
      </c>
    </row>
    <row r="176" spans="2:3">
      <c r="B176" s="96">
        <v>45827</v>
      </c>
      <c r="C176" t="str">
        <f>LOOKUP(B176,Khmer_Lunar_Table)</f>
        <v>ថ្ងៃព្រហស្បតិ៍ ៩រោច ខែជេស្ឋ ឆ្នាំម្សាញ់ សប្តស័ក ព.ស.២៥៦៩</v>
      </c>
    </row>
    <row r="177" spans="2:3">
      <c r="B177" s="96">
        <v>45828</v>
      </c>
      <c r="C177" t="str">
        <f>LOOKUP(B177,Khmer_Lunar_Table)</f>
        <v>ថ្ងៃសុក្រ ១០រោច ខែជេស្ឋ ឆ្នាំម្សាញ់ សប្តស័ក ព.ស.២៥៦៩</v>
      </c>
    </row>
    <row r="178" spans="2:3">
      <c r="B178" s="96">
        <v>45829</v>
      </c>
      <c r="C178" t="str">
        <f>LOOKUP(B178,Khmer_Lunar_Table)</f>
        <v>ថ្ងៃសៅរ៍ ១១រោច ខែជេស្ឋ ឆ្នាំម្សាញ់ សប្តស័ក ព.ស.២៥៦៩</v>
      </c>
    </row>
    <row r="179" spans="2:3">
      <c r="B179" s="96">
        <v>45830</v>
      </c>
      <c r="C179" t="str">
        <f>LOOKUP(B179,Khmer_Lunar_Table)</f>
        <v>ថ្ងៃអាទិត្យ ១២រោច ខែជេស្ឋ ឆ្នាំម្សាញ់ សប្តស័ក ព.ស.២៥៦៩</v>
      </c>
    </row>
    <row r="180" spans="2:3">
      <c r="B180" s="96">
        <v>45831</v>
      </c>
      <c r="C180" t="str">
        <f>LOOKUP(B180,Khmer_Lunar_Table)</f>
        <v>ថ្ងៃចន្ទ ១៣រោច ខែជេស្ឋ ឆ្នាំម្សាញ់ សប្តស័ក ព.ស.២៥៦៩</v>
      </c>
    </row>
    <row r="181" spans="2:3">
      <c r="B181" s="96">
        <v>45832</v>
      </c>
      <c r="C181" t="str">
        <f>LOOKUP(B181,Khmer_Lunar_Table)</f>
        <v>ថ្ងៃអង្គារ ១៤រោច ខែជេស្ឋ ឆ្នាំម្សាញ់ សប្តស័ក ព.ស.២៥៦៩</v>
      </c>
    </row>
    <row r="182" spans="2:3">
      <c r="B182" s="96">
        <v>45833</v>
      </c>
      <c r="C182" t="str">
        <f>LOOKUP(B182,Khmer_Lunar_Table)</f>
        <v>ថ្ងៃពុធ ១៥រោច ខែជេស្ឋ ឆ្នាំម្សាញ់ សប្តស័ក ព.ស.២៥៦៩</v>
      </c>
    </row>
    <row r="183" spans="2:3">
      <c r="B183" s="96">
        <v>45834</v>
      </c>
      <c r="C183" t="str">
        <f>LOOKUP(B183,Khmer_Lunar_Table)</f>
        <v>ថ្ងៃព្រហស្បតិ៍ ១កើត ខែអាសាឍ ឆ្នាំម្សាញ់ សប្តស័ក ព.ស.២៥៦៩</v>
      </c>
    </row>
    <row r="184" spans="2:3">
      <c r="B184" s="96">
        <v>45835</v>
      </c>
      <c r="C184" t="str">
        <f>LOOKUP(B184,Khmer_Lunar_Table)</f>
        <v>ថ្ងៃសុក្រ ២កើត ខែអាសាឍ ឆ្នាំម្សាញ់ សប្តស័ក ព.ស.២៥៦៩</v>
      </c>
    </row>
    <row r="185" spans="2:3">
      <c r="B185" s="96">
        <v>45836</v>
      </c>
      <c r="C185" t="str">
        <f>LOOKUP(B185,Khmer_Lunar_Table)</f>
        <v>ថ្ងៃសៅរ៍ ៣កើត ខែអាសាឍ ឆ្នាំម្សាញ់ សប្តស័ក ព.ស.២៥៦៩</v>
      </c>
    </row>
    <row r="186" spans="2:3">
      <c r="B186" s="96">
        <v>45837</v>
      </c>
      <c r="C186" t="str">
        <f>LOOKUP(B186,Khmer_Lunar_Table)</f>
        <v>ថ្ងៃអាទិត្យ ៤កើត ខែអាសាឍ ឆ្នាំម្សាញ់ សប្តស័ក ព.ស.២៥៦៩</v>
      </c>
    </row>
    <row r="187" spans="2:3">
      <c r="B187" s="96">
        <v>45838</v>
      </c>
      <c r="C187" t="str">
        <f>LOOKUP(B187,Khmer_Lunar_Table)</f>
        <v>ថ្ងៃចន្ទ ៥កើត ខែអាសាឍ ឆ្នាំម្សាញ់ សប្តស័ក ព.ស.២៥៦៩</v>
      </c>
    </row>
    <row r="188" spans="2:3">
      <c r="B188" s="96">
        <v>45839</v>
      </c>
      <c r="C188" t="str">
        <f>LOOKUP(B188,Khmer_Lunar_Table)</f>
        <v>ថ្ងៃអង្គារ ៦កើត ខែអាសាឍ ឆ្នាំម្សាញ់ សប្តស័ក ព.ស.២៥៦៩</v>
      </c>
    </row>
    <row r="189" spans="2:3">
      <c r="B189" s="96">
        <v>45840</v>
      </c>
      <c r="C189" t="str">
        <f>LOOKUP(B189,Khmer_Lunar_Table)</f>
        <v>ថ្ងៃពុធ ៧កើត ខែអាសាឍ ឆ្នាំម្សាញ់ សប្តស័ក ព.ស.២៥៦៩</v>
      </c>
    </row>
    <row r="190" spans="2:3">
      <c r="B190" s="96">
        <v>45841</v>
      </c>
      <c r="C190" t="str">
        <f>LOOKUP(B190,Khmer_Lunar_Table)</f>
        <v>ថ្ងៃព្រហស្បតិ៍ ៨កើត ខែអាសាឍ ឆ្នាំម្សាញ់ សប្តស័ក ព.ស.២៥៦៩</v>
      </c>
    </row>
    <row r="191" spans="2:3">
      <c r="B191" s="96">
        <v>45842</v>
      </c>
      <c r="C191" t="str">
        <f>LOOKUP(B191,Khmer_Lunar_Table)</f>
        <v>ថ្ងៃសុក្រ ៩កើត ខែអាសាឍ ឆ្នាំម្សាញ់ សប្តស័ក ព.ស.២៥៦៩</v>
      </c>
    </row>
    <row r="192" spans="2:3">
      <c r="B192" s="96">
        <v>45843</v>
      </c>
      <c r="C192" t="str">
        <f>LOOKUP(B192,Khmer_Lunar_Table)</f>
        <v>ថ្ងៃសៅរ៍ ១០កើត ខែអាសាឍ ឆ្នាំម្សាញ់ សប្តស័ក ព.ស.២៥៦៩</v>
      </c>
    </row>
    <row r="193" spans="2:3">
      <c r="B193" s="96">
        <v>45844</v>
      </c>
      <c r="C193" t="str">
        <f>LOOKUP(B193,Khmer_Lunar_Table)</f>
        <v>ថ្ងៃអាទិត្យ ១១កើត ខែអាសាឍ ឆ្នាំម្សាញ់ សប្តស័ក ព.ស.២៥៦៩</v>
      </c>
    </row>
    <row r="194" spans="2:3">
      <c r="B194" s="96">
        <v>45845</v>
      </c>
      <c r="C194" t="str">
        <f>LOOKUP(B194,Khmer_Lunar_Table)</f>
        <v>ថ្ងៃចន្ទ ១២កើត ខែអាសាឍ ឆ្នាំម្សាញ់ សប្តស័ក ព.ស.២៥៦៩</v>
      </c>
    </row>
    <row r="195" spans="2:3">
      <c r="B195" s="96">
        <v>45846</v>
      </c>
      <c r="C195" t="str">
        <f>LOOKUP(B195,Khmer_Lunar_Table)</f>
        <v>ថ្ងៃអង្គារ ១៣កើត ខែអាសាឍ ឆ្នាំម្សាញ់ សប្តស័ក ព.ស.២៥៦៩</v>
      </c>
    </row>
    <row r="196" spans="2:3">
      <c r="B196" s="96">
        <v>45847</v>
      </c>
      <c r="C196" t="str">
        <f>LOOKUP(B196,Khmer_Lunar_Table)</f>
        <v>ថ្ងៃពុធ ១៤កើត ខែអាសាឍ ឆ្នាំម្សាញ់ សប្តស័ក ព.ស.២៥៦៩</v>
      </c>
    </row>
    <row r="197" spans="2:3">
      <c r="B197" s="96">
        <v>45848</v>
      </c>
      <c r="C197" t="str">
        <f>LOOKUP(B197,Khmer_Lunar_Table)</f>
        <v>ថ្ងៃព្រហស្បតិ៍ ១៥កើត ខែអាសាឍ ឆ្នាំម្សាញ់ សប្តស័ក ព.ស.២៥៦៩</v>
      </c>
    </row>
    <row r="198" spans="2:3">
      <c r="B198" s="96">
        <v>45849</v>
      </c>
      <c r="C198" t="str">
        <f>LOOKUP(B198,Khmer_Lunar_Table)</f>
        <v>ថ្ងៃសុក្រ ១រោច ខែអាសាឍ ឆ្នាំម្សាញ់ សប្តស័ក ព.ស.២៥៦៩</v>
      </c>
    </row>
    <row r="199" spans="2:3">
      <c r="B199" s="96">
        <v>45850</v>
      </c>
      <c r="C199" t="str">
        <f>LOOKUP(B199,Khmer_Lunar_Table)</f>
        <v>ថ្ងៃសៅរ៍ ២រោច ខែអាសាឍ ឆ្នាំម្សាញ់ សប្តស័ក ព.ស.២៥៦៩</v>
      </c>
    </row>
    <row r="200" spans="2:3">
      <c r="B200" s="96">
        <v>45851</v>
      </c>
      <c r="C200" t="str">
        <f>LOOKUP(B200,Khmer_Lunar_Table)</f>
        <v>ថ្ងៃអាទិត្យ ៣រោច ខែអាសាឍ ឆ្នាំម្សាញ់ សប្តស័ក ព.ស.២៥៦៩</v>
      </c>
    </row>
    <row r="201" spans="2:3">
      <c r="B201" s="96">
        <v>45852</v>
      </c>
      <c r="C201" t="str">
        <f>LOOKUP(B201,Khmer_Lunar_Table)</f>
        <v>ថ្ងៃចន្ទ ៤រោច ខែអាសាឍ ឆ្នាំម្សាញ់ សប្តស័ក ព.ស.២៥៦៩</v>
      </c>
    </row>
    <row r="202" spans="2:3">
      <c r="B202" s="96">
        <v>45853</v>
      </c>
      <c r="C202" t="str">
        <f>LOOKUP(B202,Khmer_Lunar_Table)</f>
        <v>ថ្ងៃអង្គារ ៥រោច ខែអាសាឍ ឆ្នាំម្សាញ់ សប្តស័ក ព.ស.២៥៦៩</v>
      </c>
    </row>
    <row r="203" spans="2:3">
      <c r="B203" s="96">
        <v>45854</v>
      </c>
      <c r="C203" t="str">
        <f>LOOKUP(B203,Khmer_Lunar_Table)</f>
        <v>ថ្ងៃពុធ ៦រោច ខែអាសាឍ ឆ្នាំម្សាញ់ សប្តស័ក ព.ស.២៥៦៩</v>
      </c>
    </row>
    <row r="204" spans="2:3">
      <c r="B204" s="96">
        <v>45855</v>
      </c>
      <c r="C204" t="str">
        <f>LOOKUP(B204,Khmer_Lunar_Table)</f>
        <v>ថ្ងៃព្រហស្បតិ៍ ៧រោច ខែអាសាឍ ឆ្នាំម្សាញ់ សប្តស័ក ព.ស.២៥៦៩</v>
      </c>
    </row>
    <row r="205" spans="2:3">
      <c r="B205" s="96">
        <v>45856</v>
      </c>
      <c r="C205" t="str">
        <f>LOOKUP(B205,Khmer_Lunar_Table)</f>
        <v>ថ្ងៃសុក្រ ៨រោច ខែអាសាឍ ឆ្នាំម្សាញ់ សប្តស័ក ព.ស.២៥៦៩</v>
      </c>
    </row>
    <row r="206" spans="2:3">
      <c r="B206" s="96">
        <v>45857</v>
      </c>
      <c r="C206" t="str">
        <f>LOOKUP(B206,Khmer_Lunar_Table)</f>
        <v>ថ្ងៃសៅរ៍ ៩រោច ខែអាសាឍ ឆ្នាំម្សាញ់ សប្តស័ក ព.ស.២៥៦៩</v>
      </c>
    </row>
    <row r="207" spans="2:3">
      <c r="B207" s="96">
        <v>45858</v>
      </c>
      <c r="C207" t="str">
        <f>LOOKUP(B207,Khmer_Lunar_Table)</f>
        <v>ថ្ងៃអាទិត្យ ១០រោច ខែអាសាឍ ឆ្នាំម្សាញ់ សប្តស័ក ព.ស.២៥៦៩</v>
      </c>
    </row>
    <row r="208" spans="2:3">
      <c r="B208" s="96">
        <v>45859</v>
      </c>
      <c r="C208" t="str">
        <f>LOOKUP(B208,Khmer_Lunar_Table)</f>
        <v>ថ្ងៃចន្ទ ១១រោច ខែអាសាឍ ឆ្នាំម្សាញ់ សប្តស័ក ព.ស.២៥៦៩</v>
      </c>
    </row>
    <row r="209" spans="2:3">
      <c r="B209" s="96">
        <v>45860</v>
      </c>
      <c r="C209" t="str">
        <f>LOOKUP(B209,Khmer_Lunar_Table)</f>
        <v>ថ្ងៃអង្គារ ១២រោច ខែអាសាឍ ឆ្នាំម្សាញ់ សប្តស័ក ព.ស.២៥៦៩</v>
      </c>
    </row>
    <row r="210" spans="2:3">
      <c r="B210" s="96">
        <v>45861</v>
      </c>
      <c r="C210" t="str">
        <f>LOOKUP(B210,Khmer_Lunar_Table)</f>
        <v>ថ្ងៃពុធ ១៣រោច ខែអាសាឍ ឆ្នាំម្សាញ់ សប្តស័ក ព.ស.២៥៦៩</v>
      </c>
    </row>
    <row r="211" spans="2:3">
      <c r="B211" s="96">
        <v>45862</v>
      </c>
      <c r="C211" t="str">
        <f>LOOKUP(B211,Khmer_Lunar_Table)</f>
        <v>ថ្ងៃព្រហស្បតិ៍ ១៤រោច ខែអាសាឍ ឆ្នាំម្សាញ់ សប្តស័ក ព.ស.២៥៦៩</v>
      </c>
    </row>
    <row r="212" spans="2:3">
      <c r="B212" s="96">
        <v>45863</v>
      </c>
      <c r="C212" t="str">
        <f>LOOKUP(B212,Khmer_Lunar_Table)</f>
        <v>ថ្ងៃសុក្រ ១៥រោច ខែអាសាឍ ឆ្នាំម្សាញ់ សប្តស័ក ព.ស.២៥៦៩</v>
      </c>
    </row>
    <row r="213" spans="2:3">
      <c r="B213" s="96">
        <v>45864</v>
      </c>
      <c r="C213" t="str">
        <f>LOOKUP(B213,Khmer_Lunar_Table)</f>
        <v>ថ្ងៃសៅរ៍ ១កើត ខែស្រាពណ៍ ឆ្នាំម្សាញ់ សប្តស័ក ព.ស.២៥៦៩</v>
      </c>
    </row>
    <row r="214" spans="2:3">
      <c r="B214" s="96">
        <v>45865</v>
      </c>
      <c r="C214" t="str">
        <f>LOOKUP(B214,Khmer_Lunar_Table)</f>
        <v>ថ្ងៃអាទិត្យ ២កើត ខែស្រាពណ៍ ឆ្នាំម្សាញ់ សប្តស័ក ព.ស.២៥៦៩</v>
      </c>
    </row>
    <row r="215" spans="2:3">
      <c r="B215" s="96">
        <v>45866</v>
      </c>
      <c r="C215" t="str">
        <f>LOOKUP(B215,Khmer_Lunar_Table)</f>
        <v>ថ្ងៃចន្ទ ៣កើត ខែស្រាពណ៍ ឆ្នាំម្សាញ់ សប្តស័ក ព.ស.២៥៦៩</v>
      </c>
    </row>
    <row r="216" spans="2:3">
      <c r="B216" s="96">
        <v>45867</v>
      </c>
      <c r="C216" t="str">
        <f>LOOKUP(B216,Khmer_Lunar_Table)</f>
        <v>ថ្ងៃអង្គារ ៤កើត ខែស្រាពណ៍ ឆ្នាំម្សាញ់ សប្តស័ក ព.ស.២៥៦៩</v>
      </c>
    </row>
    <row r="217" spans="2:3">
      <c r="B217" s="96">
        <v>45868</v>
      </c>
      <c r="C217" t="str">
        <f>LOOKUP(B217,Khmer_Lunar_Table)</f>
        <v>ថ្ងៃពុធ ៥កើត ខែស្រាពណ៍ ឆ្នាំម្សាញ់ សប្តស័ក ព.ស.២៥៦៩</v>
      </c>
    </row>
    <row r="218" spans="2:3">
      <c r="B218" s="96">
        <v>45869</v>
      </c>
      <c r="C218" t="str">
        <f>LOOKUP(B218,Khmer_Lunar_Table)</f>
        <v>ថ្ងៃព្រហស្បតិ៍ ៦កើត ខែស្រាពណ៍ ឆ្នាំម្សាញ់ សប្តស័ក ព.ស.២៥៦៩</v>
      </c>
    </row>
    <row r="219" spans="2:3">
      <c r="B219" s="96">
        <v>45870</v>
      </c>
      <c r="C219" t="str">
        <f>LOOKUP(B219,Khmer_Lunar_Table)</f>
        <v>ថ្ងៃសុក្រ ៧កើត ខែស្រាពណ៍ ឆ្នាំម្សាញ់ សប្តស័ក ព.ស.២៥៦៩</v>
      </c>
    </row>
    <row r="220" spans="2:3">
      <c r="B220" s="96">
        <v>45871</v>
      </c>
      <c r="C220" t="str">
        <f>LOOKUP(B220,Khmer_Lunar_Table)</f>
        <v>ថ្ងៃសៅរ៍ ៨កើត ខែស្រាពណ៍ ឆ្នាំម្សាញ់ សប្តស័ក ព.ស.២៥៦៩</v>
      </c>
    </row>
    <row r="221" spans="2:3">
      <c r="B221" s="96">
        <v>45872</v>
      </c>
      <c r="C221" t="str">
        <f>LOOKUP(B221,Khmer_Lunar_Table)</f>
        <v>ថ្ងៃអាទិត្យ ៩កើត ខែស្រាពណ៍ ឆ្នាំម្សាញ់ សប្តស័ក ព.ស.២៥៦៩</v>
      </c>
    </row>
    <row r="222" spans="2:3">
      <c r="B222" s="96">
        <v>45873</v>
      </c>
      <c r="C222" t="str">
        <f>LOOKUP(B222,Khmer_Lunar_Table)</f>
        <v>ថ្ងៃចន្ទ ១០កើត ខែស្រាពណ៍ ឆ្នាំម្សាញ់ សប្តស័ក ព.ស.២៥៦៩</v>
      </c>
    </row>
    <row r="223" spans="2:3">
      <c r="B223" s="96">
        <v>45874</v>
      </c>
      <c r="C223" t="str">
        <f>LOOKUP(B223,Khmer_Lunar_Table)</f>
        <v>ថ្ងៃអង្គារ ១១កើត ខែស្រាពណ៍ ឆ្នាំម្សាញ់ សប្តស័ក ព.ស.២៥៦៩</v>
      </c>
    </row>
    <row r="224" spans="2:3">
      <c r="B224" s="96">
        <v>45875</v>
      </c>
      <c r="C224" t="str">
        <f>LOOKUP(B224,Khmer_Lunar_Table)</f>
        <v>ថ្ងៃពុធ ១២កើត ខែស្រាពណ៍ ឆ្នាំម្សាញ់ សប្តស័ក ព.ស.២៥៦៩</v>
      </c>
    </row>
    <row r="225" spans="2:3">
      <c r="B225" s="96">
        <v>45876</v>
      </c>
      <c r="C225" t="str">
        <f>LOOKUP(B225,Khmer_Lunar_Table)</f>
        <v>ថ្ងៃព្រហស្បតិ៍ ១៣កើត ខែស្រាពណ៍ ឆ្នាំម្សាញ់ សប្តស័ក ព.ស.២៥៦៩</v>
      </c>
    </row>
    <row r="226" spans="2:3">
      <c r="B226" s="96">
        <v>45877</v>
      </c>
      <c r="C226" t="str">
        <f>LOOKUP(B226,Khmer_Lunar_Table)</f>
        <v>ថ្ងៃសុក្រ ១៤កើត ខែស្រាពណ៍ ឆ្នាំម្សាញ់ សប្តស័ក ព.ស.២៥៦៩</v>
      </c>
    </row>
    <row r="227" spans="2:3">
      <c r="B227" s="96">
        <v>45878</v>
      </c>
      <c r="C227" t="str">
        <f>LOOKUP(B227,Khmer_Lunar_Table)</f>
        <v>ថ្ងៃសៅរ៍ ១៥កើត ខែស្រាពណ៍ ឆ្នាំម្សាញ់ សប្តស័ក ព.ស.២៥៦៩</v>
      </c>
    </row>
    <row r="228" spans="2:3">
      <c r="B228" s="96">
        <v>45879</v>
      </c>
      <c r="C228" t="str">
        <f>LOOKUP(B228,Khmer_Lunar_Table)</f>
        <v>ថ្ងៃអាទិត្យ ១រោច ខែស្រាពណ៍ ឆ្នាំម្សាញ់ សប្តស័ក ព.ស.២៥៦៩</v>
      </c>
    </row>
    <row r="229" spans="2:3">
      <c r="B229" s="96">
        <v>45880</v>
      </c>
      <c r="C229" t="str">
        <f>LOOKUP(B229,Khmer_Lunar_Table)</f>
        <v>ថ្ងៃចន្ទ ២រោច ខែស្រាពណ៍ ឆ្នាំម្សាញ់ សប្តស័ក ព.ស.២៥៦៩</v>
      </c>
    </row>
    <row r="230" spans="2:3">
      <c r="B230" s="96">
        <v>45881</v>
      </c>
      <c r="C230" t="str">
        <f>LOOKUP(B230,Khmer_Lunar_Table)</f>
        <v>ថ្ងៃអង្គារ ៣រោច ខែស្រាពណ៍ ឆ្នាំម្សាញ់ សប្តស័ក ព.ស.២៥៦៩</v>
      </c>
    </row>
    <row r="231" spans="2:3">
      <c r="B231" s="96">
        <v>45882</v>
      </c>
      <c r="C231" t="str">
        <f>LOOKUP(B231,Khmer_Lunar_Table)</f>
        <v>ថ្ងៃពុធ ៤រោច ខែស្រាពណ៍ ឆ្នាំម្សាញ់ សប្តស័ក ព.ស.២៥៦៩</v>
      </c>
    </row>
    <row r="232" spans="2:3">
      <c r="B232" s="96">
        <v>45883</v>
      </c>
      <c r="C232" t="str">
        <f>LOOKUP(B232,Khmer_Lunar_Table)</f>
        <v>ថ្ងៃព្រហស្បតិ៍ ៥រោច ខែស្រាពណ៍ ឆ្នាំម្សាញ់ សប្តស័ក ព.ស.២៥៦៩</v>
      </c>
    </row>
    <row r="233" spans="2:3">
      <c r="B233" s="96">
        <v>45884</v>
      </c>
      <c r="C233" t="str">
        <f>LOOKUP(B233,Khmer_Lunar_Table)</f>
        <v>ថ្ងៃសុក្រ ៦រោច ខែស្រាពណ៍ ឆ្នាំម្សាញ់ សប្តស័ក ព.ស.២៥៦៩</v>
      </c>
    </row>
    <row r="234" spans="2:3">
      <c r="B234" s="96">
        <v>45885</v>
      </c>
      <c r="C234" t="str">
        <f>LOOKUP(B234,Khmer_Lunar_Table)</f>
        <v>ថ្ងៃសៅរ៍ ៧រោច ខែស្រាពណ៍ ឆ្នាំម្សាញ់ សប្តស័ក ព.ស.២៥៦៩</v>
      </c>
    </row>
    <row r="235" spans="2:3">
      <c r="B235" s="96">
        <v>45886</v>
      </c>
      <c r="C235" t="str">
        <f>LOOKUP(B235,Khmer_Lunar_Table)</f>
        <v>ថ្ងៃអាទិត្យ ៨រោច ខែស្រាពណ៍ ឆ្នាំម្សាញ់ សប្តស័ក ព.ស.២៥៦៩</v>
      </c>
    </row>
    <row r="236" spans="2:3">
      <c r="B236" s="96">
        <v>45887</v>
      </c>
      <c r="C236" t="str">
        <f>LOOKUP(B236,Khmer_Lunar_Table)</f>
        <v>ថ្ងៃចន្ទ ៩រោច ខែស្រាពណ៍ ឆ្នាំម្សាញ់ សប្តស័ក ព.ស.២៥៦៩</v>
      </c>
    </row>
    <row r="237" spans="2:3">
      <c r="B237" s="96">
        <v>45888</v>
      </c>
      <c r="C237" t="str">
        <f>LOOKUP(B237,Khmer_Lunar_Table)</f>
        <v>ថ្ងៃអង្គារ ១០រោច ខែស្រាពណ៍ ឆ្នាំម្សាញ់ សប្តស័ក ព.ស.២៥៦៩</v>
      </c>
    </row>
    <row r="238" spans="2:3">
      <c r="B238" s="96">
        <v>45889</v>
      </c>
      <c r="C238" t="str">
        <f>LOOKUP(B238,Khmer_Lunar_Table)</f>
        <v>ថ្ងៃពុធ ១១រោច ខែស្រាពណ៍ ឆ្នាំម្សាញ់ សប្តស័ក ព.ស.២៥៦៩</v>
      </c>
    </row>
    <row r="239" spans="2:3">
      <c r="B239" s="96">
        <v>45890</v>
      </c>
      <c r="C239" t="str">
        <f>LOOKUP(B239,Khmer_Lunar_Table)</f>
        <v>ថ្ងៃព្រហស្បតិ៍ ១២រោច ខែស្រាពណ៍ ឆ្នាំម្សាញ់ សប្តស័ក ព.ស.២៥៦៩</v>
      </c>
    </row>
    <row r="240" spans="2:3">
      <c r="B240" s="96">
        <v>45891</v>
      </c>
      <c r="C240" t="str">
        <f>LOOKUP(B240,Khmer_Lunar_Table)</f>
        <v>ថ្ងៃសុក្រ ១៣រោច ខែស្រាពណ៍ ឆ្នាំម្សាញ់ សប្តស័ក ព.ស.២៥៦៩</v>
      </c>
    </row>
    <row r="241" spans="2:3">
      <c r="B241" s="96">
        <v>45892</v>
      </c>
      <c r="C241" t="str">
        <f>LOOKUP(B241,Khmer_Lunar_Table)</f>
        <v>ថ្ងៃសៅរ៍ ១៤រោច ខែស្រាពណ៍ ឆ្នាំម្សាញ់ សប្តស័ក ព.ស.២៥៦៩</v>
      </c>
    </row>
    <row r="242" spans="2:3">
      <c r="B242" s="96">
        <v>45893</v>
      </c>
      <c r="C242" t="str">
        <f>LOOKUP(B242,Khmer_Lunar_Table)</f>
        <v>ថ្ងៃអាទិត្យ ១កើត ខែភទ្របទ ឆ្នាំម្សាញ់ សប្តស័ក ព.ស.២៥៦៩</v>
      </c>
    </row>
    <row r="243" spans="2:3">
      <c r="B243" s="96">
        <v>45894</v>
      </c>
      <c r="C243" t="str">
        <f>LOOKUP(B243,Khmer_Lunar_Table)</f>
        <v>ថ្ងៃចន្ទ ២កើត ខែភទ្របទ ឆ្នាំម្សាញ់ សប្តស័ក ព.ស.២៥៦៩</v>
      </c>
    </row>
    <row r="244" spans="2:3">
      <c r="B244" s="96">
        <v>45895</v>
      </c>
      <c r="C244" t="str">
        <f>LOOKUP(B244,Khmer_Lunar_Table)</f>
        <v>ថ្ងៃអង្គារ ៣កើត ខែភទ្របទ ឆ្នាំម្សាញ់ សប្តស័ក ព.ស.២៥៦៩</v>
      </c>
    </row>
    <row r="245" spans="2:3">
      <c r="B245" s="96">
        <v>45896</v>
      </c>
      <c r="C245" t="str">
        <f>LOOKUP(B245,Khmer_Lunar_Table)</f>
        <v>ថ្ងៃពុធ ៤កើត ខែភទ្របទ ឆ្នាំម្សាញ់ សប្តស័ក ព.ស.២៥៦៩</v>
      </c>
    </row>
    <row r="246" spans="2:3">
      <c r="B246" s="96">
        <v>45897</v>
      </c>
      <c r="C246" t="str">
        <f>LOOKUP(B246,Khmer_Lunar_Table)</f>
        <v>ថ្ងៃព្រហស្បតិ៍ ៥កើត ខែភទ្របទ ឆ្នាំម្សាញ់ សប្តស័ក ព.ស.២៥៦៩</v>
      </c>
    </row>
    <row r="247" spans="2:3">
      <c r="B247" s="96">
        <v>45898</v>
      </c>
      <c r="C247" t="str">
        <f>LOOKUP(B247,Khmer_Lunar_Table)</f>
        <v>ថ្ងៃសុក្រ ៦កើត ខែភទ្របទ ឆ្នាំម្សាញ់ សប្តស័ក ព.ស.២៥៦៩</v>
      </c>
    </row>
    <row r="248" spans="2:3">
      <c r="B248" s="96">
        <v>45899</v>
      </c>
      <c r="C248" t="str">
        <f>LOOKUP(B248,Khmer_Lunar_Table)</f>
        <v>ថ្ងៃសៅរ៍ ៧កើត ខែភទ្របទ ឆ្នាំម្សាញ់ សប្តស័ក ព.ស.២៥៦៩</v>
      </c>
    </row>
    <row r="249" spans="2:3">
      <c r="B249" s="96">
        <v>45900</v>
      </c>
      <c r="C249" t="str">
        <f>LOOKUP(B249,Khmer_Lunar_Table)</f>
        <v>ថ្ងៃអាទិត្យ ៨កើត ខែភទ្របទ ឆ្នាំម្សាញ់ សប្តស័ក ព.ស.២៥៦៩</v>
      </c>
    </row>
    <row r="250" spans="2:3">
      <c r="B250" s="96">
        <v>45901</v>
      </c>
      <c r="C250" t="str">
        <f>LOOKUP(B250,Khmer_Lunar_Table)</f>
        <v>ថ្ងៃចន្ទ ៩កើត ខែភទ្របទ ឆ្នាំម្សាញ់ សប្តស័ក ព.ស.២៥៦៩</v>
      </c>
    </row>
    <row r="251" spans="2:3">
      <c r="B251" s="96">
        <v>45902</v>
      </c>
      <c r="C251" t="str">
        <f>LOOKUP(B251,Khmer_Lunar_Table)</f>
        <v>ថ្ងៃអង្គារ ១០កើត ខែភទ្របទ ឆ្នាំម្សាញ់ សប្តស័ក ព.ស.២៥៦៩</v>
      </c>
    </row>
    <row r="252" spans="2:3">
      <c r="B252" s="96">
        <v>45903</v>
      </c>
      <c r="C252" t="str">
        <f>LOOKUP(B252,Khmer_Lunar_Table)</f>
        <v>ថ្ងៃពុធ ១១កើត ខែភទ្របទ ឆ្នាំម្សាញ់ សប្តស័ក ព.ស.២៥៦៩</v>
      </c>
    </row>
    <row r="253" spans="2:3">
      <c r="B253" s="96">
        <v>45904</v>
      </c>
      <c r="C253" t="str">
        <f>LOOKUP(B253,Khmer_Lunar_Table)</f>
        <v>ថ្ងៃព្រហស្បតិ៍ ១២កើត ខែភទ្របទ ឆ្នាំម្សាញ់ សប្តស័ក ព.ស.២៥៦៩</v>
      </c>
    </row>
    <row r="254" spans="2:3">
      <c r="B254" s="96">
        <v>45905</v>
      </c>
      <c r="C254" t="str">
        <f>LOOKUP(B254,Khmer_Lunar_Table)</f>
        <v>ថ្ងៃសុក្រ ១៣កើត ខែភទ្របទ ឆ្នាំម្សាញ់ សប្តស័ក ព.ស.២៥៦៩</v>
      </c>
    </row>
    <row r="255" spans="2:3">
      <c r="B255" s="96">
        <v>45906</v>
      </c>
      <c r="C255" t="str">
        <f>LOOKUP(B255,Khmer_Lunar_Table)</f>
        <v>ថ្ងៃសៅរ៍ ១៤កើត ខែភទ្របទ ឆ្នាំម្សាញ់ សប្តស័ក ព.ស.២៥៦៩</v>
      </c>
    </row>
    <row r="256" spans="2:3">
      <c r="B256" s="96">
        <v>45907</v>
      </c>
      <c r="C256" t="str">
        <f>LOOKUP(B256,Khmer_Lunar_Table)</f>
        <v>ថ្ងៃអាទិត្យ ១៥កើត ខែភទ្របទ ឆ្នាំម្សាញ់ សប្តស័ក ព.ស.២៥៦៩</v>
      </c>
    </row>
    <row r="257" spans="2:3">
      <c r="B257" s="96">
        <v>45908</v>
      </c>
      <c r="C257" t="str">
        <f>LOOKUP(B257,Khmer_Lunar_Table)</f>
        <v>ថ្ងៃចន្ទ ១រោច ខែភទ្របទ ឆ្នាំម្សាញ់ សប្តស័ក ព.ស.២៥៦៩</v>
      </c>
    </row>
    <row r="258" spans="2:3">
      <c r="B258" s="96">
        <v>45909</v>
      </c>
      <c r="C258" t="str">
        <f>LOOKUP(B258,Khmer_Lunar_Table)</f>
        <v>ថ្ងៃអង្គារ ២រោច ខែភទ្របទ ឆ្នាំម្សាញ់ សប្តស័ក ព.ស.២៥៦៩</v>
      </c>
    </row>
    <row r="259" spans="2:3">
      <c r="B259" s="96">
        <v>45910</v>
      </c>
      <c r="C259" t="str">
        <f>LOOKUP(B259,Khmer_Lunar_Table)</f>
        <v>ថ្ងៃពុធ ៣រោច ខែភទ្របទ ឆ្នាំម្សាញ់ សប្តស័ក ព.ស.២៥៦៩</v>
      </c>
    </row>
    <row r="260" spans="2:3">
      <c r="B260" s="96">
        <v>45911</v>
      </c>
      <c r="C260" t="str">
        <f>LOOKUP(B260,Khmer_Lunar_Table)</f>
        <v>ថ្ងៃព្រហស្បតិ៍ ៤រោច ខែភទ្របទ ឆ្នាំម្សាញ់ សប្តស័ក ព.ស.២៥៦៩</v>
      </c>
    </row>
    <row r="261" spans="2:3">
      <c r="B261" s="96">
        <v>45912</v>
      </c>
      <c r="C261" t="str">
        <f>LOOKUP(B261,Khmer_Lunar_Table)</f>
        <v>ថ្ងៃសុក្រ ៥រោច ខែភទ្របទ ឆ្នាំម្សាញ់ សប្តស័ក ព.ស.២៥៦៩</v>
      </c>
    </row>
    <row r="262" spans="2:3">
      <c r="B262" s="96">
        <v>45913</v>
      </c>
      <c r="C262" t="str">
        <f>LOOKUP(B262,Khmer_Lunar_Table)</f>
        <v>ថ្ងៃសៅរ៍ ៦រោច ខែភទ្របទ ឆ្នាំម្សាញ់ សប្តស័ក ព.ស.២៥៦៩</v>
      </c>
    </row>
    <row r="263" spans="2:3">
      <c r="B263" s="96">
        <v>45914</v>
      </c>
      <c r="C263" t="str">
        <f>LOOKUP(B263,Khmer_Lunar_Table)</f>
        <v>ថ្ងៃអាទិត្យ ៧រោច ខែភទ្របទ ឆ្នាំម្សាញ់ សប្តស័ក ព.ស.២៥៦៩</v>
      </c>
    </row>
    <row r="264" spans="2:3">
      <c r="B264" s="96">
        <v>45915</v>
      </c>
      <c r="C264" t="str">
        <f>LOOKUP(B264,Khmer_Lunar_Table)</f>
        <v>ថ្ងៃចន្ទ ៨រោច ខែភទ្របទ ឆ្នាំម្សាញ់ សប្តស័ក ព.ស.២៥៦៩</v>
      </c>
    </row>
    <row r="265" spans="2:3">
      <c r="B265" s="96">
        <v>45916</v>
      </c>
      <c r="C265" t="str">
        <f>LOOKUP(B265,Khmer_Lunar_Table)</f>
        <v>ថ្ងៃអង្គារ ៩រោច ខែភទ្របទ ឆ្នាំម្សាញ់ សប្តស័ក ព.ស.២៥៦៩</v>
      </c>
    </row>
    <row r="266" spans="2:3">
      <c r="B266" s="96">
        <v>45917</v>
      </c>
      <c r="C266" t="str">
        <f>LOOKUP(B266,Khmer_Lunar_Table)</f>
        <v>ថ្ងៃពុធ ១០រោច ខែភទ្របទ ឆ្នាំម្សាញ់ សប្តស័ក ព.ស.២៥៦៩</v>
      </c>
    </row>
    <row r="267" spans="2:3">
      <c r="B267" s="96">
        <v>45918</v>
      </c>
      <c r="C267" t="str">
        <f>LOOKUP(B267,Khmer_Lunar_Table)</f>
        <v>ថ្ងៃព្រហស្បតិ៍ ១១រោច ខែភទ្របទ ឆ្នាំម្សាញ់ សប្តស័ក ព.ស.២៥៦៩</v>
      </c>
    </row>
    <row r="268" spans="2:3">
      <c r="B268" s="96">
        <v>45919</v>
      </c>
      <c r="C268" t="str">
        <f>LOOKUP(B268,Khmer_Lunar_Table)</f>
        <v>ថ្ងៃសុក្រ ១២រោច ខែភទ្របទ ឆ្នាំម្សាញ់ សប្តស័ក ព.ស.២៥៦៩</v>
      </c>
    </row>
    <row r="269" spans="2:3">
      <c r="B269" s="96">
        <v>45920</v>
      </c>
      <c r="C269" t="str">
        <f>LOOKUP(B269,Khmer_Lunar_Table)</f>
        <v>ថ្ងៃសៅរ៍ ១៣រោច ខែភទ្របទ ឆ្នាំម្សាញ់ សប្តស័ក ព.ស.២៥៦៩</v>
      </c>
    </row>
    <row r="270" spans="2:3">
      <c r="B270" s="96">
        <v>45921</v>
      </c>
      <c r="C270" t="str">
        <f>LOOKUP(B270,Khmer_Lunar_Table)</f>
        <v>ថ្ងៃអាទិត្យ ១៤រោច ខែភទ្របទ ឆ្នាំម្សាញ់ សប្តស័ក ព.ស.២៥៦៩</v>
      </c>
    </row>
    <row r="271" spans="2:3">
      <c r="B271" s="96">
        <v>45922</v>
      </c>
      <c r="C271" t="str">
        <f>LOOKUP(B271,Khmer_Lunar_Table)</f>
        <v>ថ្ងៃចន្ទ ១៥រោច ខែភទ្របទ ឆ្នាំម្សាញ់ សប្តស័ក ព.ស.២៥៦៩</v>
      </c>
    </row>
    <row r="272" spans="2:3">
      <c r="B272" s="96">
        <v>45923</v>
      </c>
      <c r="C272" t="str">
        <f>LOOKUP(B272,Khmer_Lunar_Table)</f>
        <v>ថ្ងៃអង្គារ ១កើត ខែអស្សុជ ឆ្នាំម្សាញ់ សប្តស័ក ព.ស.២៥៦៩</v>
      </c>
    </row>
    <row r="273" spans="2:3">
      <c r="B273" s="96">
        <v>45924</v>
      </c>
      <c r="C273" t="str">
        <f>LOOKUP(B273,Khmer_Lunar_Table)</f>
        <v>ថ្ងៃពុធ ២កើត ខែអស្សុជ ឆ្នាំម្សាញ់ សប្តស័ក ព.ស.២៥៦៩</v>
      </c>
    </row>
    <row r="274" spans="2:3">
      <c r="B274" s="96">
        <v>45925</v>
      </c>
      <c r="C274" t="str">
        <f>LOOKUP(B274,Khmer_Lunar_Table)</f>
        <v>ថ្ងៃព្រហស្បតិ៍ ៣កើត ខែអស្សុជ ឆ្នាំម្សាញ់ សប្តស័ក ព.ស.២៥៦៩</v>
      </c>
    </row>
    <row r="275" spans="2:3">
      <c r="B275" s="96">
        <v>45926</v>
      </c>
      <c r="C275" t="str">
        <f>LOOKUP(B275,Khmer_Lunar_Table)</f>
        <v>ថ្ងៃសុក្រ ៤កើត ខែអស្សុជ ឆ្នាំម្សាញ់ សប្តស័ក ព.ស.២៥៦៩</v>
      </c>
    </row>
    <row r="276" spans="2:3">
      <c r="B276" s="96">
        <v>45927</v>
      </c>
      <c r="C276" t="str">
        <f>LOOKUP(B276,Khmer_Lunar_Table)</f>
        <v>ថ្ងៃសៅរ៍ ៥កើត ខែអស្សុជ ឆ្នាំម្សាញ់ សប្តស័ក ព.ស.២៥៦៩</v>
      </c>
    </row>
    <row r="277" spans="2:3">
      <c r="B277" s="96">
        <v>45928</v>
      </c>
      <c r="C277" t="str">
        <f>LOOKUP(B277,Khmer_Lunar_Table)</f>
        <v>ថ្ងៃអាទិត្យ ៦កើត ខែអស្សុជ ឆ្នាំម្សាញ់ សប្តស័ក ព.ស.២៥៦៩</v>
      </c>
    </row>
    <row r="278" spans="2:3">
      <c r="B278" s="96">
        <v>45929</v>
      </c>
      <c r="C278" t="str">
        <f>LOOKUP(B278,Khmer_Lunar_Table)</f>
        <v>ថ្ងៃចន្ទ ៧កើត ខែអស្សុជ ឆ្នាំម្សាញ់ សប្តស័ក ព.ស.២៥៦៩</v>
      </c>
    </row>
    <row r="279" spans="2:3">
      <c r="B279" s="96">
        <v>45930</v>
      </c>
      <c r="C279" t="str">
        <f>LOOKUP(B279,Khmer_Lunar_Table)</f>
        <v>ថ្ងៃអង្គារ ៨កើត ខែអស្សុជ ឆ្នាំម្សាញ់ សប្តស័ក ព.ស.២៥៦៩</v>
      </c>
    </row>
    <row r="280" spans="2:3">
      <c r="B280" s="96">
        <v>45931</v>
      </c>
      <c r="C280" t="str">
        <f>LOOKUP(B280,Khmer_Lunar_Table)</f>
        <v>ថ្ងៃពុធ ៩កើត ខែអស្សុជ ឆ្នាំម្សាញ់ សប្តស័ក ព.ស.២៥៦៩</v>
      </c>
    </row>
    <row r="281" spans="2:3">
      <c r="B281" s="96">
        <v>45932</v>
      </c>
      <c r="C281" t="str">
        <f>LOOKUP(B281,Khmer_Lunar_Table)</f>
        <v>ថ្ងៃព្រហស្បតិ៍ ១០កើត ខែអស្សុជ ឆ្នាំម្សាញ់ សប្តស័ក ព.ស.២៥៦៩</v>
      </c>
    </row>
    <row r="282" spans="2:3">
      <c r="B282" s="96">
        <v>45933</v>
      </c>
      <c r="C282" t="str">
        <f>LOOKUP(B282,Khmer_Lunar_Table)</f>
        <v>ថ្ងៃសុក្រ ១១កើត ខែអស្សុជ ឆ្នាំម្សាញ់ សប្តស័ក ព.ស.២៥៦៩</v>
      </c>
    </row>
    <row r="283" spans="2:3">
      <c r="B283" s="96">
        <v>45934</v>
      </c>
      <c r="C283" t="str">
        <f>LOOKUP(B283,Khmer_Lunar_Table)</f>
        <v>ថ្ងៃសៅរ៍ ១២កើត ខែអស្សុជ ឆ្នាំម្សាញ់ សប្តស័ក ព.ស.២៥៦៩</v>
      </c>
    </row>
    <row r="284" spans="2:3">
      <c r="B284" s="96">
        <v>45935</v>
      </c>
      <c r="C284" t="str">
        <f>LOOKUP(B284,Khmer_Lunar_Table)</f>
        <v>ថ្ងៃអាទិត្យ ១៣កើត ខែអស្សុជ ឆ្នាំម្សាញ់ សប្តស័ក ព.ស.២៥៦៩</v>
      </c>
    </row>
    <row r="285" spans="2:3">
      <c r="B285" s="96">
        <v>45936</v>
      </c>
      <c r="C285" t="str">
        <f>LOOKUP(B285,Khmer_Lunar_Table)</f>
        <v>ថ្ងៃចន្ទ ១៤កើត ខែអស្សុជ ឆ្នាំម្សាញ់ សប្តស័ក ព.ស.២៥៦៩</v>
      </c>
    </row>
    <row r="286" spans="2:3">
      <c r="B286" s="96">
        <v>45937</v>
      </c>
      <c r="C286" t="str">
        <f>LOOKUP(B286,Khmer_Lunar_Table)</f>
        <v>ថ្ងៃអង្គារ ១៥កើត ខែអស្សុជ ឆ្នាំម្សាញ់ សប្តស័ក ព.ស.២៥៦៩</v>
      </c>
    </row>
    <row r="287" spans="2:3">
      <c r="B287" s="96">
        <v>45938</v>
      </c>
      <c r="C287" t="str">
        <f>LOOKUP(B287,Khmer_Lunar_Table)</f>
        <v>ថ្ងៃពុធ ១រោច ខែអស្សុជ ឆ្នាំម្សាញ់ សប្តស័ក ព.ស.២៥៦៩</v>
      </c>
    </row>
    <row r="288" spans="2:3">
      <c r="B288" s="96">
        <v>45939</v>
      </c>
      <c r="C288" t="str">
        <f>LOOKUP(B288,Khmer_Lunar_Table)</f>
        <v>ថ្ងៃព្រហស្បតិ៍ ២រោច ខែអស្សុជ ឆ្នាំម្សាញ់ សប្តស័ក ព.ស.២៥៦៩</v>
      </c>
    </row>
    <row r="289" spans="2:3">
      <c r="B289" s="96">
        <v>45940</v>
      </c>
      <c r="C289" t="str">
        <f>LOOKUP(B289,Khmer_Lunar_Table)</f>
        <v>ថ្ងៃសុក្រ ៣រោច ខែអស្សុជ ឆ្នាំម្សាញ់ សប្តស័ក ព.ស.២៥៦៩</v>
      </c>
    </row>
    <row r="290" spans="2:3">
      <c r="B290" s="96">
        <v>45941</v>
      </c>
      <c r="C290" t="str">
        <f>LOOKUP(B290,Khmer_Lunar_Table)</f>
        <v>ថ្ងៃសៅរ៍ ៤រោច ខែអស្សុជ ឆ្នាំម្សាញ់ សប្តស័ក ព.ស.២៥៦៩</v>
      </c>
    </row>
    <row r="291" spans="2:3">
      <c r="B291" s="96">
        <v>45942</v>
      </c>
      <c r="C291" t="str">
        <f>LOOKUP(B291,Khmer_Lunar_Table)</f>
        <v>ថ្ងៃអាទិត្យ ៥រោច ខែអស្សុជ ឆ្នាំម្សាញ់ សប្តស័ក ព.ស.២៥៦៩</v>
      </c>
    </row>
    <row r="292" spans="2:3">
      <c r="B292" s="96">
        <v>45943</v>
      </c>
      <c r="C292" t="str">
        <f>LOOKUP(B292,Khmer_Lunar_Table)</f>
        <v>ថ្ងៃចន្ទ ៦រោច ខែអស្សុជ ឆ្នាំម្សាញ់ សប្តស័ក ព.ស.២៥៦៩</v>
      </c>
    </row>
    <row r="293" spans="2:3">
      <c r="B293" s="96">
        <v>45944</v>
      </c>
      <c r="C293" t="str">
        <f>LOOKUP(B293,Khmer_Lunar_Table)</f>
        <v>ថ្ងៃអង្គារ ៧រោច ខែអស្សុជ ឆ្នាំម្សាញ់ សប្តស័ក ព.ស.២៥៦៩</v>
      </c>
    </row>
    <row r="294" spans="2:3">
      <c r="B294" s="96">
        <v>45945</v>
      </c>
      <c r="C294" t="str">
        <f>LOOKUP(B294,Khmer_Lunar_Table)</f>
        <v>ថ្ងៃពុធ ៨រោច ខែអស្សុជ ឆ្នាំម្សាញ់ សប្តស័ក ព.ស.២៥៦៩</v>
      </c>
    </row>
    <row r="295" spans="2:3">
      <c r="B295" s="96">
        <v>45946</v>
      </c>
      <c r="C295" t="str">
        <f>LOOKUP(B295,Khmer_Lunar_Table)</f>
        <v>ថ្ងៃព្រហស្បតិ៍ ៩រោច ខែអស្សុជ ឆ្នាំម្សាញ់ សប្តស័ក ព.ស.២៥៦៩</v>
      </c>
    </row>
    <row r="296" spans="2:3">
      <c r="B296" s="96">
        <v>45947</v>
      </c>
      <c r="C296" t="str">
        <f>LOOKUP(B296,Khmer_Lunar_Table)</f>
        <v>ថ្ងៃសុក្រ ១០រោច ខែអស្សុជ ឆ្នាំម្សាញ់ សប្តស័ក ព.ស.២៥៦៩</v>
      </c>
    </row>
    <row r="297" spans="2:3">
      <c r="B297" s="96">
        <v>45948</v>
      </c>
      <c r="C297" t="str">
        <f>LOOKUP(B297,Khmer_Lunar_Table)</f>
        <v>ថ្ងៃសៅរ៍ ១១រោច ខែអស្សុជ ឆ្នាំម្សាញ់ សប្តស័ក ព.ស.២៥៦៩</v>
      </c>
    </row>
    <row r="298" spans="2:3">
      <c r="B298" s="96">
        <v>45949</v>
      </c>
      <c r="C298" t="str">
        <f>LOOKUP(B298,Khmer_Lunar_Table)</f>
        <v>ថ្ងៃអាទិត្យ ១២រោច ខែអស្សុជ ឆ្នាំម្សាញ់ សប្តស័ក ព.ស.២៥៦៩</v>
      </c>
    </row>
    <row r="299" spans="2:3">
      <c r="B299" s="96">
        <v>45950</v>
      </c>
      <c r="C299" t="str">
        <f>LOOKUP(B299,Khmer_Lunar_Table)</f>
        <v>ថ្ងៃចន្ទ ១៣រោច ខែអស្សុជ ឆ្នាំម្សាញ់ សប្តស័ក ព.ស.២៥៦៩</v>
      </c>
    </row>
    <row r="300" spans="2:3">
      <c r="B300" s="96">
        <v>45951</v>
      </c>
      <c r="C300" t="str">
        <f>LOOKUP(B300,Khmer_Lunar_Table)</f>
        <v>ថ្ងៃអង្គារ ១៤រោច ខែអស្សុជ ឆ្នាំម្សាញ់ សប្តស័ក ព.ស.២៥៦៩</v>
      </c>
    </row>
    <row r="301" spans="2:3">
      <c r="B301" s="96">
        <v>45952</v>
      </c>
      <c r="C301" t="str">
        <f>LOOKUP(B301,Khmer_Lunar_Table)</f>
        <v>ថ្ងៃពុធ ១កើត ខែកត្តិក ឆ្នាំម្សាញ់ សប្តស័ក ព.ស.២៥៦៩</v>
      </c>
    </row>
    <row r="302" spans="2:3">
      <c r="B302" s="96">
        <v>45953</v>
      </c>
      <c r="C302" t="str">
        <f>LOOKUP(B302,Khmer_Lunar_Table)</f>
        <v>ថ្ងៃព្រហស្បតិ៍ ២កើត ខែកត្តិក ឆ្នាំម្សាញ់ សប្តស័ក ព.ស.២៥៦៩</v>
      </c>
    </row>
    <row r="303" spans="2:3">
      <c r="B303" s="96">
        <v>45954</v>
      </c>
      <c r="C303" t="str">
        <f>LOOKUP(B303,Khmer_Lunar_Table)</f>
        <v>ថ្ងៃសុក្រ ៣កើត ខែកត្តិក ឆ្នាំម្សាញ់ សប្តស័ក ព.ស.២៥៦៩</v>
      </c>
    </row>
    <row r="304" spans="2:3">
      <c r="B304" s="96">
        <v>45955</v>
      </c>
      <c r="C304" t="str">
        <f>LOOKUP(B304,Khmer_Lunar_Table)</f>
        <v>ថ្ងៃសៅរ៍ ៤កើត ខែកត្តិក ឆ្នាំម្សាញ់ សប្តស័ក ព.ស.២៥៦៩</v>
      </c>
    </row>
    <row r="305" spans="2:3">
      <c r="B305" s="96">
        <v>45956</v>
      </c>
      <c r="C305" t="str">
        <f>LOOKUP(B305,Khmer_Lunar_Table)</f>
        <v>ថ្ងៃអាទិត្យ ៥កើត ខែកត្តិក ឆ្នាំម្សាញ់ សប្តស័ក ព.ស.២៥៦៩</v>
      </c>
    </row>
    <row r="306" spans="2:3">
      <c r="B306" s="96">
        <v>45957</v>
      </c>
      <c r="C306" t="str">
        <f>LOOKUP(B306,Khmer_Lunar_Table)</f>
        <v>ថ្ងៃចន្ទ ៦កើត ខែកត្តិក ឆ្នាំម្សាញ់ សប្តស័ក ព.ស.២៥៦៩</v>
      </c>
    </row>
    <row r="307" spans="2:3">
      <c r="B307" s="96">
        <v>45958</v>
      </c>
      <c r="C307" t="str">
        <f>LOOKUP(B307,Khmer_Lunar_Table)</f>
        <v>ថ្ងៃអង្គារ ៧កើត ខែកត្តិក ឆ្នាំម្សាញ់ សប្តស័ក ព.ស.២៥៦៩</v>
      </c>
    </row>
    <row r="308" spans="2:3">
      <c r="B308" s="96">
        <v>45959</v>
      </c>
      <c r="C308" t="str">
        <f>LOOKUP(B308,Khmer_Lunar_Table)</f>
        <v>ថ្ងៃពុធ ៨កើត ខែកត្តិក ឆ្នាំម្សាញ់ សប្តស័ក ព.ស.២៥៦៩</v>
      </c>
    </row>
    <row r="309" spans="2:3">
      <c r="B309" s="96">
        <v>45960</v>
      </c>
      <c r="C309" t="str">
        <f>LOOKUP(B309,Khmer_Lunar_Table)</f>
        <v>ថ្ងៃព្រហស្បតិ៍ ៩កើត ខែកត្តិក ឆ្នាំម្សាញ់ សប្តស័ក ព.ស.២៥៦៩</v>
      </c>
    </row>
    <row r="310" spans="2:3">
      <c r="B310" s="96">
        <v>45961</v>
      </c>
      <c r="C310" t="str">
        <f>LOOKUP(B310,Khmer_Lunar_Table)</f>
        <v>ថ្ងៃសុក្រ ១០កើត ខែកត្តិក ឆ្នាំម្សាញ់ សប្តស័ក ព.ស.២៥៦៩</v>
      </c>
    </row>
    <row r="311" spans="2:3">
      <c r="B311" s="96">
        <v>45962</v>
      </c>
      <c r="C311" t="str">
        <f>LOOKUP(B311,Khmer_Lunar_Table)</f>
        <v>ថ្ងៃសៅរ៍ ១១កើត ខែកត្តិក ឆ្នាំម្សាញ់ សប្តស័ក ព.ស.២៥៦៩</v>
      </c>
    </row>
    <row r="312" spans="2:3">
      <c r="B312" s="96">
        <v>45963</v>
      </c>
      <c r="C312" t="str">
        <f>LOOKUP(B312,Khmer_Lunar_Table)</f>
        <v>ថ្ងៃអាទិត្យ ១២កើត ខែកត្តិក ឆ្នាំម្សាញ់ សប្តស័ក ព.ស.២៥៦៩</v>
      </c>
    </row>
    <row r="313" spans="2:3">
      <c r="B313" s="96">
        <v>45964</v>
      </c>
      <c r="C313" t="str">
        <f>LOOKUP(B313,Khmer_Lunar_Table)</f>
        <v>ថ្ងៃចន្ទ ១៣កើត ខែកត្តិក ឆ្នាំម្សាញ់ សប្តស័ក ព.ស.២៥៦៩</v>
      </c>
    </row>
    <row r="314" spans="2:3">
      <c r="B314" s="96">
        <v>45965</v>
      </c>
      <c r="C314" t="str">
        <f>LOOKUP(B314,Khmer_Lunar_Table)</f>
        <v>ថ្ងៃអង្គារ ១៤កើត ខែកត្តិក ឆ្នាំម្សាញ់ សប្តស័ក ព.ស.២៥៦៩</v>
      </c>
    </row>
    <row r="315" spans="2:3">
      <c r="B315" s="96">
        <v>45966</v>
      </c>
      <c r="C315" t="str">
        <f>LOOKUP(B315,Khmer_Lunar_Table)</f>
        <v>ថ្ងៃពុធ ១៥កើត ខែកត្តិក ឆ្នាំម្សាញ់ សប្តស័ក ព.ស.២៥៦៩</v>
      </c>
    </row>
    <row r="316" spans="2:3">
      <c r="B316" s="96">
        <v>45967</v>
      </c>
      <c r="C316" t="str">
        <f>LOOKUP(B316,Khmer_Lunar_Table)</f>
        <v>ថ្ងៃព្រហស្បតិ៍ ១រោច ខែកត្តិក ឆ្នាំម្សាញ់ សប្តស័ក ព.ស.២៥៦៩</v>
      </c>
    </row>
    <row r="317" spans="2:3">
      <c r="B317" s="96">
        <v>45968</v>
      </c>
      <c r="C317" t="str">
        <f>LOOKUP(B317,Khmer_Lunar_Table)</f>
        <v>ថ្ងៃសុក្រ ២រោច ខែកត្តិក ឆ្នាំម្សាញ់ សប្តស័ក ព.ស.២៥៦៩</v>
      </c>
    </row>
    <row r="318" spans="2:3">
      <c r="B318" s="96">
        <v>45969</v>
      </c>
      <c r="C318" t="str">
        <f>LOOKUP(B318,Khmer_Lunar_Table)</f>
        <v>ថ្ងៃសៅរ៍ ៣រោច ខែកត្តិក ឆ្នាំម្សាញ់ សប្តស័ក ព.ស.២៥៦៩</v>
      </c>
    </row>
    <row r="319" spans="2:3">
      <c r="B319" s="96">
        <v>45970</v>
      </c>
      <c r="C319" t="str">
        <f>LOOKUP(B319,Khmer_Lunar_Table)</f>
        <v>ថ្ងៃអាទិត្យ ៤រោច ខែកត្តិក ឆ្នាំម្សាញ់ សប្តស័ក ព.ស.២៥៦៩</v>
      </c>
    </row>
    <row r="320" spans="2:3">
      <c r="B320" s="96">
        <v>45971</v>
      </c>
      <c r="C320" t="str">
        <f>LOOKUP(B320,Khmer_Lunar_Table)</f>
        <v>ថ្ងៃចន្ទ ៥រោច ខែកត្តិក ឆ្នាំម្សាញ់ សប្តស័ក ព.ស.២៥៦៩</v>
      </c>
    </row>
    <row r="321" spans="2:3">
      <c r="B321" s="96">
        <v>45972</v>
      </c>
      <c r="C321" t="str">
        <f>LOOKUP(B321,Khmer_Lunar_Table)</f>
        <v>ថ្ងៃអង្គារ ៦រោច ខែកត្តិក ឆ្នាំម្សាញ់ សប្តស័ក ព.ស.២៥៦៩</v>
      </c>
    </row>
    <row r="322" spans="2:3">
      <c r="B322" s="96">
        <v>45973</v>
      </c>
      <c r="C322" t="str">
        <f>LOOKUP(B322,Khmer_Lunar_Table)</f>
        <v>ថ្ងៃពុធ ៧រោច ខែកត្តិក ឆ្នាំម្សាញ់ សប្តស័ក ព.ស.២៥៦៩</v>
      </c>
    </row>
    <row r="323" spans="2:3">
      <c r="B323" s="96">
        <v>45974</v>
      </c>
      <c r="C323" t="str">
        <f>LOOKUP(B323,Khmer_Lunar_Table)</f>
        <v>ថ្ងៃព្រហស្បតិ៍ ៨រោច ខែកត្តិក ឆ្នាំម្សាញ់ សប្តស័ក ព.ស.២៥៦៩</v>
      </c>
    </row>
    <row r="324" spans="2:3">
      <c r="B324" s="96">
        <v>45975</v>
      </c>
      <c r="C324" t="str">
        <f>LOOKUP(B324,Khmer_Lunar_Table)</f>
        <v>ថ្ងៃសុក្រ ៩រោច ខែកត្តិក ឆ្នាំម្សាញ់ សប្តស័ក ព.ស.២៥៦៩</v>
      </c>
    </row>
    <row r="325" spans="2:3">
      <c r="B325" s="96">
        <v>45976</v>
      </c>
      <c r="C325" t="str">
        <f>LOOKUP(B325,Khmer_Lunar_Table)</f>
        <v>ថ្ងៃសៅរ៍ ១០រោច ខែកត្តិក ឆ្នាំម្សាញ់ សប្តស័ក ព.ស.២៥៦៩</v>
      </c>
    </row>
    <row r="326" spans="2:3">
      <c r="B326" s="96">
        <v>45977</v>
      </c>
      <c r="C326" t="str">
        <f>LOOKUP(B326,Khmer_Lunar_Table)</f>
        <v>ថ្ងៃអាទិត្យ ១១រោច ខែកត្តិក ឆ្នាំម្សាញ់ សប្តស័ក ព.ស.២៥៦៩</v>
      </c>
    </row>
    <row r="327" spans="2:3">
      <c r="B327" s="96">
        <v>45978</v>
      </c>
      <c r="C327" t="str">
        <f>LOOKUP(B327,Khmer_Lunar_Table)</f>
        <v>ថ្ងៃចន្ទ ១២រោច ខែកត្តិក ឆ្នាំម្សាញ់ សប្តស័ក ព.ស.២៥៦៩</v>
      </c>
    </row>
    <row r="328" spans="2:3">
      <c r="B328" s="96">
        <v>45979</v>
      </c>
      <c r="C328" t="str">
        <f>LOOKUP(B328,Khmer_Lunar_Table)</f>
        <v>ថ្ងៃអង្គារ ១៣រោច ខែកត្តិក ឆ្នាំម្សាញ់ សប្តស័ក ព.ស.២៥៦៩</v>
      </c>
    </row>
    <row r="329" spans="2:3">
      <c r="B329" s="96">
        <v>45980</v>
      </c>
      <c r="C329" t="str">
        <f>LOOKUP(B329,Khmer_Lunar_Table)</f>
        <v>ថ្ងៃពុធ ១៤រោច ខែកត្តិក ឆ្នាំម្សាញ់ សប្តស័ក ព.ស.២៥៦៩</v>
      </c>
    </row>
    <row r="330" spans="2:3">
      <c r="B330" s="96">
        <v>45981</v>
      </c>
      <c r="C330" t="str">
        <f>LOOKUP(B330,Khmer_Lunar_Table)</f>
        <v>ថ្ងៃព្រហស្បតិ៍ ១៥រោច ខែកត្តិក ឆ្នាំម្សាញ់ សប្តស័ក ព.ស.២៥៦៩</v>
      </c>
    </row>
    <row r="331" spans="2:3">
      <c r="B331" s="96">
        <v>45982</v>
      </c>
      <c r="C331" t="str">
        <f>LOOKUP(B331,Khmer_Lunar_Table)</f>
        <v>ថ្ងៃសុក្រ ១កើត ខែមិគសិរ ឆ្នាំម្សាញ់ សប្តស័ក ព.ស.២៥៦៩</v>
      </c>
    </row>
    <row r="332" spans="2:3">
      <c r="B332" s="96">
        <v>45983</v>
      </c>
      <c r="C332" t="str">
        <f>LOOKUP(B332,Khmer_Lunar_Table)</f>
        <v>ថ្ងៃសៅរ៍ ២កើត ខែមិគសិរ ឆ្នាំម្សាញ់ សប្តស័ក ព.ស.២៥៦៩</v>
      </c>
    </row>
    <row r="333" spans="2:3">
      <c r="B333" s="96">
        <v>45984</v>
      </c>
      <c r="C333" t="str">
        <f>LOOKUP(B333,Khmer_Lunar_Table)</f>
        <v>ថ្ងៃអាទិត្យ ៣កើត ខែមិគសិរ ឆ្នាំម្សាញ់ សប្តស័ក ព.ស.២៥៦៩</v>
      </c>
    </row>
    <row r="334" spans="2:3">
      <c r="B334" s="96">
        <v>45985</v>
      </c>
      <c r="C334" t="str">
        <f>LOOKUP(B334,Khmer_Lunar_Table)</f>
        <v>ថ្ងៃចន្ទ ៤កើត ខែមិគសិរ ឆ្នាំម្សាញ់ សប្តស័ក ព.ស.២៥៦៩</v>
      </c>
    </row>
    <row r="335" spans="2:3">
      <c r="B335" s="96">
        <v>45986</v>
      </c>
      <c r="C335" t="str">
        <f>LOOKUP(B335,Khmer_Lunar_Table)</f>
        <v>ថ្ងៃអង្គារ ៥កើត ខែមិគសិរ ឆ្នាំម្សាញ់ សប្តស័ក ព.ស.២៥៦៩</v>
      </c>
    </row>
    <row r="336" spans="2:3">
      <c r="B336" s="96">
        <v>45987</v>
      </c>
      <c r="C336" t="str">
        <f>LOOKUP(B336,Khmer_Lunar_Table)</f>
        <v>ថ្ងៃពុធ ៦កើត ខែមិគសិរ ឆ្នាំម្សាញ់ សប្តស័ក ព.ស.២៥៦៩</v>
      </c>
    </row>
    <row r="337" spans="2:3">
      <c r="B337" s="96">
        <v>45988</v>
      </c>
      <c r="C337" t="str">
        <f>LOOKUP(B337,Khmer_Lunar_Table)</f>
        <v>ថ្ងៃព្រហស្បតិ៍ ៧កើត ខែមិគសិរ ឆ្នាំម្សាញ់ សប្តស័ក ព.ស.២៥៦៩</v>
      </c>
    </row>
    <row r="338" spans="2:3">
      <c r="B338" s="96">
        <v>45989</v>
      </c>
      <c r="C338" t="str">
        <f>LOOKUP(B338,Khmer_Lunar_Table)</f>
        <v>ថ្ងៃសុក្រ ៨កើត ខែមិគសិរ ឆ្នាំម្សាញ់ សប្តស័ក ព.ស.២៥៦៩</v>
      </c>
    </row>
    <row r="339" spans="2:3">
      <c r="B339" s="96">
        <v>45990</v>
      </c>
      <c r="C339" t="str">
        <f>LOOKUP(B339,Khmer_Lunar_Table)</f>
        <v>ថ្ងៃសៅរ៍ ៩កើត ខែមិគសិរ ឆ្នាំម្សាញ់ សប្តស័ក ព.ស.២៥៦៩</v>
      </c>
    </row>
    <row r="340" spans="2:3">
      <c r="B340" s="96">
        <v>45991</v>
      </c>
      <c r="C340" t="str">
        <f>LOOKUP(B340,Khmer_Lunar_Table)</f>
        <v>ថ្ងៃអាទិត្យ ១០កើត ខែមិគសិរ ឆ្នាំម្សាញ់ សប្តស័ក ព.ស.២៥៦៩</v>
      </c>
    </row>
    <row r="341" spans="2:3">
      <c r="B341" s="96">
        <v>45992</v>
      </c>
      <c r="C341" t="str">
        <f>LOOKUP(B341,Khmer_Lunar_Table)</f>
        <v>ថ្ងៃចន្ទ ១១កើត ខែមិគសិរ ឆ្នាំម្សាញ់ សប្តស័ក ព.ស.២៥៦៩</v>
      </c>
    </row>
    <row r="342" spans="2:3">
      <c r="B342" s="96">
        <v>45993</v>
      </c>
      <c r="C342" t="str">
        <f>LOOKUP(B342,Khmer_Lunar_Table)</f>
        <v>ថ្ងៃអង្គារ ១២កើត ខែមិគសិរ ឆ្នាំម្សាញ់ សប្តស័ក ព.ស.២៥៦៩</v>
      </c>
    </row>
    <row r="343" spans="2:3">
      <c r="B343" s="96">
        <v>45994</v>
      </c>
      <c r="C343" t="str">
        <f>LOOKUP(B343,Khmer_Lunar_Table)</f>
        <v>ថ្ងៃពុធ ១៣កើត ខែមិគសិរ ឆ្នាំម្សាញ់ សប្តស័ក ព.ស.២៥៦៩</v>
      </c>
    </row>
    <row r="344" spans="2:3">
      <c r="B344" s="96">
        <v>45995</v>
      </c>
      <c r="C344" t="str">
        <f>LOOKUP(B344,Khmer_Lunar_Table)</f>
        <v>ថ្ងៃព្រហស្បតិ៍ ១៤កើត ខែមិគសិរ ឆ្នាំម្សាញ់ សប្តស័ក ព.ស.២៥៦៩</v>
      </c>
    </row>
    <row r="345" spans="2:3">
      <c r="B345" s="96">
        <v>45996</v>
      </c>
      <c r="C345" t="str">
        <f>LOOKUP(B345,Khmer_Lunar_Table)</f>
        <v>ថ្ងៃសុក្រ ១៥កើត ខែមិគសិរ ឆ្នាំម្សាញ់ សប្តស័ក ព.ស.២៥៦៩</v>
      </c>
    </row>
    <row r="346" spans="2:3">
      <c r="B346" s="96">
        <v>45997</v>
      </c>
      <c r="C346" t="str">
        <f>LOOKUP(B346,Khmer_Lunar_Table)</f>
        <v>ថ្ងៃសៅរ៍ ១រោច ខែមិគសិរ ឆ្នាំម្សាញ់ សប្តស័ក ព.ស.២៥៦៩</v>
      </c>
    </row>
    <row r="347" spans="2:3">
      <c r="B347" s="96">
        <v>45998</v>
      </c>
      <c r="C347" t="str">
        <f>LOOKUP(B347,Khmer_Lunar_Table)</f>
        <v>ថ្ងៃអាទិត្យ ២រោច ខែមិគសិរ ឆ្នាំម្សាញ់ សប្តស័ក ព.ស.២៥៦៩</v>
      </c>
    </row>
    <row r="348" spans="2:3">
      <c r="B348" s="96">
        <v>45999</v>
      </c>
      <c r="C348" t="str">
        <f>LOOKUP(B348,Khmer_Lunar_Table)</f>
        <v>ថ្ងៃចន្ទ ៣រោច ខែមិគសិរ ឆ្នាំម្សាញ់ សប្តស័ក ព.ស.២៥៦៩</v>
      </c>
    </row>
    <row r="349" spans="2:3">
      <c r="B349" s="96">
        <v>46000</v>
      </c>
      <c r="C349" t="str">
        <f>LOOKUP(B349,Khmer_Lunar_Table)</f>
        <v>ថ្ងៃអង្គារ ៤រោច ខែមិគសិរ ឆ្នាំម្សាញ់ សប្តស័ក ព.ស.២៥៦៩</v>
      </c>
    </row>
    <row r="350" spans="2:3">
      <c r="B350" s="96">
        <v>46001</v>
      </c>
      <c r="C350" t="str">
        <f>LOOKUP(B350,Khmer_Lunar_Table)</f>
        <v>ថ្ងៃពុធ ៥រោច ខែមិគសិរ ឆ្នាំម្សាញ់ សប្តស័ក ព.ស.២៥៦៩</v>
      </c>
    </row>
    <row r="351" spans="2:3">
      <c r="B351" s="96">
        <v>46002</v>
      </c>
      <c r="C351" t="str">
        <f>LOOKUP(B351,Khmer_Lunar_Table)</f>
        <v>ថ្ងៃព្រហស្បតិ៍ ៦រោច ខែមិគសិរ ឆ្នាំម្សាញ់ សប្តស័ក ព.ស.២៥៦៩</v>
      </c>
    </row>
    <row r="352" spans="2:3">
      <c r="B352" s="96">
        <v>46003</v>
      </c>
      <c r="C352" t="str">
        <f>LOOKUP(B352,Khmer_Lunar_Table)</f>
        <v>ថ្ងៃសុក្រ ៧រោច ខែមិគសិរ ឆ្នាំម្សាញ់ សប្តស័ក ព.ស.២៥៦៩</v>
      </c>
    </row>
    <row r="353" spans="2:3">
      <c r="B353" s="96">
        <v>46004</v>
      </c>
      <c r="C353" t="str">
        <f>LOOKUP(B353,Khmer_Lunar_Table)</f>
        <v>ថ្ងៃសៅរ៍ ៨រោច ខែមិគសិរ ឆ្នាំម្សាញ់ សប្តស័ក ព.ស.២៥៦៩</v>
      </c>
    </row>
    <row r="354" spans="2:3">
      <c r="B354" s="96">
        <v>46005</v>
      </c>
      <c r="C354" t="str">
        <f>LOOKUP(B354,Khmer_Lunar_Table)</f>
        <v>ថ្ងៃអាទិត្យ ៩រោច ខែមិគសិរ ឆ្នាំម្សាញ់ សប្តស័ក ព.ស.២៥៦៩</v>
      </c>
    </row>
    <row r="355" spans="2:3">
      <c r="B355" s="96">
        <v>46006</v>
      </c>
      <c r="C355" t="str">
        <f>LOOKUP(B355,Khmer_Lunar_Table)</f>
        <v>ថ្ងៃចន្ទ ១០រោច ខែមិគសិរ ឆ្នាំម្សាញ់ សប្តស័ក ព.ស.២៥៦៩</v>
      </c>
    </row>
    <row r="356" spans="2:3">
      <c r="B356" s="96">
        <v>46007</v>
      </c>
      <c r="C356" t="str">
        <f>LOOKUP(B356,Khmer_Lunar_Table)</f>
        <v>ថ្ងៃអង្គារ ១១រោច ខែមិគសិរ ឆ្នាំម្សាញ់ សប្តស័ក ព.ស.២៥៦៩</v>
      </c>
    </row>
    <row r="357" spans="2:3">
      <c r="B357" s="96">
        <v>46008</v>
      </c>
      <c r="C357" t="str">
        <f>LOOKUP(B357,Khmer_Lunar_Table)</f>
        <v>ថ្ងៃពុធ ១២រោច ខែមិគសិរ ឆ្នាំម្សាញ់ សប្តស័ក ព.ស.២៥៦៩</v>
      </c>
    </row>
    <row r="358" spans="2:3">
      <c r="B358" s="96">
        <v>46009</v>
      </c>
      <c r="C358" t="str">
        <f>LOOKUP(B358,Khmer_Lunar_Table)</f>
        <v>ថ្ងៃព្រហស្បតិ៍ ១៣រោច ខែមិគសិរ ឆ្នាំម្សាញ់ សប្តស័ក ព.ស.២៥៦៩</v>
      </c>
    </row>
    <row r="359" spans="2:3">
      <c r="B359" s="96">
        <v>46010</v>
      </c>
      <c r="C359" t="str">
        <f>LOOKUP(B359,Khmer_Lunar_Table)</f>
        <v>ថ្ងៃសុក្រ ១៤រោច ខែមិគសិរ ឆ្នាំម្សាញ់ សប្តស័ក ព.ស.២៥៦៩</v>
      </c>
    </row>
    <row r="360" spans="2:3">
      <c r="B360" s="96">
        <v>46011</v>
      </c>
      <c r="C360" t="str">
        <f>LOOKUP(B360,Khmer_Lunar_Table)</f>
        <v>ថ្ងៃសៅរ៍ ១កើត ខែបុស្ស ឆ្នាំម្សាញ់ សប្តស័ក ព.ស.២៥៦៩</v>
      </c>
    </row>
    <row r="361" spans="2:3">
      <c r="B361" s="96">
        <v>46012</v>
      </c>
      <c r="C361" t="str">
        <f>LOOKUP(B361,Khmer_Lunar_Table)</f>
        <v>ថ្ងៃអាទិត្យ ២កើត ខែបុស្ស ឆ្នាំម្សាញ់ សប្តស័ក ព.ស.២៥៦៩</v>
      </c>
    </row>
    <row r="362" spans="2:3">
      <c r="B362" s="96">
        <v>46013</v>
      </c>
      <c r="C362" t="str">
        <f>LOOKUP(B362,Khmer_Lunar_Table)</f>
        <v>ថ្ងៃចន្ទ ៣កើត ខែបុស្ស ឆ្នាំម្សាញ់ សប្តស័ក ព.ស.២៥៦៩</v>
      </c>
    </row>
    <row r="363" spans="2:3">
      <c r="B363" s="96">
        <v>46014</v>
      </c>
      <c r="C363" t="str">
        <f>LOOKUP(B363,Khmer_Lunar_Table)</f>
        <v>ថ្ងៃអង្គារ ៤កើត ខែបុស្ស ឆ្នាំម្សាញ់ សប្តស័ក ព.ស.២៥៦៩</v>
      </c>
    </row>
    <row r="364" spans="2:3">
      <c r="B364" s="96">
        <v>46015</v>
      </c>
      <c r="C364" t="str">
        <f>LOOKUP(B364,Khmer_Lunar_Table)</f>
        <v>ថ្ងៃពុធ ៥កើត ខែបុស្ស ឆ្នាំម្សាញ់ សប្តស័ក ព.ស.២៥៦៩</v>
      </c>
    </row>
    <row r="365" spans="2:3">
      <c r="B365" s="96">
        <v>46016</v>
      </c>
      <c r="C365" t="str">
        <f>LOOKUP(B365,Khmer_Lunar_Table)</f>
        <v>ថ្ងៃព្រហស្បតិ៍ ៦កើត ខែបុស្ស ឆ្នាំម្សាញ់ សប្តស័ក ព.ស.២៥៦៩</v>
      </c>
    </row>
    <row r="366" spans="2:3">
      <c r="B366" s="96">
        <v>46017</v>
      </c>
      <c r="C366" t="str">
        <f>LOOKUP(B366,Khmer_Lunar_Table)</f>
        <v>ថ្ងៃសុក្រ ៧កើត ខែបុស្ស ឆ្នាំម្សាញ់ សប្តស័ក ព.ស.២៥៦៩</v>
      </c>
    </row>
    <row r="367" spans="2:3">
      <c r="B367" s="96">
        <v>46018</v>
      </c>
      <c r="C367" t="str">
        <f>LOOKUP(B367,Khmer_Lunar_Table)</f>
        <v>ថ្ងៃសៅរ៍ ៨កើត ខែបុស្ស ឆ្នាំម្សាញ់ សប្តស័ក ព.ស.២៥៦៩</v>
      </c>
    </row>
    <row r="368" spans="2:3">
      <c r="B368" s="96">
        <v>46019</v>
      </c>
      <c r="C368" t="str">
        <f>LOOKUP(B368,Khmer_Lunar_Table)</f>
        <v>ថ្ងៃអាទិត្យ ៩កើត ខែបុស្ស ឆ្នាំម្សាញ់ សប្តស័ក ព.ស.២៥៦៩</v>
      </c>
    </row>
    <row r="369" spans="2:3">
      <c r="B369" s="96">
        <v>46020</v>
      </c>
      <c r="C369" t="str">
        <f>LOOKUP(B369,Khmer_Lunar_Table)</f>
        <v>ថ្ងៃចន្ទ ១០កើត ខែបុស្ស ឆ្នាំម្សាញ់ សប្តស័ក ព.ស.២៥៦៩</v>
      </c>
    </row>
    <row r="370" spans="2:3">
      <c r="B370" s="96">
        <v>46021</v>
      </c>
      <c r="C370" t="str">
        <f>LOOKUP(B370,Khmer_Lunar_Table)</f>
        <v>ថ្ងៃអង្គារ ១១កើត ខែបុស្ស ឆ្នាំម្សាញ់ សប្តស័ក ព.ស.២៥៦៩</v>
      </c>
    </row>
    <row r="371" spans="2:3">
      <c r="B371" s="96">
        <v>46022</v>
      </c>
      <c r="C371" t="str">
        <f>LOOKUP(B371,Khmer_Lunar_Table)</f>
        <v>ថ្ងៃពុធ ១២កើត ខែបុស្ស ឆ្នាំម្សាញ់ សប្តស័ក ព.ស.២៥៦៩</v>
      </c>
    </row>
    <row r="372" spans="2:3">
      <c r="B372" s="96"/>
    </row>
    <row r="373" spans="2:3">
      <c r="B373" s="96"/>
    </row>
    <row r="374" spans="2:3">
      <c r="B374" s="96"/>
    </row>
    <row r="375" spans="2:3">
      <c r="B375" s="96"/>
    </row>
    <row r="376" spans="2:3">
      <c r="B376" s="96"/>
    </row>
    <row r="377" spans="2:3">
      <c r="B377" s="96"/>
    </row>
    <row r="378" spans="2:3">
      <c r="B378" s="96"/>
    </row>
    <row r="379" spans="2:3">
      <c r="B379" s="96"/>
    </row>
    <row r="380" spans="2:3">
      <c r="B380" s="96"/>
    </row>
    <row r="381" spans="2:3">
      <c r="B381" s="96"/>
    </row>
    <row r="382" spans="2:3">
      <c r="B382" s="96"/>
    </row>
    <row r="383" spans="2:3">
      <c r="B383" s="96"/>
    </row>
    <row r="384" spans="2:3">
      <c r="B384" s="96"/>
    </row>
    <row r="385" spans="2:2">
      <c r="B385" s="96"/>
    </row>
    <row r="386" spans="2:2">
      <c r="B386" s="96"/>
    </row>
    <row r="387" spans="2:2">
      <c r="B387" s="96"/>
    </row>
    <row r="388" spans="2:2">
      <c r="B388" s="96"/>
    </row>
    <row r="389" spans="2:2">
      <c r="B389" s="96"/>
    </row>
    <row r="390" spans="2:2">
      <c r="B390" s="96"/>
    </row>
    <row r="391" spans="2:2">
      <c r="B391" s="96"/>
    </row>
    <row r="392" spans="2:2">
      <c r="B392" s="96"/>
    </row>
    <row r="393" spans="2:2">
      <c r="B393" s="96"/>
    </row>
    <row r="394" spans="2:2">
      <c r="B394" s="96"/>
    </row>
    <row r="395" spans="2:2">
      <c r="B395" s="96"/>
    </row>
    <row r="396" spans="2:2">
      <c r="B396" s="96"/>
    </row>
    <row r="397" spans="2:2">
      <c r="B397" s="96"/>
    </row>
    <row r="398" spans="2:2">
      <c r="B398" s="96"/>
    </row>
    <row r="399" spans="2:2">
      <c r="B399" s="96"/>
    </row>
    <row r="400" spans="2:2">
      <c r="B400" s="96"/>
    </row>
    <row r="401" spans="2:2">
      <c r="B401" s="96"/>
    </row>
    <row r="402" spans="2:2">
      <c r="B402" s="96"/>
    </row>
    <row r="403" spans="2:2">
      <c r="B403" s="96"/>
    </row>
    <row r="404" spans="2:2">
      <c r="B404" s="96"/>
    </row>
    <row r="405" spans="2:2">
      <c r="B405" s="96"/>
    </row>
    <row r="406" spans="2:2">
      <c r="B406" s="96"/>
    </row>
    <row r="407" spans="2:2">
      <c r="B407" s="96"/>
    </row>
    <row r="408" spans="2:2">
      <c r="B408" s="96"/>
    </row>
    <row r="409" spans="2:2">
      <c r="B409" s="96"/>
    </row>
    <row r="410" spans="2:2">
      <c r="B410" s="96"/>
    </row>
    <row r="411" spans="2:2">
      <c r="B411" s="96"/>
    </row>
    <row r="412" spans="2:2">
      <c r="B412" s="96"/>
    </row>
    <row r="413" spans="2:2">
      <c r="B413" s="96"/>
    </row>
    <row r="414" spans="2:2">
      <c r="B414" s="96"/>
    </row>
    <row r="415" spans="2:2">
      <c r="B415" s="96"/>
    </row>
    <row r="416" spans="2:2">
      <c r="B416" s="96"/>
    </row>
    <row r="417" spans="2:2">
      <c r="B417" s="96"/>
    </row>
    <row r="418" spans="2:2">
      <c r="B418" s="96"/>
    </row>
    <row r="419" spans="2:2">
      <c r="B419" s="96"/>
    </row>
    <row r="420" spans="2:2">
      <c r="B420" s="96"/>
    </row>
    <row r="421" spans="2:2">
      <c r="B421" s="96"/>
    </row>
    <row r="422" spans="2:2">
      <c r="B422" s="96"/>
    </row>
    <row r="423" spans="2:2">
      <c r="B423" s="96"/>
    </row>
    <row r="424" spans="2:2">
      <c r="B424" s="96"/>
    </row>
    <row r="425" spans="2:2">
      <c r="B425" s="96"/>
    </row>
    <row r="426" spans="2:2">
      <c r="B426" s="96"/>
    </row>
    <row r="427" spans="2:2">
      <c r="B427" s="96"/>
    </row>
    <row r="428" spans="2:2">
      <c r="B428" s="96"/>
    </row>
    <row r="429" spans="2:2">
      <c r="B429" s="96"/>
    </row>
    <row r="430" spans="2:2">
      <c r="B430" s="96"/>
    </row>
    <row r="431" spans="2:2">
      <c r="B431" s="96"/>
    </row>
    <row r="432" spans="2:2">
      <c r="B432" s="96"/>
    </row>
    <row r="433" spans="2:2">
      <c r="B433" s="96"/>
    </row>
    <row r="434" spans="2:2">
      <c r="B434" s="96"/>
    </row>
    <row r="435" spans="2:2">
      <c r="B435" s="96"/>
    </row>
    <row r="436" spans="2:2">
      <c r="B436" s="96"/>
    </row>
    <row r="437" spans="2:2">
      <c r="B437" s="96"/>
    </row>
    <row r="438" spans="2:2">
      <c r="B438" s="96"/>
    </row>
    <row r="439" spans="2:2">
      <c r="B439" s="96"/>
    </row>
    <row r="440" spans="2:2">
      <c r="B440" s="9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FILE #</vt:lpstr>
      <vt:lpstr>DATA</vt:lpstr>
      <vt:lpstr>DATA INF</vt:lpstr>
      <vt:lpstr>SEAL STOCK</vt:lpstr>
      <vt:lpstr>SYSTEM</vt:lpstr>
      <vt:lpstr>Khmer_Lunar_2025</vt:lpstr>
      <vt:lpstr>Sheet1</vt:lpstr>
      <vt:lpstr>Sheet2</vt:lpstr>
      <vt:lpstr>Khmer_Lunar_Table</vt:lpstr>
      <vt:lpstr>'FILE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Nitro</dc:creator>
  <cp:lastModifiedBy>Oem Ramon</cp:lastModifiedBy>
  <cp:lastPrinted>2025-09-04T04:42:25Z</cp:lastPrinted>
  <dcterms:created xsi:type="dcterms:W3CDTF">2019-08-26T02:54:21Z</dcterms:created>
  <dcterms:modified xsi:type="dcterms:W3CDTF">2025-09-06T08:13:01Z</dcterms:modified>
</cp:coreProperties>
</file>